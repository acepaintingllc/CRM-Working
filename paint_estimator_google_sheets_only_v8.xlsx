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Job Control" sheetId="2" state="visible" r:id="rId2"/>
    <sheet xmlns:r="http://schemas.openxmlformats.org/officeDocument/2006/relationships" name="Constants" sheetId="3" state="visible" r:id="rId3"/>
    <sheet xmlns:r="http://schemas.openxmlformats.org/officeDocument/2006/relationships" name="INPUT_JobSettings" sheetId="4" state="visible" r:id="rId4"/>
    <sheet xmlns:r="http://schemas.openxmlformats.org/officeDocument/2006/relationships" name="INPUT_Rooms" sheetId="5" state="visible" r:id="rId5"/>
    <sheet xmlns:r="http://schemas.openxmlformats.org/officeDocument/2006/relationships" name="INPUT_Segments" sheetId="6" state="visible" r:id="rId6"/>
    <sheet xmlns:r="http://schemas.openxmlformats.org/officeDocument/2006/relationships" name="INPUT_TrimLines" sheetId="7" state="visible" r:id="rId7"/>
    <sheet xmlns:r="http://schemas.openxmlformats.org/officeDocument/2006/relationships" name="INPUT_Openings" sheetId="8" state="visible" r:id="rId8"/>
    <sheet xmlns:r="http://schemas.openxmlformats.org/officeDocument/2006/relationships" name="INPUT_Doors" sheetId="9" state="visible" r:id="rId9"/>
    <sheet xmlns:r="http://schemas.openxmlformats.org/officeDocument/2006/relationships" name="INPUT_PreJobTrips" sheetId="10" state="visible" r:id="rId10"/>
    <sheet xmlns:r="http://schemas.openxmlformats.org/officeDocument/2006/relationships" name="INPUT_Rollers" sheetId="11" state="visible" r:id="rId11"/>
    <sheet xmlns:r="http://schemas.openxmlformats.org/officeDocument/2006/relationships" name="ENGINE_Walls" sheetId="12" state="visible" r:id="rId12"/>
    <sheet xmlns:r="http://schemas.openxmlformats.org/officeDocument/2006/relationships" name="ENGINE_Ceilings" sheetId="13" state="visible" r:id="rId13"/>
    <sheet xmlns:r="http://schemas.openxmlformats.org/officeDocument/2006/relationships" name="ENGINE_ColorList" sheetId="14" state="visible" r:id="rId14"/>
    <sheet xmlns:r="http://schemas.openxmlformats.org/officeDocument/2006/relationships" name="ENGINE_Trim" sheetId="15" state="visible" r:id="rId15"/>
    <sheet xmlns:r="http://schemas.openxmlformats.org/officeDocument/2006/relationships" name="Summary" sheetId="16" state="visible" r:id="rId16"/>
    <sheet xmlns:r="http://schemas.openxmlformats.org/officeDocument/2006/relationships" name="OUTPUT_App" sheetId="17" state="visible" r:id="rId17"/>
    <sheet xmlns:r="http://schemas.openxmlformats.org/officeDocument/2006/relationships" name="Estimate Builder" sheetId="18" state="visible" r:id="rId18"/>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sz val="14"/>
    </font>
    <font>
      <b val="1"/>
    </font>
    <font>
      <i val="1"/>
      <color rgb="00666666"/>
    </font>
  </fonts>
  <fills count="4">
    <fill>
      <patternFill/>
    </fill>
    <fill>
      <patternFill patternType="gray125"/>
    </fill>
    <fill>
      <patternFill patternType="solid">
        <fgColor rgb="00D9E1F2"/>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0" fillId="0" borderId="0" applyAlignment="1" pivotButton="0" quotePrefix="0" xfId="0">
      <alignment horizontal="left" vertical="center" wrapText="1"/>
    </xf>
    <xf numFmtId="0" fontId="2"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xf numFmtId="0" fontId="0" fillId="3" borderId="1" applyAlignment="1" pivotButton="0" quotePrefix="0" xfId="0">
      <alignment horizontal="left" vertical="center" wrapText="1"/>
    </xf>
    <xf numFmtId="0" fontId="2"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pivotButton="0" quotePrefix="0" xfId="0"/>
    <xf numFmtId="164" fontId="0" fillId="0" borderId="0" pivotButton="0" quotePrefix="0" xfId="0"/>
    <xf numFmtId="164"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10" customWidth="1" min="1" max="1"/>
  </cols>
  <sheetData>
    <row r="1">
      <c r="A1" s="1" t="inlineStr">
        <is>
          <t>Painting Estimator — Hybrid Inputs (Manual or App)</t>
        </is>
      </c>
    </row>
    <row r="3">
      <c r="A3" s="2" t="inlineStr">
        <is>
          <t>How to use:</t>
        </is>
      </c>
    </row>
    <row r="4">
      <c r="A4" s="3" t="inlineStr">
        <is>
          <t>1) Manual entry: fill green cells in INPUT_* tabs (Rooms, Segments, Openings, Doors, PreJob).</t>
        </is>
      </c>
    </row>
    <row r="5">
      <c r="A5" s="3" t="inlineStr">
        <is>
          <t>2) App entry: write the same tables via API. Formulas live only in Engine/Summary/Estimate Builder.</t>
        </is>
      </c>
    </row>
    <row r="6">
      <c r="A6" s="3" t="inlineStr">
        <is>
          <t>3) Main job rounding: Summary rounds MAIN labor to 0.5 day; PreJob totals stay separate and are added after.</t>
        </is>
      </c>
    </row>
    <row r="7">
      <c r="A7" s="3" t="n"/>
    </row>
    <row r="8">
      <c r="A8" s="2" t="inlineStr">
        <is>
          <t>Key design rules:</t>
        </is>
      </c>
    </row>
    <row r="9">
      <c r="A9" s="3" t="inlineStr">
        <is>
          <t>- Inches-first inputs</t>
        </is>
      </c>
    </row>
    <row r="10">
      <c r="A10" s="3" t="inlineStr">
        <is>
          <t>- Constants are single source of truth (add rows, avoid formula edits)</t>
        </is>
      </c>
    </row>
    <row r="11">
      <c r="A11" s="3" t="inlineStr">
        <is>
          <t>- Scopes don't reference each other; they all reference INPUT_* tables</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95" customWidth="1" min="2" max="2"/>
  </cols>
  <sheetData>
    <row r="1">
      <c r="A1" s="1" t="inlineStr">
        <is>
          <t>JOB CONTROL (optional for app integration)</t>
        </is>
      </c>
    </row>
    <row r="3">
      <c r="A3" s="4" t="inlineStr">
        <is>
          <t>Active JobID</t>
        </is>
      </c>
    </row>
    <row r="4">
      <c r="A4" s="4" t="inlineStr">
        <is>
          <t>Tip</t>
        </is>
      </c>
      <c r="B4" s="12" t="inlineStr">
        <is>
          <t>Engines/Summary/Estimate Builder read the JobID from this sheet. App can set it after syncing inputs.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6"/>
  <sheetViews>
    <sheetView workbookViewId="0">
      <pane ySplit="8" topLeftCell="A9" activePane="bottomLeft" state="frozen"/>
      <selection pane="bottomLeft" activeCell="A1" sqref="A1"/>
    </sheetView>
  </sheetViews>
  <sheetFormatPr baseColWidth="8" defaultRowHeight="15"/>
  <cols>
    <col width="26" customWidth="1" min="1" max="1"/>
    <col width="24" customWidth="1" min="2" max="2"/>
    <col width="40" customWidth="1" min="3" max="3"/>
    <col width="16" customWidth="1" min="4" max="4"/>
    <col width="26" customWidth="1" min="5" max="5"/>
    <col width="18" customWidth="1" min="6" max="6"/>
    <col width="14" customWidth="1" min="7" max="7"/>
    <col width="22" customWidth="1" min="8" max="8"/>
    <col width="18" customWidth="1" min="9" max="9"/>
    <col width="24" customWidth="1" min="10" max="10"/>
    <col width="18" customWidth="1" min="11" max="11"/>
    <col width="13" customWidth="1" min="12" max="12"/>
  </cols>
  <sheetData>
    <row r="1">
      <c r="A1" s="11" t="inlineStr">
        <is>
          <t>CONSTANTS — Single Source of Truth (add rows; avoid editing formulas)</t>
        </is>
      </c>
    </row>
    <row r="3">
      <c r="A3" s="2" t="inlineStr">
        <is>
          <t>Guidance:</t>
        </is>
      </c>
    </row>
    <row r="4">
      <c r="A4" s="3" t="inlineStr">
        <is>
          <t>• Add new rows within a section to expand (e.g., new OpeningType, DoorType, TrimItem).</t>
        </is>
      </c>
    </row>
    <row r="5">
      <c r="A5" s="3" t="inlineStr">
        <is>
          <t>• Engines use wide ranges so adding rows usually requires no formula changes.</t>
        </is>
      </c>
    </row>
    <row r="6">
      <c r="A6" s="3" t="inlineStr">
        <is>
          <t>• Keep keys unique within each table (e.g., OpeningType names).</t>
        </is>
      </c>
    </row>
    <row r="8">
      <c r="A8" s="2" t="inlineStr">
        <is>
          <t>JOB DEFAULTS</t>
        </is>
      </c>
      <c r="E8" s="2" t="inlineStr">
        <is>
          <t>PREP FACTORS</t>
        </is>
      </c>
      <c r="H8" s="2" t="inlineStr">
        <is>
          <t>HEIGHT FACTORS (ft)</t>
        </is>
      </c>
    </row>
    <row r="9">
      <c r="A9" s="5" t="inlineStr">
        <is>
          <t>Key</t>
        </is>
      </c>
      <c r="B9" s="5" t="inlineStr">
        <is>
          <t>Value</t>
        </is>
      </c>
      <c r="C9" s="5" t="inlineStr">
        <is>
          <t>Notes</t>
        </is>
      </c>
      <c r="E9" s="5" t="inlineStr">
        <is>
          <t>PrepLevel</t>
        </is>
      </c>
      <c r="F9" s="5" t="inlineStr">
        <is>
          <t>Factor</t>
        </is>
      </c>
      <c r="H9" s="5" t="inlineStr">
        <is>
          <t>MinFt</t>
        </is>
      </c>
      <c r="I9" s="5" t="inlineStr">
        <is>
          <t>Multiplier</t>
        </is>
      </c>
      <c r="J9" s="5" t="inlineStr">
        <is>
          <t>Notes</t>
        </is>
      </c>
    </row>
    <row r="10">
      <c r="A10" s="6" t="inlineStr">
        <is>
          <t>DayHours</t>
        </is>
      </c>
      <c r="B10" s="6" t="n">
        <v>8</v>
      </c>
      <c r="C10" s="6" t="inlineStr">
        <is>
          <t>Workday length for rounding</t>
        </is>
      </c>
      <c r="E10" s="6" t="inlineStr">
        <is>
          <t>Light</t>
        </is>
      </c>
      <c r="F10" s="6" t="n">
        <v>1</v>
      </c>
      <c r="H10" s="6" t="n">
        <v>0</v>
      </c>
      <c r="I10" s="6" t="n">
        <v>1</v>
      </c>
      <c r="J10" s="6" t="inlineStr">
        <is>
          <t>0–9ft</t>
        </is>
      </c>
    </row>
    <row r="11">
      <c r="A11" s="6" t="inlineStr">
        <is>
          <t>RoundIncrementHours</t>
        </is>
      </c>
      <c r="B11" s="6" t="n">
        <v>4</v>
      </c>
      <c r="C11" s="6" t="inlineStr">
        <is>
          <t>Half-day rounding increment (hrs)</t>
        </is>
      </c>
      <c r="E11" s="6" t="inlineStr">
        <is>
          <t>Medium</t>
        </is>
      </c>
      <c r="F11" s="6" t="n">
        <v>1.35</v>
      </c>
      <c r="H11" s="6" t="n">
        <v>9</v>
      </c>
      <c r="I11" s="6" t="n">
        <v>1.15</v>
      </c>
      <c r="J11" s="6" t="inlineStr">
        <is>
          <t>9–12ft</t>
        </is>
      </c>
    </row>
    <row r="12">
      <c r="A12" s="6" t="inlineStr">
        <is>
          <t>LaborRate</t>
        </is>
      </c>
      <c r="B12" s="6" t="n">
        <v>65</v>
      </c>
      <c r="C12" s="6" t="inlineStr">
        <is>
          <t>Default labor rate ($/hr)</t>
        </is>
      </c>
      <c r="E12" s="6" t="inlineStr">
        <is>
          <t>Heavy</t>
        </is>
      </c>
      <c r="F12" s="6" t="n">
        <v>1.8</v>
      </c>
      <c r="H12" s="6" t="n">
        <v>12</v>
      </c>
      <c r="I12" s="6" t="n">
        <v>1.3</v>
      </c>
      <c r="J12" s="6" t="inlineStr">
        <is>
          <t>12–16ft</t>
        </is>
      </c>
    </row>
    <row r="13">
      <c r="A13" s="6" t="inlineStr">
        <is>
          <t>Markup</t>
        </is>
      </c>
      <c r="B13" s="6" t="n">
        <v>1.35</v>
      </c>
      <c r="C13" s="6" t="inlineStr">
        <is>
          <t>Default markup multiplier</t>
        </is>
      </c>
      <c r="H13" s="6" t="n">
        <v>16</v>
      </c>
      <c r="I13" s="6" t="n">
        <v>1.5</v>
      </c>
      <c r="J13" s="6" t="inlineStr">
        <is>
          <t>16ft+</t>
        </is>
      </c>
    </row>
    <row r="14">
      <c r="A14" s="6" t="inlineStr">
        <is>
          <t>WallCoverageSqftPerGalPerCoat</t>
        </is>
      </c>
      <c r="B14" s="6" t="n">
        <v>350</v>
      </c>
      <c r="C14" s="6" t="inlineStr">
        <is>
          <t>Coverage assumption</t>
        </is>
      </c>
    </row>
    <row r="15">
      <c r="A15" s="6" t="inlineStr">
        <is>
          <t>CeilingCoverageSqftPerGalPerCoat</t>
        </is>
      </c>
      <c r="B15" s="6" t="n">
        <v>350</v>
      </c>
      <c r="C15" s="6" t="inlineStr">
        <is>
          <t>Coverage assumption</t>
        </is>
      </c>
    </row>
    <row r="16">
      <c r="A16" s="6" t="inlineStr">
        <is>
          <t>TrimCoverageSqftPerGalPerCoat</t>
        </is>
      </c>
      <c r="B16" s="6" t="n">
        <v>350</v>
      </c>
      <c r="C16" s="6" t="inlineStr">
        <is>
          <t>Optional</t>
        </is>
      </c>
    </row>
    <row r="17">
      <c r="A17" t="inlineStr">
        <is>
          <t>SchemaVersion</t>
        </is>
      </c>
      <c r="B17" t="inlineStr">
        <is>
          <t>v5</t>
        </is>
      </c>
      <c r="C17" t="inlineStr">
        <is>
          <t>App checks this before writing inputs</t>
        </is>
      </c>
    </row>
    <row r="18"/>
    <row r="19">
      <c r="A19" s="2" t="inlineStr">
        <is>
          <t>WALL LABOR MODEL (mins)</t>
        </is>
      </c>
      <c r="F19" s="2" t="inlineStr">
        <is>
          <t>CEILING LABOR MODEL (mins)</t>
        </is>
      </c>
    </row>
    <row r="20">
      <c r="A20" s="5" t="inlineStr">
        <is>
          <t>Key</t>
        </is>
      </c>
      <c r="B20" s="5" t="inlineStr">
        <is>
          <t>Value</t>
        </is>
      </c>
      <c r="C20" s="5" t="inlineStr">
        <is>
          <t>Notes</t>
        </is>
      </c>
      <c r="D20" s="5" t="inlineStr"/>
      <c r="F20" s="5" t="inlineStr">
        <is>
          <t>Key</t>
        </is>
      </c>
      <c r="G20" s="5" t="inlineStr">
        <is>
          <t>Value</t>
        </is>
      </c>
      <c r="H20" s="5" t="inlineStr">
        <is>
          <t>Notes</t>
        </is>
      </c>
      <c r="I20" s="5" t="inlineStr"/>
    </row>
    <row r="21">
      <c r="A21" s="6" t="inlineStr">
        <is>
          <t>PrepMinsPerSqft</t>
        </is>
      </c>
      <c r="B21" s="6" t="n">
        <v>0.12</v>
      </c>
      <c r="C21" s="6" t="inlineStr">
        <is>
          <t>Base prep mins/sqft</t>
        </is>
      </c>
      <c r="D21" s="6" t="inlineStr"/>
      <c r="F21" s="6" t="inlineStr">
        <is>
          <t>PrepMinsPerSqft</t>
        </is>
      </c>
      <c r="G21" s="6" t="n">
        <v>0.1</v>
      </c>
      <c r="H21" s="6" t="inlineStr">
        <is>
          <t>Base prep mins/sqft</t>
        </is>
      </c>
      <c r="I21" s="6" t="inlineStr"/>
    </row>
    <row r="22">
      <c r="A22" s="6" t="inlineStr">
        <is>
          <t>PaintMinsPerSqftPerCoat</t>
        </is>
      </c>
      <c r="B22" s="6" t="n">
        <v>0.08</v>
      </c>
      <c r="C22" s="6" t="inlineStr">
        <is>
          <t>Paint mins/sqft per coat</t>
        </is>
      </c>
      <c r="D22" s="6" t="inlineStr"/>
      <c r="F22" s="6" t="inlineStr">
        <is>
          <t>PaintMinsPerSqftPerCoat</t>
        </is>
      </c>
      <c r="G22" s="6" t="n">
        <v>0.09</v>
      </c>
      <c r="H22" s="6" t="inlineStr">
        <is>
          <t>Paint mins/sqft per coat</t>
        </is>
      </c>
      <c r="I22" s="6" t="inlineStr"/>
    </row>
    <row r="23">
      <c r="A23" s="6" t="inlineStr">
        <is>
          <t>PrimerFullMinsPerSqft</t>
        </is>
      </c>
      <c r="B23" s="6" t="n">
        <v>0.06</v>
      </c>
      <c r="C23" s="6" t="inlineStr">
        <is>
          <t>Primer mins/sqft for full prime</t>
        </is>
      </c>
      <c r="D23" s="6" t="inlineStr"/>
      <c r="F23" s="6" t="inlineStr">
        <is>
          <t>PrimerFullMinsPerSqft</t>
        </is>
      </c>
      <c r="G23" s="6" t="n">
        <v>0.07000000000000001</v>
      </c>
      <c r="H23" s="6" t="inlineStr">
        <is>
          <t>Primer mins/sqft for full prime</t>
        </is>
      </c>
      <c r="I23" s="6" t="inlineStr"/>
    </row>
    <row r="24">
      <c r="A24" s="6" t="inlineStr">
        <is>
          <t>PrimerSpotFactor</t>
        </is>
      </c>
      <c r="B24" s="6" t="n">
        <v>0.35</v>
      </c>
      <c r="C24" s="6" t="inlineStr">
        <is>
          <t>Multiply full-prime mins for spot prime</t>
        </is>
      </c>
      <c r="D24" s="6" t="inlineStr"/>
      <c r="F24" s="6" t="inlineStr">
        <is>
          <t>PrimerSpotFactor</t>
        </is>
      </c>
      <c r="G24" s="6" t="n">
        <v>0.35</v>
      </c>
      <c r="H24" s="6" t="inlineStr">
        <is>
          <t>Multiply full-prime mins for spot prime</t>
        </is>
      </c>
      <c r="I24" s="6" t="inlineStr"/>
    </row>
    <row r="28"/>
    <row r="29">
      <c r="A29" s="2" t="inlineStr">
        <is>
          <t>OPENING TYPES (defaults)</t>
        </is>
      </c>
      <c r="H29" s="2" t="inlineStr">
        <is>
          <t>DOOR TYPES (per side mins)</t>
        </is>
      </c>
    </row>
    <row r="30">
      <c r="A30" s="5" t="inlineStr">
        <is>
          <t>OpeningType</t>
        </is>
      </c>
      <c r="B30" s="5" t="inlineStr">
        <is>
          <t>Category</t>
        </is>
      </c>
      <c r="C30" s="5" t="inlineStr">
        <is>
          <t>DefaultWidth_in</t>
        </is>
      </c>
      <c r="D30" s="5" t="inlineStr">
        <is>
          <t>DefaultHeight_in</t>
        </is>
      </c>
      <c r="E30" s="5" t="inlineStr">
        <is>
          <t>CasingLF_default</t>
        </is>
      </c>
      <c r="F30" s="5" t="inlineStr">
        <is>
          <t>CutInMins_each</t>
        </is>
      </c>
      <c r="H30" s="5" t="inlineStr">
        <is>
          <t>DoorType</t>
        </is>
      </c>
      <c r="I30" s="5" t="inlineStr">
        <is>
          <t>PrepMins_perSide</t>
        </is>
      </c>
      <c r="J30" s="5" t="inlineStr">
        <is>
          <t>PaintMinsPerCoat_perSide</t>
        </is>
      </c>
      <c r="K30" s="5" t="inlineStr">
        <is>
          <t>PrimerMins_perSide</t>
        </is>
      </c>
    </row>
    <row r="31">
      <c r="A31" s="6" t="inlineStr">
        <is>
          <t>Single Door</t>
        </is>
      </c>
      <c r="B31" s="6" t="inlineStr">
        <is>
          <t>Door</t>
        </is>
      </c>
      <c r="C31" s="6" t="n">
        <v>36</v>
      </c>
      <c r="D31" s="6" t="n">
        <v>80</v>
      </c>
      <c r="E31" s="6" t="n">
        <v>17</v>
      </c>
      <c r="F31" s="6" t="n">
        <v>12</v>
      </c>
      <c r="H31" s="6" t="inlineStr">
        <is>
          <t>Hollow Core</t>
        </is>
      </c>
      <c r="I31" s="6" t="n">
        <v>6</v>
      </c>
      <c r="J31" s="6" t="n">
        <v>8</v>
      </c>
      <c r="K31" s="6" t="n">
        <v>6</v>
      </c>
    </row>
    <row r="32">
      <c r="A32" s="6" t="inlineStr">
        <is>
          <t>Double Door</t>
        </is>
      </c>
      <c r="B32" s="6" t="inlineStr">
        <is>
          <t>Door</t>
        </is>
      </c>
      <c r="C32" s="6" t="n">
        <v>60</v>
      </c>
      <c r="D32" s="6" t="n">
        <v>80</v>
      </c>
      <c r="E32" s="6" t="n">
        <v>24</v>
      </c>
      <c r="F32" s="6" t="n">
        <v>18</v>
      </c>
      <c r="H32" s="6" t="inlineStr">
        <is>
          <t>6 Panel</t>
        </is>
      </c>
      <c r="I32" s="6" t="n">
        <v>10</v>
      </c>
      <c r="J32" s="6" t="n">
        <v>14</v>
      </c>
      <c r="K32" s="6" t="n">
        <v>10</v>
      </c>
    </row>
    <row r="33">
      <c r="A33" s="6" t="inlineStr">
        <is>
          <t>Single Window</t>
        </is>
      </c>
      <c r="B33" s="6" t="inlineStr">
        <is>
          <t>Window</t>
        </is>
      </c>
      <c r="C33" s="6" t="n">
        <v>36</v>
      </c>
      <c r="D33" s="6" t="n">
        <v>48</v>
      </c>
      <c r="E33" s="6" t="n">
        <v>14</v>
      </c>
      <c r="F33" s="6" t="n">
        <v>10</v>
      </c>
      <c r="H33" s="6" t="inlineStr">
        <is>
          <t>Solid Core</t>
        </is>
      </c>
      <c r="I33" s="6" t="n">
        <v>12</v>
      </c>
      <c r="J33" s="6" t="n">
        <v>16</v>
      </c>
      <c r="K33" s="6" t="n">
        <v>12</v>
      </c>
    </row>
    <row r="34">
      <c r="A34" s="6" t="inlineStr">
        <is>
          <t>Double Window</t>
        </is>
      </c>
      <c r="B34" s="6" t="inlineStr">
        <is>
          <t>Window</t>
        </is>
      </c>
      <c r="C34" s="6" t="n">
        <v>72</v>
      </c>
      <c r="D34" s="6" t="n">
        <v>48</v>
      </c>
      <c r="E34" s="6" t="n">
        <v>22</v>
      </c>
      <c r="F34" s="6" t="n">
        <v>16</v>
      </c>
      <c r="H34" s="6" t="inlineStr">
        <is>
          <t>French</t>
        </is>
      </c>
      <c r="I34" s="6" t="n">
        <v>20</v>
      </c>
      <c r="J34" s="6" t="n">
        <v>24</v>
      </c>
      <c r="K34" s="6" t="n">
        <v>20</v>
      </c>
    </row>
    <row r="35">
      <c r="A35" s="6" t="inlineStr">
        <is>
          <t>Slider</t>
        </is>
      </c>
      <c r="B35" s="6" t="inlineStr">
        <is>
          <t>Door</t>
        </is>
      </c>
      <c r="C35" s="6" t="n">
        <v>72</v>
      </c>
      <c r="D35" s="6" t="n">
        <v>80</v>
      </c>
      <c r="E35" s="6" t="n">
        <v>0</v>
      </c>
      <c r="F35" s="6" t="n">
        <v>20</v>
      </c>
    </row>
    <row r="38"/>
    <row r="39">
      <c r="A39" s="2" t="inlineStr">
        <is>
          <t>TRIM ITEMS (mins)</t>
        </is>
      </c>
    </row>
    <row r="40">
      <c r="A40" s="5" t="inlineStr">
        <is>
          <t>TrimItem</t>
        </is>
      </c>
      <c r="B40" s="5" t="inlineStr">
        <is>
          <t>Unit</t>
        </is>
      </c>
      <c r="C40" s="5" t="inlineStr">
        <is>
          <t>PrepMins_perUnit</t>
        </is>
      </c>
      <c r="D40" s="5" t="inlineStr">
        <is>
          <t>PaintMinsPerCoat_perUnit</t>
        </is>
      </c>
      <c r="E40" s="5" t="inlineStr">
        <is>
          <t>PrimerMins_perUnit</t>
        </is>
      </c>
      <c r="F40" s="5" t="inlineStr">
        <is>
          <t>Notes</t>
        </is>
      </c>
    </row>
    <row r="41">
      <c r="A41" s="6" t="inlineStr">
        <is>
          <t>Baseboard</t>
        </is>
      </c>
      <c r="B41" s="6" t="inlineStr">
        <is>
          <t>LF</t>
        </is>
      </c>
      <c r="C41" s="6" t="n">
        <v>0.35</v>
      </c>
      <c r="D41" s="6" t="n">
        <v>0.25</v>
      </c>
      <c r="E41" s="6" t="n">
        <v>0.2</v>
      </c>
      <c r="F41" s="6" t="inlineStr"/>
    </row>
    <row r="42">
      <c r="A42" s="6" t="inlineStr">
        <is>
          <t>Crown</t>
        </is>
      </c>
      <c r="B42" s="6" t="inlineStr">
        <is>
          <t>LF</t>
        </is>
      </c>
      <c r="C42" s="6" t="n">
        <v>0.45</v>
      </c>
      <c r="D42" s="6" t="n">
        <v>0.3</v>
      </c>
      <c r="E42" s="6" t="n">
        <v>0.25</v>
      </c>
      <c r="F42" s="6" t="inlineStr"/>
    </row>
    <row r="43">
      <c r="A43" s="6" t="inlineStr">
        <is>
          <t>Window Casing</t>
        </is>
      </c>
      <c r="B43" s="6" t="inlineStr">
        <is>
          <t>LF</t>
        </is>
      </c>
      <c r="C43" s="6" t="n">
        <v>0.6</v>
      </c>
      <c r="D43" s="6" t="n">
        <v>0.35</v>
      </c>
      <c r="E43" s="6" t="n">
        <v>0.3</v>
      </c>
      <c r="F43" s="6" t="inlineStr"/>
    </row>
    <row r="44">
      <c r="A44" s="6" t="inlineStr">
        <is>
          <t>Door Casing</t>
        </is>
      </c>
      <c r="B44" s="6" t="inlineStr">
        <is>
          <t>LF</t>
        </is>
      </c>
      <c r="C44" s="6" t="n">
        <v>0.7</v>
      </c>
      <c r="D44" s="6" t="n">
        <v>0.4</v>
      </c>
      <c r="E44" s="6" t="n">
        <v>0.35</v>
      </c>
      <c r="F44" s="6" t="inlineStr"/>
    </row>
    <row r="45">
      <c r="A45" s="6" t="inlineStr">
        <is>
          <t>Doors (leaf)</t>
        </is>
      </c>
      <c r="B45" s="6" t="inlineStr">
        <is>
          <t>EA</t>
        </is>
      </c>
      <c r="C45" s="6" t="n">
        <v>0</v>
      </c>
      <c r="D45" s="6" t="n">
        <v>0</v>
      </c>
      <c r="E45" s="6" t="n">
        <v>0</v>
      </c>
      <c r="F45" s="6" t="inlineStr">
        <is>
          <t>(leaf mins come from Door Types)</t>
        </is>
      </c>
    </row>
    <row r="50"/>
    <row r="51">
      <c r="A51" s="4" t="inlineStr">
        <is>
          <t>PAINT PRODUCTS (prices + coverage)</t>
        </is>
      </c>
    </row>
    <row r="52">
      <c r="A52" s="5" t="inlineStr">
        <is>
          <t>Product</t>
        </is>
      </c>
      <c r="B52" s="5" t="inlineStr">
        <is>
          <t>Type</t>
        </is>
      </c>
      <c r="C52" s="5" t="inlineStr">
        <is>
          <t>Price_per_gal</t>
        </is>
      </c>
      <c r="D52" s="5" t="inlineStr">
        <is>
          <t>Coverage_sqft_per_gal_per_coat</t>
        </is>
      </c>
      <c r="E52" s="5" t="inlineStr">
        <is>
          <t>Sheen/Notes</t>
        </is>
      </c>
      <c r="F52" s="5" t="inlineStr">
        <is>
          <t>Active?</t>
        </is>
      </c>
    </row>
    <row r="53">
      <c r="A53" s="6" t="inlineStr">
        <is>
          <t>SW ProMar 400</t>
        </is>
      </c>
      <c r="B53" s="6" t="inlineStr">
        <is>
          <t>Wall</t>
        </is>
      </c>
      <c r="C53" s="6" t="n">
        <v>40</v>
      </c>
      <c r="D53" s="6" t="n">
        <v>350</v>
      </c>
      <c r="E53" s="6" t="inlineStr">
        <is>
          <t>eggshell/satin varies</t>
        </is>
      </c>
      <c r="F53" s="6" t="inlineStr">
        <is>
          <t>Y</t>
        </is>
      </c>
    </row>
    <row r="54">
      <c r="A54" s="6" t="inlineStr">
        <is>
          <t>SW Duration</t>
        </is>
      </c>
      <c r="B54" s="6" t="inlineStr">
        <is>
          <t>Wall</t>
        </is>
      </c>
      <c r="C54" s="6" t="n">
        <v>70</v>
      </c>
      <c r="D54" s="6" t="n">
        <v>350</v>
      </c>
      <c r="E54" s="6" t="inlineStr"/>
      <c r="F54" s="6" t="inlineStr">
        <is>
          <t>Y</t>
        </is>
      </c>
    </row>
    <row r="55">
      <c r="A55" s="6" t="inlineStr">
        <is>
          <t>SW Emerald</t>
        </is>
      </c>
      <c r="B55" s="6" t="inlineStr">
        <is>
          <t>Wall</t>
        </is>
      </c>
      <c r="C55" s="6" t="n">
        <v>85</v>
      </c>
      <c r="D55" s="6" t="n">
        <v>350</v>
      </c>
      <c r="E55" s="6" t="inlineStr"/>
      <c r="F55" s="6" t="inlineStr">
        <is>
          <t>Y</t>
        </is>
      </c>
    </row>
    <row r="56">
      <c r="A56" s="6" t="inlineStr">
        <is>
          <t>SW ProMar Ceiling</t>
        </is>
      </c>
      <c r="B56" s="6" t="inlineStr">
        <is>
          <t>Ceiling</t>
        </is>
      </c>
      <c r="C56" s="6" t="n">
        <v>38</v>
      </c>
      <c r="D56" s="6" t="n">
        <v>350</v>
      </c>
      <c r="E56" s="6" t="inlineStr">
        <is>
          <t>flat</t>
        </is>
      </c>
      <c r="F56" s="6" t="inlineStr">
        <is>
          <t>Y</t>
        </is>
      </c>
    </row>
    <row r="57">
      <c r="A57" s="6" t="inlineStr">
        <is>
          <t>SW Emerald Urethane</t>
        </is>
      </c>
      <c r="B57" s="6" t="inlineStr">
        <is>
          <t>Trim</t>
        </is>
      </c>
      <c r="C57" s="6" t="n">
        <v>95</v>
      </c>
      <c r="D57" s="6" t="n">
        <v>450</v>
      </c>
      <c r="E57" s="6" t="inlineStr"/>
      <c r="F57" s="6" t="inlineStr">
        <is>
          <t>Y</t>
        </is>
      </c>
    </row>
    <row r="58">
      <c r="A58" s="6" t="inlineStr">
        <is>
          <t>SW ProClassic</t>
        </is>
      </c>
      <c r="B58" s="6" t="inlineStr">
        <is>
          <t>Trim</t>
        </is>
      </c>
      <c r="C58" s="6" t="n">
        <v>75</v>
      </c>
      <c r="D58" s="6" t="n">
        <v>400</v>
      </c>
      <c r="E58" s="6" t="inlineStr"/>
      <c r="F58" s="6" t="inlineStr">
        <is>
          <t>Y</t>
        </is>
      </c>
    </row>
    <row r="59">
      <c r="A59" s="6" t="inlineStr">
        <is>
          <t>Zinsser BIN</t>
        </is>
      </c>
      <c r="B59" s="6" t="inlineStr">
        <is>
          <t>Primer</t>
        </is>
      </c>
      <c r="C59" s="6" t="n">
        <v>65</v>
      </c>
      <c r="D59" s="6" t="n">
        <v>300</v>
      </c>
      <c r="E59" s="6" t="inlineStr">
        <is>
          <t>shellac</t>
        </is>
      </c>
      <c r="F59" s="6" t="inlineStr">
        <is>
          <t>Y</t>
        </is>
      </c>
    </row>
    <row r="60">
      <c r="A60" s="6" t="inlineStr">
        <is>
          <t>SW Extreme Bond</t>
        </is>
      </c>
      <c r="B60" s="6" t="inlineStr">
        <is>
          <t>Primer</t>
        </is>
      </c>
      <c r="C60" s="6" t="n">
        <v>55</v>
      </c>
      <c r="D60" s="6" t="n">
        <v>300</v>
      </c>
      <c r="E60" s="6" t="inlineStr">
        <is>
          <t>bonding</t>
        </is>
      </c>
      <c r="F60" s="6" t="inlineStr">
        <is>
          <t>Y</t>
        </is>
      </c>
    </row>
    <row r="92">
      <c r="A92" t="inlineStr">
        <is>
          <t>COLOR CODES (for app-friendly wall/ceiling color selection)</t>
        </is>
      </c>
    </row>
    <row r="93">
      <c r="A93" t="inlineStr">
        <is>
          <t>ColorID</t>
        </is>
      </c>
      <c r="B93" t="inlineStr">
        <is>
          <t>DisplayName</t>
        </is>
      </c>
      <c r="C93" t="inlineStr">
        <is>
          <t>Active?</t>
        </is>
      </c>
    </row>
    <row r="94">
      <c r="A94" t="inlineStr">
        <is>
          <t>A</t>
        </is>
      </c>
      <c r="B94" t="inlineStr">
        <is>
          <t>Color A</t>
        </is>
      </c>
      <c r="C94" t="inlineStr">
        <is>
          <t>Y</t>
        </is>
      </c>
    </row>
    <row r="95">
      <c r="A95" t="inlineStr">
        <is>
          <t>B</t>
        </is>
      </c>
      <c r="B95" t="inlineStr">
        <is>
          <t>Color B</t>
        </is>
      </c>
      <c r="C95" t="inlineStr">
        <is>
          <t>Y</t>
        </is>
      </c>
    </row>
    <row r="96">
      <c r="A96" t="inlineStr">
        <is>
          <t>C</t>
        </is>
      </c>
      <c r="B96" t="inlineStr">
        <is>
          <t>Color C</t>
        </is>
      </c>
      <c r="C96" t="inlineStr">
        <is>
          <t>Y</t>
        </is>
      </c>
    </row>
    <row r="97">
      <c r="A97" t="inlineStr">
        <is>
          <t>D</t>
        </is>
      </c>
      <c r="B97" t="inlineStr">
        <is>
          <t>Color D</t>
        </is>
      </c>
      <c r="C97" t="inlineStr">
        <is>
          <t>Y</t>
        </is>
      </c>
    </row>
    <row r="98">
      <c r="A98" t="inlineStr">
        <is>
          <t>E</t>
        </is>
      </c>
      <c r="B98" t="inlineStr">
        <is>
          <t>Color E</t>
        </is>
      </c>
      <c r="C98" t="inlineStr">
        <is>
          <t>Y</t>
        </is>
      </c>
    </row>
    <row r="99">
      <c r="A99" t="inlineStr">
        <is>
          <t>F</t>
        </is>
      </c>
      <c r="B99" t="inlineStr">
        <is>
          <t>Color F</t>
        </is>
      </c>
      <c r="C99" t="inlineStr">
        <is>
          <t>Y</t>
        </is>
      </c>
    </row>
    <row r="100">
      <c r="A100" t="inlineStr">
        <is>
          <t>G</t>
        </is>
      </c>
      <c r="B100" t="inlineStr">
        <is>
          <t>Color G</t>
        </is>
      </c>
      <c r="C100" t="inlineStr">
        <is>
          <t>Y</t>
        </is>
      </c>
    </row>
    <row r="101">
      <c r="A101" t="inlineStr">
        <is>
          <t>H</t>
        </is>
      </c>
      <c r="B101" t="inlineStr">
        <is>
          <t>Color H</t>
        </is>
      </c>
      <c r="C101" t="inlineStr">
        <is>
          <t>Y</t>
        </is>
      </c>
    </row>
    <row r="104">
      <c r="A104" t="inlineStr">
        <is>
          <t>SUPPLIES DEFAULTS (optional)</t>
        </is>
      </c>
    </row>
    <row r="105">
      <c r="A105" t="inlineStr">
        <is>
          <t>Key</t>
        </is>
      </c>
      <c r="B105" t="inlineStr">
        <is>
          <t>Value</t>
        </is>
      </c>
    </row>
    <row r="106">
      <c r="A106" t="inlineStr">
        <is>
          <t>SuppliesWallsPerSqft</t>
        </is>
      </c>
      <c r="B106" t="n">
        <v>0</v>
      </c>
    </row>
    <row r="107">
      <c r="A107" t="inlineStr">
        <is>
          <t>SuppliesCeilingsPerSqft</t>
        </is>
      </c>
      <c r="B107" t="n">
        <v>0</v>
      </c>
    </row>
    <row r="108">
      <c r="A108" t="inlineStr">
        <is>
          <t>SuppliesTrimPerLF</t>
        </is>
      </c>
      <c r="B108" t="n">
        <v>0</v>
      </c>
    </row>
    <row r="120"/>
    <row r="121">
      <c r="A121" s="1" t="inlineStr">
        <is>
          <t>CATALOGS (app reads these; add rows freely; use Active?='Y')</t>
        </is>
      </c>
    </row>
    <row r="122"/>
    <row r="123">
      <c r="A123" s="4" t="inlineStr">
        <is>
          <t>CAT_PaintProducts</t>
        </is>
      </c>
    </row>
    <row r="124">
      <c r="A124" s="5" t="inlineStr">
        <is>
          <t>PaintProductID</t>
        </is>
      </c>
      <c r="B124" s="5" t="inlineStr">
        <is>
          <t>DisplayName</t>
        </is>
      </c>
      <c r="C124" s="5" t="inlineStr">
        <is>
          <t>Type</t>
        </is>
      </c>
      <c r="D124" s="5" t="inlineStr">
        <is>
          <t>Price_per_gal</t>
        </is>
      </c>
      <c r="E124" s="5" t="inlineStr">
        <is>
          <t>Coverage_sqft_per_gal_per_coat</t>
        </is>
      </c>
      <c r="F124" s="5" t="inlineStr">
        <is>
          <t>Notes</t>
        </is>
      </c>
      <c r="G124" s="5" t="inlineStr">
        <is>
          <t>Active?</t>
        </is>
      </c>
    </row>
    <row r="125">
      <c r="A125" s="6" t="inlineStr">
        <is>
          <t>PM400_WALL</t>
        </is>
      </c>
      <c r="B125" s="6" t="inlineStr">
        <is>
          <t>SW ProMar 400</t>
        </is>
      </c>
      <c r="C125" s="6" t="inlineStr">
        <is>
          <t>Wall</t>
        </is>
      </c>
      <c r="D125" s="6" t="n">
        <v>40</v>
      </c>
      <c r="E125" s="6" t="n">
        <v>350</v>
      </c>
      <c r="F125" s="6" t="inlineStr"/>
      <c r="G125" s="6" t="inlineStr">
        <is>
          <t>Y</t>
        </is>
      </c>
    </row>
    <row r="126">
      <c r="A126" s="6" t="inlineStr">
        <is>
          <t>DURATION_WALL</t>
        </is>
      </c>
      <c r="B126" s="6" t="inlineStr">
        <is>
          <t>SW Duration</t>
        </is>
      </c>
      <c r="C126" s="6" t="inlineStr">
        <is>
          <t>Wall</t>
        </is>
      </c>
      <c r="D126" s="6" t="n">
        <v>70</v>
      </c>
      <c r="E126" s="6" t="n">
        <v>350</v>
      </c>
      <c r="F126" s="6" t="inlineStr"/>
      <c r="G126" s="6" t="inlineStr">
        <is>
          <t>Y</t>
        </is>
      </c>
    </row>
    <row r="127">
      <c r="A127" s="6" t="inlineStr">
        <is>
          <t>EMERALD_WALL</t>
        </is>
      </c>
      <c r="B127" s="6" t="inlineStr">
        <is>
          <t>SW Emerald</t>
        </is>
      </c>
      <c r="C127" s="6" t="inlineStr">
        <is>
          <t>Wall</t>
        </is>
      </c>
      <c r="D127" s="6" t="n">
        <v>85</v>
      </c>
      <c r="E127" s="6" t="n">
        <v>350</v>
      </c>
      <c r="F127" s="6" t="inlineStr"/>
      <c r="G127" s="6" t="inlineStr">
        <is>
          <t>Y</t>
        </is>
      </c>
    </row>
    <row r="128">
      <c r="A128" s="6" t="inlineStr">
        <is>
          <t>PM_CEILING</t>
        </is>
      </c>
      <c r="B128" s="6" t="inlineStr">
        <is>
          <t>SW ProMar Ceiling</t>
        </is>
      </c>
      <c r="C128" s="6" t="inlineStr">
        <is>
          <t>Ceiling</t>
        </is>
      </c>
      <c r="D128" s="6" t="n">
        <v>38</v>
      </c>
      <c r="E128" s="6" t="n">
        <v>350</v>
      </c>
      <c r="F128" s="6" t="inlineStr">
        <is>
          <t>flat</t>
        </is>
      </c>
      <c r="G128" s="6" t="inlineStr">
        <is>
          <t>Y</t>
        </is>
      </c>
    </row>
    <row r="129">
      <c r="A129" s="6" t="inlineStr">
        <is>
          <t>EU_TRIM</t>
        </is>
      </c>
      <c r="B129" s="6" t="inlineStr">
        <is>
          <t>SW Emerald Urethane</t>
        </is>
      </c>
      <c r="C129" s="6" t="inlineStr">
        <is>
          <t>Trim</t>
        </is>
      </c>
      <c r="D129" s="6" t="n">
        <v>95</v>
      </c>
      <c r="E129" s="6" t="n">
        <v>450</v>
      </c>
      <c r="F129" s="6" t="inlineStr"/>
      <c r="G129" s="6" t="inlineStr">
        <is>
          <t>Y</t>
        </is>
      </c>
    </row>
    <row r="130">
      <c r="A130" s="6" t="inlineStr">
        <is>
          <t>PROCLASSIC_TRIM</t>
        </is>
      </c>
      <c r="B130" s="6" t="inlineStr">
        <is>
          <t>SW ProClassic</t>
        </is>
      </c>
      <c r="C130" s="6" t="inlineStr">
        <is>
          <t>Trim</t>
        </is>
      </c>
      <c r="D130" s="6" t="n">
        <v>75</v>
      </c>
      <c r="E130" s="6" t="n">
        <v>400</v>
      </c>
      <c r="F130" s="6" t="inlineStr"/>
      <c r="G130" s="6" t="inlineStr">
        <is>
          <t>Y</t>
        </is>
      </c>
    </row>
    <row r="131">
      <c r="A131" s="6" t="inlineStr">
        <is>
          <t>BIN_PRIMER</t>
        </is>
      </c>
      <c r="B131" s="6" t="inlineStr">
        <is>
          <t>Zinsser BIN</t>
        </is>
      </c>
      <c r="C131" s="6" t="inlineStr">
        <is>
          <t>Primer</t>
        </is>
      </c>
      <c r="D131" s="6" t="n">
        <v>65</v>
      </c>
      <c r="E131" s="6" t="n">
        <v>300</v>
      </c>
      <c r="F131" s="6" t="inlineStr">
        <is>
          <t>shellac</t>
        </is>
      </c>
      <c r="G131" s="6" t="inlineStr">
        <is>
          <t>Y</t>
        </is>
      </c>
    </row>
    <row r="132">
      <c r="A132" s="6" t="inlineStr">
        <is>
          <t>EXTREME_BOND</t>
        </is>
      </c>
      <c r="B132" s="6" t="inlineStr">
        <is>
          <t>SW Extreme Bond</t>
        </is>
      </c>
      <c r="C132" s="6" t="inlineStr">
        <is>
          <t>Primer</t>
        </is>
      </c>
      <c r="D132" s="6" t="n">
        <v>55</v>
      </c>
      <c r="E132" s="6" t="n">
        <v>300</v>
      </c>
      <c r="F132" s="6" t="inlineStr">
        <is>
          <t>bonding</t>
        </is>
      </c>
      <c r="G132" s="6" t="inlineStr">
        <is>
          <t>Y</t>
        </is>
      </c>
    </row>
    <row r="134"/>
    <row r="135">
      <c r="A135" s="4" t="inlineStr">
        <is>
          <t>CAT_TrimItems</t>
        </is>
      </c>
    </row>
    <row r="136">
      <c r="A136" s="5" t="inlineStr">
        <is>
          <t>TrimItemID</t>
        </is>
      </c>
      <c r="B136" s="5" t="inlineStr">
        <is>
          <t>DisplayName</t>
        </is>
      </c>
      <c r="C136" s="5" t="inlineStr">
        <is>
          <t>Unit</t>
        </is>
      </c>
      <c r="D136" s="5" t="inlineStr">
        <is>
          <t>PrepMins_perUnit</t>
        </is>
      </c>
      <c r="E136" s="5" t="inlineStr">
        <is>
          <t>PaintMinsPerCoat_perUnit</t>
        </is>
      </c>
      <c r="F136" s="5" t="inlineStr">
        <is>
          <t>PrimerMins_perUnit</t>
        </is>
      </c>
      <c r="G136" s="5" t="inlineStr">
        <is>
          <t>Active?</t>
        </is>
      </c>
    </row>
    <row r="137">
      <c r="A137" s="6" t="inlineStr">
        <is>
          <t>BASEBOARD_LF</t>
        </is>
      </c>
      <c r="B137" s="6" t="inlineStr">
        <is>
          <t>Baseboard</t>
        </is>
      </c>
      <c r="C137" s="6" t="inlineStr">
        <is>
          <t>LF</t>
        </is>
      </c>
      <c r="D137" s="6" t="n">
        <v>0.35</v>
      </c>
      <c r="E137" s="6" t="n">
        <v>0.25</v>
      </c>
      <c r="F137" s="6" t="n">
        <v>0.2</v>
      </c>
      <c r="G137" s="6" t="inlineStr">
        <is>
          <t>Y</t>
        </is>
      </c>
    </row>
    <row r="138">
      <c r="A138" s="6" t="inlineStr">
        <is>
          <t>CROWN_LF</t>
        </is>
      </c>
      <c r="B138" s="6" t="inlineStr">
        <is>
          <t>Crown</t>
        </is>
      </c>
      <c r="C138" s="6" t="inlineStr">
        <is>
          <t>LF</t>
        </is>
      </c>
      <c r="D138" s="6" t="n">
        <v>0.45</v>
      </c>
      <c r="E138" s="6" t="n">
        <v>0.3</v>
      </c>
      <c r="F138" s="6" t="n">
        <v>0.25</v>
      </c>
      <c r="G138" s="6" t="inlineStr">
        <is>
          <t>Y</t>
        </is>
      </c>
    </row>
    <row r="139">
      <c r="A139" s="6" t="inlineStr">
        <is>
          <t>WIN_CASING_LF</t>
        </is>
      </c>
      <c r="B139" s="6" t="inlineStr">
        <is>
          <t>Window Casing</t>
        </is>
      </c>
      <c r="C139" s="6" t="inlineStr">
        <is>
          <t>LF</t>
        </is>
      </c>
      <c r="D139" s="6" t="n">
        <v>0.6</v>
      </c>
      <c r="E139" s="6" t="n">
        <v>0.35</v>
      </c>
      <c r="F139" s="6" t="n">
        <v>0.3</v>
      </c>
      <c r="G139" s="6" t="inlineStr">
        <is>
          <t>Y</t>
        </is>
      </c>
    </row>
    <row r="140">
      <c r="A140" s="6" t="inlineStr">
        <is>
          <t>DOOR_CASING_LF</t>
        </is>
      </c>
      <c r="B140" s="6" t="inlineStr">
        <is>
          <t>Door Casing</t>
        </is>
      </c>
      <c r="C140" s="6" t="inlineStr">
        <is>
          <t>LF</t>
        </is>
      </c>
      <c r="D140" s="6" t="n">
        <v>0.7</v>
      </c>
      <c r="E140" s="6" t="n">
        <v>0.4</v>
      </c>
      <c r="F140" s="6" t="n">
        <v>0.35</v>
      </c>
      <c r="G140" s="6" t="inlineStr">
        <is>
          <t>Y</t>
        </is>
      </c>
    </row>
    <row r="141">
      <c r="A141" s="6" t="inlineStr">
        <is>
          <t>SOFFIT_LF</t>
        </is>
      </c>
      <c r="B141" s="6" t="inlineStr">
        <is>
          <t>Soffit / Beam</t>
        </is>
      </c>
      <c r="C141" s="6" t="inlineStr">
        <is>
          <t>LF</t>
        </is>
      </c>
      <c r="D141" s="6" t="n">
        <v>0.55</v>
      </c>
      <c r="E141" s="6" t="n">
        <v>0.35</v>
      </c>
      <c r="F141" s="6" t="n">
        <v>0.3</v>
      </c>
      <c r="G141" s="6" t="inlineStr">
        <is>
          <t>N</t>
        </is>
      </c>
    </row>
    <row r="143"/>
    <row r="144">
      <c r="A144" s="4" t="inlineStr">
        <is>
          <t>CAT_OpeningTypes</t>
        </is>
      </c>
    </row>
    <row r="145">
      <c r="A145" s="5" t="inlineStr">
        <is>
          <t>OpeningTypeID</t>
        </is>
      </c>
      <c r="B145" s="5" t="inlineStr">
        <is>
          <t>DisplayName</t>
        </is>
      </c>
      <c r="C145" s="5" t="inlineStr">
        <is>
          <t>Category</t>
        </is>
      </c>
      <c r="D145" s="5" t="inlineStr">
        <is>
          <t>DefaultWidth_in</t>
        </is>
      </c>
      <c r="E145" s="5" t="inlineStr">
        <is>
          <t>DefaultHeight_in</t>
        </is>
      </c>
      <c r="F145" s="5" t="inlineStr">
        <is>
          <t>CasingLF_default</t>
        </is>
      </c>
      <c r="G145" s="5" t="inlineStr">
        <is>
          <t>CutInMins_each</t>
        </is>
      </c>
      <c r="H145" s="5" t="inlineStr">
        <is>
          <t>Active?</t>
        </is>
      </c>
    </row>
    <row r="146">
      <c r="A146" s="6" t="inlineStr">
        <is>
          <t>SINGLE_DOOR</t>
        </is>
      </c>
      <c r="B146" s="6" t="inlineStr">
        <is>
          <t>Single Door</t>
        </is>
      </c>
      <c r="C146" s="6" t="inlineStr">
        <is>
          <t>Door</t>
        </is>
      </c>
      <c r="D146" s="6" t="n">
        <v>36</v>
      </c>
      <c r="E146" s="6" t="n">
        <v>80</v>
      </c>
      <c r="F146" s="6" t="n">
        <v>17</v>
      </c>
      <c r="G146" s="6" t="n">
        <v>12</v>
      </c>
      <c r="H146" s="6" t="inlineStr">
        <is>
          <t>Y</t>
        </is>
      </c>
    </row>
    <row r="147">
      <c r="A147" s="6" t="inlineStr">
        <is>
          <t>DOUBLE_DOOR</t>
        </is>
      </c>
      <c r="B147" s="6" t="inlineStr">
        <is>
          <t>Double Door</t>
        </is>
      </c>
      <c r="C147" s="6" t="inlineStr">
        <is>
          <t>Door</t>
        </is>
      </c>
      <c r="D147" s="6" t="n">
        <v>60</v>
      </c>
      <c r="E147" s="6" t="n">
        <v>80</v>
      </c>
      <c r="F147" s="6" t="n">
        <v>24</v>
      </c>
      <c r="G147" s="6" t="n">
        <v>18</v>
      </c>
      <c r="H147" s="6" t="inlineStr">
        <is>
          <t>Y</t>
        </is>
      </c>
    </row>
    <row r="148">
      <c r="A148" s="6" t="inlineStr">
        <is>
          <t>SINGLE_WINDOW</t>
        </is>
      </c>
      <c r="B148" s="6" t="inlineStr">
        <is>
          <t>Single Window</t>
        </is>
      </c>
      <c r="C148" s="6" t="inlineStr">
        <is>
          <t>Window</t>
        </is>
      </c>
      <c r="D148" s="6" t="n">
        <v>36</v>
      </c>
      <c r="E148" s="6" t="n">
        <v>48</v>
      </c>
      <c r="F148" s="6" t="n">
        <v>14</v>
      </c>
      <c r="G148" s="6" t="n">
        <v>10</v>
      </c>
      <c r="H148" s="6" t="inlineStr">
        <is>
          <t>Y</t>
        </is>
      </c>
    </row>
    <row r="149">
      <c r="A149" s="6" t="inlineStr">
        <is>
          <t>DOUBLE_WINDOW</t>
        </is>
      </c>
      <c r="B149" s="6" t="inlineStr">
        <is>
          <t>Double Window</t>
        </is>
      </c>
      <c r="C149" s="6" t="inlineStr">
        <is>
          <t>Window</t>
        </is>
      </c>
      <c r="D149" s="6" t="n">
        <v>72</v>
      </c>
      <c r="E149" s="6" t="n">
        <v>48</v>
      </c>
      <c r="F149" s="6" t="n">
        <v>22</v>
      </c>
      <c r="G149" s="6" t="n">
        <v>16</v>
      </c>
      <c r="H149" s="6" t="inlineStr">
        <is>
          <t>Y</t>
        </is>
      </c>
    </row>
    <row r="150">
      <c r="A150" s="6" t="inlineStr">
        <is>
          <t>SLIDER</t>
        </is>
      </c>
      <c r="B150" s="6" t="inlineStr">
        <is>
          <t>Slider</t>
        </is>
      </c>
      <c r="C150" s="6" t="inlineStr">
        <is>
          <t>Door</t>
        </is>
      </c>
      <c r="D150" s="6" t="n">
        <v>72</v>
      </c>
      <c r="E150" s="6" t="n">
        <v>80</v>
      </c>
      <c r="F150" s="6" t="n">
        <v>0</v>
      </c>
      <c r="G150" s="6" t="n">
        <v>20</v>
      </c>
      <c r="H150" s="6" t="inlineStr">
        <is>
          <t>Y</t>
        </is>
      </c>
    </row>
    <row r="152"/>
    <row r="153">
      <c r="A153" s="4" t="inlineStr">
        <is>
          <t>CAT_DoorTypes</t>
        </is>
      </c>
    </row>
    <row r="154">
      <c r="A154" s="5" t="inlineStr">
        <is>
          <t>DoorTypeID</t>
        </is>
      </c>
      <c r="B154" s="5" t="inlineStr">
        <is>
          <t>DisplayName</t>
        </is>
      </c>
      <c r="C154" s="5" t="inlineStr">
        <is>
          <t>PrepMins_perSide</t>
        </is>
      </c>
      <c r="D154" s="5" t="inlineStr">
        <is>
          <t>PaintMinsPerCoat_perSide</t>
        </is>
      </c>
      <c r="E154" s="5" t="inlineStr">
        <is>
          <t>PrimerMins_perSide</t>
        </is>
      </c>
      <c r="F154" s="5" t="inlineStr">
        <is>
          <t>Active?</t>
        </is>
      </c>
    </row>
    <row r="155">
      <c r="A155" s="6" t="inlineStr">
        <is>
          <t>HOLLOW_CORE</t>
        </is>
      </c>
      <c r="B155" s="6" t="inlineStr">
        <is>
          <t>Hollow Core</t>
        </is>
      </c>
      <c r="C155" s="6" t="n">
        <v>6</v>
      </c>
      <c r="D155" s="6" t="n">
        <v>8</v>
      </c>
      <c r="E155" s="6" t="n">
        <v>6</v>
      </c>
      <c r="F155" s="6" t="inlineStr">
        <is>
          <t>Y</t>
        </is>
      </c>
    </row>
    <row r="156">
      <c r="A156" s="6" t="inlineStr">
        <is>
          <t>SIX_PANEL</t>
        </is>
      </c>
      <c r="B156" s="6" t="inlineStr">
        <is>
          <t>6 Panel</t>
        </is>
      </c>
      <c r="C156" s="6" t="n">
        <v>10</v>
      </c>
      <c r="D156" s="6" t="n">
        <v>14</v>
      </c>
      <c r="E156" s="6" t="n">
        <v>10</v>
      </c>
      <c r="F156" s="6" t="inlineStr">
        <is>
          <t>Y</t>
        </is>
      </c>
    </row>
    <row r="157">
      <c r="A157" s="6" t="inlineStr">
        <is>
          <t>SOLID_CORE</t>
        </is>
      </c>
      <c r="B157" s="6" t="inlineStr">
        <is>
          <t>Solid Core</t>
        </is>
      </c>
      <c r="C157" s="6" t="n">
        <v>12</v>
      </c>
      <c r="D157" s="6" t="n">
        <v>16</v>
      </c>
      <c r="E157" s="6" t="n">
        <v>12</v>
      </c>
      <c r="F157" s="6" t="inlineStr">
        <is>
          <t>Y</t>
        </is>
      </c>
    </row>
    <row r="158">
      <c r="A158" s="6" t="inlineStr">
        <is>
          <t>FRENCH</t>
        </is>
      </c>
      <c r="B158" s="6" t="inlineStr">
        <is>
          <t>French</t>
        </is>
      </c>
      <c r="C158" s="6" t="n">
        <v>20</v>
      </c>
      <c r="D158" s="6" t="n">
        <v>24</v>
      </c>
      <c r="E158" s="6" t="n">
        <v>20</v>
      </c>
      <c r="F158" s="6" t="inlineStr">
        <is>
          <t>Y</t>
        </is>
      </c>
    </row>
    <row r="161">
      <c r="A161" t="inlineStr">
        <is>
          <t>CAT_CeilingTypes</t>
        </is>
      </c>
    </row>
    <row r="162">
      <c r="A162" t="inlineStr">
        <is>
          <t>CeilingTypeID</t>
        </is>
      </c>
      <c r="B162" t="inlineStr">
        <is>
          <t>DisplayName</t>
        </is>
      </c>
      <c r="C162" t="inlineStr">
        <is>
          <t>LaborMult</t>
        </is>
      </c>
      <c r="D162" t="inlineStr">
        <is>
          <t>Surcharge_per_sqft</t>
        </is>
      </c>
      <c r="E162" t="inlineStr">
        <is>
          <t>Notes</t>
        </is>
      </c>
      <c r="F162" t="inlineStr">
        <is>
          <t>Active?</t>
        </is>
      </c>
    </row>
    <row r="163">
      <c r="A163" t="inlineStr">
        <is>
          <t>FLAT</t>
        </is>
      </c>
      <c r="B163" t="inlineStr">
        <is>
          <t>Flat</t>
        </is>
      </c>
      <c r="C163" t="n">
        <v>1</v>
      </c>
      <c r="D163" t="n">
        <v>0</v>
      </c>
      <c r="E163" t="inlineStr">
        <is>
          <t>Standard flat ceiling</t>
        </is>
      </c>
      <c r="F163" t="inlineStr">
        <is>
          <t>Y</t>
        </is>
      </c>
    </row>
    <row r="164">
      <c r="A164" t="inlineStr">
        <is>
          <t>VAULT</t>
        </is>
      </c>
      <c r="B164" t="inlineStr">
        <is>
          <t>Vaulted</t>
        </is>
      </c>
      <c r="C164" t="n">
        <v>1.25</v>
      </c>
      <c r="D164" t="n">
        <v>0</v>
      </c>
      <c r="E164" t="inlineStr">
        <is>
          <t>Extra cutting/rolling difficulty</t>
        </is>
      </c>
      <c r="F164" t="inlineStr">
        <is>
          <t>Y</t>
        </is>
      </c>
    </row>
    <row r="165">
      <c r="A165" t="inlineStr">
        <is>
          <t>TRAY</t>
        </is>
      </c>
      <c r="B165" t="inlineStr">
        <is>
          <t>Tray</t>
        </is>
      </c>
      <c r="C165" t="n">
        <v>1.3</v>
      </c>
      <c r="D165" t="n">
        <v>0</v>
      </c>
      <c r="E165" t="inlineStr">
        <is>
          <t>Tray ceiling</t>
        </is>
      </c>
      <c r="F165" t="inlineStr">
        <is>
          <t>Y</t>
        </is>
      </c>
    </row>
    <row r="166">
      <c r="A166" t="inlineStr">
        <is>
          <t>COFF</t>
        </is>
      </c>
      <c r="B166" t="inlineStr">
        <is>
          <t>Coffered</t>
        </is>
      </c>
      <c r="C166" t="n">
        <v>1.45</v>
      </c>
      <c r="D166" t="n">
        <v>0</v>
      </c>
      <c r="E166" t="inlineStr">
        <is>
          <t>Coffered ceiling</t>
        </is>
      </c>
      <c r="F166" t="inlineStr">
        <is>
          <t>Y</t>
        </is>
      </c>
    </row>
    <row r="169">
      <c r="A169" t="inlineStr">
        <is>
          <t>CAT_RollerCovers</t>
        </is>
      </c>
    </row>
    <row r="170">
      <c r="A170" t="inlineStr">
        <is>
          <t>RollerCoverID</t>
        </is>
      </c>
      <c r="B170" t="inlineStr">
        <is>
          <t>Scope</t>
        </is>
      </c>
      <c r="C170" t="inlineStr">
        <is>
          <t>Size_in</t>
        </is>
      </c>
      <c r="D170" t="inlineStr">
        <is>
          <t>Price_each</t>
        </is>
      </c>
      <c r="E170" t="inlineStr">
        <is>
          <t>Notes</t>
        </is>
      </c>
      <c r="F170" t="inlineStr">
        <is>
          <t>Active?</t>
        </is>
      </c>
    </row>
    <row r="171">
      <c r="A171" t="inlineStr">
        <is>
          <t>WALL_9</t>
        </is>
      </c>
      <c r="B171" t="inlineStr">
        <is>
          <t>Wall</t>
        </is>
      </c>
      <c r="C171" t="n">
        <v>9</v>
      </c>
      <c r="D171" s="13" t="n">
        <v>6</v>
      </c>
      <c r="E171" t="inlineStr">
        <is>
          <t>9" wall cover</t>
        </is>
      </c>
      <c r="F171" t="inlineStr">
        <is>
          <t>Y</t>
        </is>
      </c>
    </row>
    <row r="172">
      <c r="A172" t="inlineStr">
        <is>
          <t>WALL_14</t>
        </is>
      </c>
      <c r="B172" t="inlineStr">
        <is>
          <t>Wall</t>
        </is>
      </c>
      <c r="C172" t="n">
        <v>14</v>
      </c>
      <c r="D172" s="13" t="n">
        <v>10</v>
      </c>
      <c r="E172" t="inlineStr">
        <is>
          <t>14" wall cover</t>
        </is>
      </c>
      <c r="F172" t="inlineStr">
        <is>
          <t>Y</t>
        </is>
      </c>
    </row>
    <row r="173">
      <c r="A173" t="inlineStr">
        <is>
          <t>WALL_18</t>
        </is>
      </c>
      <c r="B173" t="inlineStr">
        <is>
          <t>Wall</t>
        </is>
      </c>
      <c r="C173" t="n">
        <v>18</v>
      </c>
      <c r="D173" s="13" t="n">
        <v>12</v>
      </c>
      <c r="E173" t="inlineStr">
        <is>
          <t>18" wall cover</t>
        </is>
      </c>
      <c r="F173" t="inlineStr">
        <is>
          <t>Y</t>
        </is>
      </c>
    </row>
    <row r="174">
      <c r="A174" t="inlineStr">
        <is>
          <t>CEIL_9</t>
        </is>
      </c>
      <c r="B174" t="inlineStr">
        <is>
          <t>Ceiling</t>
        </is>
      </c>
      <c r="C174" t="n">
        <v>9</v>
      </c>
      <c r="D174" s="13" t="n">
        <v>6</v>
      </c>
      <c r="E174" t="inlineStr">
        <is>
          <t>9" ceiling cover</t>
        </is>
      </c>
      <c r="F174" t="inlineStr">
        <is>
          <t>Y</t>
        </is>
      </c>
    </row>
    <row r="175">
      <c r="A175" t="inlineStr">
        <is>
          <t>CEIL_14</t>
        </is>
      </c>
      <c r="B175" t="inlineStr">
        <is>
          <t>Ceiling</t>
        </is>
      </c>
      <c r="C175" t="n">
        <v>14</v>
      </c>
      <c r="D175" s="13" t="n">
        <v>10</v>
      </c>
      <c r="E175" t="inlineStr">
        <is>
          <t>14" ceiling cover</t>
        </is>
      </c>
      <c r="F175" t="inlineStr">
        <is>
          <t>Y</t>
        </is>
      </c>
    </row>
    <row r="176">
      <c r="A176" t="inlineStr">
        <is>
          <t>CEIL_18</t>
        </is>
      </c>
      <c r="B176" t="inlineStr">
        <is>
          <t>Ceiling</t>
        </is>
      </c>
      <c r="C176" t="n">
        <v>18</v>
      </c>
      <c r="D176" s="13" t="n">
        <v>12</v>
      </c>
      <c r="E176" t="inlineStr">
        <is>
          <t>18" ceiling cover</t>
        </is>
      </c>
      <c r="F176" t="inlineStr">
        <is>
          <t>Y</t>
        </is>
      </c>
    </row>
  </sheetData>
  <mergeCells count="19">
    <mergeCell ref="H28:K28"/>
    <mergeCell ref="A8:D8"/>
    <mergeCell ref="A50:F50"/>
    <mergeCell ref="A120:L120"/>
    <mergeCell ref="A1:K1"/>
    <mergeCell ref="E8:F8"/>
    <mergeCell ref="A6:K6"/>
    <mergeCell ref="A122:L122"/>
    <mergeCell ref="A38:F38"/>
    <mergeCell ref="A28:F28"/>
    <mergeCell ref="A134:L134"/>
    <mergeCell ref="A3:K3"/>
    <mergeCell ref="A152:L152"/>
    <mergeCell ref="H8:J8"/>
    <mergeCell ref="A143:L143"/>
    <mergeCell ref="A5:K5"/>
    <mergeCell ref="F18:I18"/>
    <mergeCell ref="A18:D18"/>
    <mergeCell ref="A4:K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cols>
    <col hidden="1" width="13" customWidth="1" min="1" max="1"/>
    <col width="22" customWidth="1" min="2" max="2"/>
    <col width="22" customWidth="1" min="3" max="3"/>
    <col width="22" customWidth="1" min="4" max="4"/>
    <col width="18" customWidth="1" min="5" max="5"/>
    <col width="18" customWidth="1" min="6" max="6"/>
    <col width="14" customWidth="1" min="7" max="7"/>
    <col width="20" customWidth="1" min="8" max="8"/>
    <col width="12" customWidth="1" min="9" max="9"/>
    <col width="35" customWidth="1" min="10" max="10"/>
  </cols>
  <sheetData>
    <row r="1">
      <c r="A1" s="1" t="inlineStr">
        <is>
          <t>INPUT_JOBSETTINGS (per job paint selections + overrides)</t>
        </is>
      </c>
    </row>
    <row r="3">
      <c r="A3" s="12" t="inlineStr">
        <is>
          <t>App-first: JobID is hidden; app writes it. Manual: unhide column A to edit.</t>
        </is>
      </c>
    </row>
    <row r="5">
      <c r="A5" s="5" t="inlineStr">
        <is>
          <t>JobID</t>
        </is>
      </c>
      <c r="B5" s="5" t="inlineStr">
        <is>
          <t>WallsPaint_ID</t>
        </is>
      </c>
      <c r="C5" s="5" t="inlineStr">
        <is>
          <t>CeilingPaint_ID</t>
        </is>
      </c>
      <c r="D5" s="5" t="inlineStr">
        <is>
          <t>TrimPaint_ID</t>
        </is>
      </c>
      <c r="E5" s="5" t="inlineStr">
        <is>
          <t>Primer_ID</t>
        </is>
      </c>
      <c r="F5" s="5" t="inlineStr">
        <is>
          <t>Override_LaborRate</t>
        </is>
      </c>
      <c r="G5" s="5" t="inlineStr">
        <is>
          <t>Override_Markup</t>
        </is>
      </c>
      <c r="H5" s="5" t="inlineStr">
        <is>
          <t>RoundingIncrementHours</t>
        </is>
      </c>
      <c r="I5" s="5" t="inlineStr">
        <is>
          <t>DayHours</t>
        </is>
      </c>
      <c r="J5" s="5" t="inlineStr">
        <is>
          <t>Notes</t>
        </is>
      </c>
      <c r="K5" s="5" t="inlineStr">
        <is>
          <t>WallsPaint_Name (calc)</t>
        </is>
      </c>
      <c r="L5" s="5" t="inlineStr">
        <is>
          <t>CeilingPaint_Name (calc)</t>
        </is>
      </c>
      <c r="M5" s="5" t="inlineStr">
        <is>
          <t>TrimPaint_Name (calc)</t>
        </is>
      </c>
      <c r="N5" s="5" t="inlineStr">
        <is>
          <t>Primer_Name (calc)</t>
        </is>
      </c>
      <c r="O5" t="inlineStr">
        <is>
          <t>WallsPaint_gal_override</t>
        </is>
      </c>
      <c r="P5" t="inlineStr">
        <is>
          <t>CeilingPaint_gal_override</t>
        </is>
      </c>
      <c r="Q5" t="inlineStr">
        <is>
          <t>Primer_gal_override</t>
        </is>
      </c>
      <c r="R5" t="inlineStr">
        <is>
          <t>ExtraSupplies_Walls$</t>
        </is>
      </c>
      <c r="S5" t="inlineStr">
        <is>
          <t>ExtraSupplies_Ceilings$</t>
        </is>
      </c>
      <c r="T5" t="inlineStr">
        <is>
          <t>ExtraSupplies_Trim$</t>
        </is>
      </c>
    </row>
    <row r="6">
      <c r="A6" s="8" t="n"/>
      <c r="B6" s="8" t="n"/>
      <c r="C6" s="8" t="n"/>
      <c r="D6" s="8" t="n"/>
      <c r="E6" s="8" t="n"/>
      <c r="F6" s="8" t="n"/>
      <c r="G6" s="8" t="n"/>
      <c r="H6" s="8" t="n"/>
      <c r="I6" s="8" t="n"/>
      <c r="J6" s="6" t="n"/>
      <c r="K6" s="6">
        <f>IF(B6="","", XLOOKUP(B6, Constants!$A$123:$A$2000, Constants!$B$123:$B$2000, ""))</f>
        <v/>
      </c>
      <c r="L6" s="6">
        <f>IF(C6="","", XLOOKUP(C6, Constants!$A$123:$A$2000, Constants!$B$123:$B$2000, ""))</f>
        <v/>
      </c>
      <c r="M6" s="6">
        <f>IF(D6="","", XLOOKUP(D6, Constants!$A$123:$A$2000, Constants!$B$123:$B$2000, ""))</f>
        <v/>
      </c>
      <c r="N6" s="6">
        <f>IF(E6="","", XLOOKUP(E6, Constants!$A$123:$A$2000, Constants!$B$123:$B$2000, ""))</f>
        <v/>
      </c>
    </row>
    <row r="7">
      <c r="A7" s="8" t="n"/>
      <c r="B7" s="8" t="n"/>
      <c r="C7" s="8" t="n"/>
      <c r="D7" s="8" t="n"/>
      <c r="E7" s="8" t="n"/>
      <c r="F7" s="8" t="n"/>
      <c r="G7" s="8" t="n"/>
      <c r="H7" s="8" t="n"/>
      <c r="I7" s="8" t="n"/>
      <c r="J7" s="6" t="n"/>
      <c r="K7" s="6">
        <f>IF(B7="","", XLOOKUP(B7, Constants!$A$123:$A$2000, Constants!$B$123:$B$2000, ""))</f>
        <v/>
      </c>
      <c r="L7" s="6">
        <f>IF(C7="","", XLOOKUP(C7, Constants!$A$123:$A$2000, Constants!$B$123:$B$2000, ""))</f>
        <v/>
      </c>
      <c r="M7" s="6">
        <f>IF(D7="","", XLOOKUP(D7, Constants!$A$123:$A$2000, Constants!$B$123:$B$2000, ""))</f>
        <v/>
      </c>
      <c r="N7" s="6">
        <f>IF(E7="","", XLOOKUP(E7, Constants!$A$123:$A$2000, Constants!$B$123:$B$2000, ""))</f>
        <v/>
      </c>
    </row>
    <row r="8">
      <c r="A8" s="8" t="n"/>
      <c r="B8" s="8" t="n"/>
      <c r="C8" s="8" t="n"/>
      <c r="D8" s="8" t="n"/>
      <c r="E8" s="8" t="n"/>
      <c r="F8" s="8" t="n"/>
      <c r="G8" s="8" t="n"/>
      <c r="H8" s="8" t="n"/>
      <c r="I8" s="8" t="n"/>
      <c r="J8" s="6" t="n"/>
      <c r="K8" s="6">
        <f>IF(B8="","", XLOOKUP(B8, Constants!$A$123:$A$2000, Constants!$B$123:$B$2000, ""))</f>
        <v/>
      </c>
      <c r="L8" s="6">
        <f>IF(C8="","", XLOOKUP(C8, Constants!$A$123:$A$2000, Constants!$B$123:$B$2000, ""))</f>
        <v/>
      </c>
      <c r="M8" s="6">
        <f>IF(D8="","", XLOOKUP(D8, Constants!$A$123:$A$2000, Constants!$B$123:$B$2000, ""))</f>
        <v/>
      </c>
      <c r="N8" s="6">
        <f>IF(E8="","", XLOOKUP(E8, Constants!$A$123:$A$2000, Constants!$B$123:$B$2000, ""))</f>
        <v/>
      </c>
    </row>
    <row r="9">
      <c r="A9" s="8" t="n"/>
      <c r="B9" s="8" t="n"/>
      <c r="C9" s="8" t="n"/>
      <c r="D9" s="8" t="n"/>
      <c r="E9" s="8" t="n"/>
      <c r="F9" s="8" t="n"/>
      <c r="G9" s="8" t="n"/>
      <c r="H9" s="8" t="n"/>
      <c r="I9" s="8" t="n"/>
      <c r="J9" s="6" t="n"/>
      <c r="K9" s="6">
        <f>IF(B9="","", XLOOKUP(B9, Constants!$A$123:$A$2000, Constants!$B$123:$B$2000, ""))</f>
        <v/>
      </c>
      <c r="L9" s="6">
        <f>IF(C9="","", XLOOKUP(C9, Constants!$A$123:$A$2000, Constants!$B$123:$B$2000, ""))</f>
        <v/>
      </c>
      <c r="M9" s="6">
        <f>IF(D9="","", XLOOKUP(D9, Constants!$A$123:$A$2000, Constants!$B$123:$B$2000, ""))</f>
        <v/>
      </c>
      <c r="N9" s="6">
        <f>IF(E9="","", XLOOKUP(E9, Constants!$A$123:$A$2000, Constants!$B$123:$B$2000, ""))</f>
        <v/>
      </c>
    </row>
    <row r="10">
      <c r="A10" s="8" t="n"/>
      <c r="B10" s="8" t="n"/>
      <c r="C10" s="8" t="n"/>
      <c r="D10" s="8" t="n"/>
      <c r="E10" s="8" t="n"/>
      <c r="F10" s="8" t="n"/>
      <c r="G10" s="8" t="n"/>
      <c r="H10" s="8" t="n"/>
      <c r="I10" s="8" t="n"/>
      <c r="J10" s="6" t="n"/>
      <c r="K10" s="6">
        <f>IF(B10="","", XLOOKUP(B10, Constants!$A$123:$A$2000, Constants!$B$123:$B$2000, ""))</f>
        <v/>
      </c>
      <c r="L10" s="6">
        <f>IF(C10="","", XLOOKUP(C10, Constants!$A$123:$A$2000, Constants!$B$123:$B$2000, ""))</f>
        <v/>
      </c>
      <c r="M10" s="6">
        <f>IF(D10="","", XLOOKUP(D10, Constants!$A$123:$A$2000, Constants!$B$123:$B$2000, ""))</f>
        <v/>
      </c>
      <c r="N10" s="6">
        <f>IF(E10="","", XLOOKUP(E10, Constants!$A$123:$A$2000, Constants!$B$123:$B$2000, ""))</f>
        <v/>
      </c>
    </row>
    <row r="11">
      <c r="A11" s="8" t="n"/>
      <c r="B11" s="8" t="n"/>
      <c r="C11" s="8" t="n"/>
      <c r="D11" s="8" t="n"/>
      <c r="E11" s="8" t="n"/>
      <c r="F11" s="8" t="n"/>
      <c r="G11" s="8" t="n"/>
      <c r="H11" s="8" t="n"/>
      <c r="I11" s="8" t="n"/>
      <c r="J11" s="6" t="n"/>
      <c r="K11" s="6">
        <f>IF(B11="","", XLOOKUP(B11, Constants!$A$123:$A$2000, Constants!$B$123:$B$2000, ""))</f>
        <v/>
      </c>
      <c r="L11" s="6">
        <f>IF(C11="","", XLOOKUP(C11, Constants!$A$123:$A$2000, Constants!$B$123:$B$2000, ""))</f>
        <v/>
      </c>
      <c r="M11" s="6">
        <f>IF(D11="","", XLOOKUP(D11, Constants!$A$123:$A$2000, Constants!$B$123:$B$2000, ""))</f>
        <v/>
      </c>
      <c r="N11" s="6">
        <f>IF(E11="","", XLOOKUP(E11, Constants!$A$123:$A$2000, Constants!$B$123:$B$2000, ""))</f>
        <v/>
      </c>
    </row>
    <row r="12">
      <c r="A12" s="8" t="n"/>
      <c r="B12" s="8" t="n"/>
      <c r="C12" s="8" t="n"/>
      <c r="D12" s="8" t="n"/>
      <c r="E12" s="8" t="n"/>
      <c r="F12" s="8" t="n"/>
      <c r="G12" s="8" t="n"/>
      <c r="H12" s="8" t="n"/>
      <c r="I12" s="8" t="n"/>
      <c r="J12" s="6" t="n"/>
      <c r="K12" s="6">
        <f>IF(B12="","", XLOOKUP(B12, Constants!$A$123:$A$2000, Constants!$B$123:$B$2000, ""))</f>
        <v/>
      </c>
      <c r="L12" s="6">
        <f>IF(C12="","", XLOOKUP(C12, Constants!$A$123:$A$2000, Constants!$B$123:$B$2000, ""))</f>
        <v/>
      </c>
      <c r="M12" s="6">
        <f>IF(D12="","", XLOOKUP(D12, Constants!$A$123:$A$2000, Constants!$B$123:$B$2000, ""))</f>
        <v/>
      </c>
      <c r="N12" s="6">
        <f>IF(E12="","", XLOOKUP(E12, Constants!$A$123:$A$2000, Constants!$B$123:$B$2000, ""))</f>
        <v/>
      </c>
    </row>
    <row r="13">
      <c r="A13" s="8" t="n"/>
      <c r="B13" s="8" t="n"/>
      <c r="C13" s="8" t="n"/>
      <c r="D13" s="8" t="n"/>
      <c r="E13" s="8" t="n"/>
      <c r="F13" s="8" t="n"/>
      <c r="G13" s="8" t="n"/>
      <c r="H13" s="8" t="n"/>
      <c r="I13" s="8" t="n"/>
      <c r="J13" s="6" t="n"/>
      <c r="K13" s="6">
        <f>IF(B13="","", XLOOKUP(B13, Constants!$A$123:$A$2000, Constants!$B$123:$B$2000, ""))</f>
        <v/>
      </c>
      <c r="L13" s="6">
        <f>IF(C13="","", XLOOKUP(C13, Constants!$A$123:$A$2000, Constants!$B$123:$B$2000, ""))</f>
        <v/>
      </c>
      <c r="M13" s="6">
        <f>IF(D13="","", XLOOKUP(D13, Constants!$A$123:$A$2000, Constants!$B$123:$B$2000, ""))</f>
        <v/>
      </c>
      <c r="N13" s="6">
        <f>IF(E13="","", XLOOKUP(E13, Constants!$A$123:$A$2000, Constants!$B$123:$B$2000, ""))</f>
        <v/>
      </c>
    </row>
    <row r="14">
      <c r="A14" s="8" t="n"/>
      <c r="B14" s="8" t="n"/>
      <c r="C14" s="8" t="n"/>
      <c r="D14" s="8" t="n"/>
      <c r="E14" s="8" t="n"/>
      <c r="F14" s="8" t="n"/>
      <c r="G14" s="8" t="n"/>
      <c r="H14" s="8" t="n"/>
      <c r="I14" s="8" t="n"/>
      <c r="J14" s="6" t="n"/>
      <c r="K14" s="6">
        <f>IF(B14="","", XLOOKUP(B14, Constants!$A$123:$A$2000, Constants!$B$123:$B$2000, ""))</f>
        <v/>
      </c>
      <c r="L14" s="6">
        <f>IF(C14="","", XLOOKUP(C14, Constants!$A$123:$A$2000, Constants!$B$123:$B$2000, ""))</f>
        <v/>
      </c>
      <c r="M14" s="6">
        <f>IF(D14="","", XLOOKUP(D14, Constants!$A$123:$A$2000, Constants!$B$123:$B$2000, ""))</f>
        <v/>
      </c>
      <c r="N14" s="6">
        <f>IF(E14="","", XLOOKUP(E14, Constants!$A$123:$A$2000, Constants!$B$123:$B$2000, ""))</f>
        <v/>
      </c>
    </row>
    <row r="15">
      <c r="A15" s="8" t="n"/>
      <c r="B15" s="8" t="n"/>
      <c r="C15" s="8" t="n"/>
      <c r="D15" s="8" t="n"/>
      <c r="E15" s="8" t="n"/>
      <c r="F15" s="8" t="n"/>
      <c r="G15" s="8" t="n"/>
      <c r="H15" s="8" t="n"/>
      <c r="I15" s="8" t="n"/>
      <c r="J15" s="6" t="n"/>
      <c r="K15" s="6">
        <f>IF(B15="","", XLOOKUP(B15, Constants!$A$123:$A$2000, Constants!$B$123:$B$2000, ""))</f>
        <v/>
      </c>
      <c r="L15" s="6">
        <f>IF(C15="","", XLOOKUP(C15, Constants!$A$123:$A$2000, Constants!$B$123:$B$2000, ""))</f>
        <v/>
      </c>
      <c r="M15" s="6">
        <f>IF(D15="","", XLOOKUP(D15, Constants!$A$123:$A$2000, Constants!$B$123:$B$2000, ""))</f>
        <v/>
      </c>
      <c r="N15" s="6">
        <f>IF(E15="","", XLOOKUP(E15, Constants!$A$123:$A$2000, Constants!$B$123:$B$2000, ""))</f>
        <v/>
      </c>
    </row>
    <row r="16">
      <c r="A16" s="8" t="n"/>
      <c r="B16" s="8" t="n"/>
      <c r="C16" s="8" t="n"/>
      <c r="D16" s="8" t="n"/>
      <c r="E16" s="8" t="n"/>
      <c r="F16" s="8" t="n"/>
      <c r="G16" s="8" t="n"/>
      <c r="H16" s="8" t="n"/>
      <c r="I16" s="8" t="n"/>
      <c r="J16" s="6" t="n"/>
      <c r="K16" s="6">
        <f>IF(B16="","", XLOOKUP(B16, Constants!$A$123:$A$2000, Constants!$B$123:$B$2000, ""))</f>
        <v/>
      </c>
      <c r="L16" s="6">
        <f>IF(C16="","", XLOOKUP(C16, Constants!$A$123:$A$2000, Constants!$B$123:$B$2000, ""))</f>
        <v/>
      </c>
      <c r="M16" s="6">
        <f>IF(D16="","", XLOOKUP(D16, Constants!$A$123:$A$2000, Constants!$B$123:$B$2000, ""))</f>
        <v/>
      </c>
      <c r="N16" s="6">
        <f>IF(E16="","", XLOOKUP(E16, Constants!$A$123:$A$2000, Constants!$B$123:$B$2000, ""))</f>
        <v/>
      </c>
    </row>
    <row r="17">
      <c r="A17" s="8" t="n"/>
      <c r="B17" s="8" t="n"/>
      <c r="C17" s="8" t="n"/>
      <c r="D17" s="8" t="n"/>
      <c r="E17" s="8" t="n"/>
      <c r="F17" s="8" t="n"/>
      <c r="G17" s="8" t="n"/>
      <c r="H17" s="8" t="n"/>
      <c r="I17" s="8" t="n"/>
      <c r="J17" s="6" t="n"/>
      <c r="K17" s="6">
        <f>IF(B17="","", XLOOKUP(B17, Constants!$A$123:$A$2000, Constants!$B$123:$B$2000, ""))</f>
        <v/>
      </c>
      <c r="L17" s="6">
        <f>IF(C17="","", XLOOKUP(C17, Constants!$A$123:$A$2000, Constants!$B$123:$B$2000, ""))</f>
        <v/>
      </c>
      <c r="M17" s="6">
        <f>IF(D17="","", XLOOKUP(D17, Constants!$A$123:$A$2000, Constants!$B$123:$B$2000, ""))</f>
        <v/>
      </c>
      <c r="N17" s="6">
        <f>IF(E17="","", XLOOKUP(E17, Constants!$A$123:$A$2000, Constants!$B$123:$B$2000, ""))</f>
        <v/>
      </c>
    </row>
    <row r="18">
      <c r="A18" s="8" t="n"/>
      <c r="B18" s="8" t="n"/>
      <c r="C18" s="8" t="n"/>
      <c r="D18" s="8" t="n"/>
      <c r="E18" s="8" t="n"/>
      <c r="F18" s="8" t="n"/>
      <c r="G18" s="8" t="n"/>
      <c r="H18" s="8" t="n"/>
      <c r="I18" s="8" t="n"/>
      <c r="J18" s="6" t="n"/>
      <c r="K18" s="6">
        <f>IF(B18="","", XLOOKUP(B18, Constants!$A$123:$A$2000, Constants!$B$123:$B$2000, ""))</f>
        <v/>
      </c>
      <c r="L18" s="6">
        <f>IF(C18="","", XLOOKUP(C18, Constants!$A$123:$A$2000, Constants!$B$123:$B$2000, ""))</f>
        <v/>
      </c>
      <c r="M18" s="6">
        <f>IF(D18="","", XLOOKUP(D18, Constants!$A$123:$A$2000, Constants!$B$123:$B$2000, ""))</f>
        <v/>
      </c>
      <c r="N18" s="6">
        <f>IF(E18="","", XLOOKUP(E18, Constants!$A$123:$A$2000, Constants!$B$123:$B$2000, ""))</f>
        <v/>
      </c>
    </row>
    <row r="19">
      <c r="A19" s="8" t="n"/>
      <c r="B19" s="8" t="n"/>
      <c r="C19" s="8" t="n"/>
      <c r="D19" s="8" t="n"/>
      <c r="E19" s="8" t="n"/>
      <c r="F19" s="8" t="n"/>
      <c r="G19" s="8" t="n"/>
      <c r="H19" s="8" t="n"/>
      <c r="I19" s="8" t="n"/>
      <c r="J19" s="6" t="n"/>
      <c r="K19" s="6">
        <f>IF(B19="","", XLOOKUP(B19, Constants!$A$123:$A$2000, Constants!$B$123:$B$2000, ""))</f>
        <v/>
      </c>
      <c r="L19" s="6">
        <f>IF(C19="","", XLOOKUP(C19, Constants!$A$123:$A$2000, Constants!$B$123:$B$2000, ""))</f>
        <v/>
      </c>
      <c r="M19" s="6">
        <f>IF(D19="","", XLOOKUP(D19, Constants!$A$123:$A$2000, Constants!$B$123:$B$2000, ""))</f>
        <v/>
      </c>
      <c r="N19" s="6">
        <f>IF(E19="","", XLOOKUP(E19, Constants!$A$123:$A$2000, Constants!$B$123:$B$2000, ""))</f>
        <v/>
      </c>
    </row>
    <row r="20">
      <c r="A20" s="8" t="n"/>
      <c r="B20" s="8" t="n"/>
      <c r="C20" s="8" t="n"/>
      <c r="D20" s="8" t="n"/>
      <c r="E20" s="8" t="n"/>
      <c r="F20" s="8" t="n"/>
      <c r="G20" s="8" t="n"/>
      <c r="H20" s="8" t="n"/>
      <c r="I20" s="8" t="n"/>
      <c r="J20" s="6" t="n"/>
      <c r="K20" s="6">
        <f>IF(B20="","", XLOOKUP(B20, Constants!$A$123:$A$2000, Constants!$B$123:$B$2000, ""))</f>
        <v/>
      </c>
      <c r="L20" s="6">
        <f>IF(C20="","", XLOOKUP(C20, Constants!$A$123:$A$2000, Constants!$B$123:$B$2000, ""))</f>
        <v/>
      </c>
      <c r="M20" s="6">
        <f>IF(D20="","", XLOOKUP(D20, Constants!$A$123:$A$2000, Constants!$B$123:$B$2000, ""))</f>
        <v/>
      </c>
      <c r="N20" s="6">
        <f>IF(E20="","", XLOOKUP(E20, Constants!$A$123:$A$2000, Constants!$B$123:$B$2000, ""))</f>
        <v/>
      </c>
    </row>
    <row r="21">
      <c r="A21" s="8" t="n"/>
      <c r="B21" s="8" t="n"/>
      <c r="C21" s="8" t="n"/>
      <c r="D21" s="8" t="n"/>
      <c r="E21" s="8" t="n"/>
      <c r="F21" s="8" t="n"/>
      <c r="G21" s="8" t="n"/>
      <c r="H21" s="8" t="n"/>
      <c r="I21" s="8" t="n"/>
      <c r="J21" s="6" t="n"/>
      <c r="K21" s="6">
        <f>IF(B21="","", XLOOKUP(B21, Constants!$A$123:$A$2000, Constants!$B$123:$B$2000, ""))</f>
        <v/>
      </c>
      <c r="L21" s="6">
        <f>IF(C21="","", XLOOKUP(C21, Constants!$A$123:$A$2000, Constants!$B$123:$B$2000, ""))</f>
        <v/>
      </c>
      <c r="M21" s="6">
        <f>IF(D21="","", XLOOKUP(D21, Constants!$A$123:$A$2000, Constants!$B$123:$B$2000, ""))</f>
        <v/>
      </c>
      <c r="N21" s="6">
        <f>IF(E21="","", XLOOKUP(E21, Constants!$A$123:$A$2000, Constants!$B$123:$B$2000, ""))</f>
        <v/>
      </c>
    </row>
    <row r="22">
      <c r="A22" s="8" t="n"/>
      <c r="B22" s="8" t="n"/>
      <c r="C22" s="8" t="n"/>
      <c r="D22" s="8" t="n"/>
      <c r="E22" s="8" t="n"/>
      <c r="F22" s="8" t="n"/>
      <c r="G22" s="8" t="n"/>
      <c r="H22" s="8" t="n"/>
      <c r="I22" s="8" t="n"/>
      <c r="J22" s="6" t="n"/>
      <c r="K22" s="6">
        <f>IF(B22="","", XLOOKUP(B22, Constants!$A$123:$A$2000, Constants!$B$123:$B$2000, ""))</f>
        <v/>
      </c>
      <c r="L22" s="6">
        <f>IF(C22="","", XLOOKUP(C22, Constants!$A$123:$A$2000, Constants!$B$123:$B$2000, ""))</f>
        <v/>
      </c>
      <c r="M22" s="6">
        <f>IF(D22="","", XLOOKUP(D22, Constants!$A$123:$A$2000, Constants!$B$123:$B$2000, ""))</f>
        <v/>
      </c>
      <c r="N22" s="6">
        <f>IF(E22="","", XLOOKUP(E22, Constants!$A$123:$A$2000, Constants!$B$123:$B$2000, ""))</f>
        <v/>
      </c>
    </row>
    <row r="23">
      <c r="A23" s="8" t="n"/>
      <c r="B23" s="8" t="n"/>
      <c r="C23" s="8" t="n"/>
      <c r="D23" s="8" t="n"/>
      <c r="E23" s="8" t="n"/>
      <c r="F23" s="8" t="n"/>
      <c r="G23" s="8" t="n"/>
      <c r="H23" s="8" t="n"/>
      <c r="I23" s="8" t="n"/>
      <c r="J23" s="6" t="n"/>
      <c r="K23" s="6">
        <f>IF(B23="","", XLOOKUP(B23, Constants!$A$123:$A$2000, Constants!$B$123:$B$2000, ""))</f>
        <v/>
      </c>
      <c r="L23" s="6">
        <f>IF(C23="","", XLOOKUP(C23, Constants!$A$123:$A$2000, Constants!$B$123:$B$2000, ""))</f>
        <v/>
      </c>
      <c r="M23" s="6">
        <f>IF(D23="","", XLOOKUP(D23, Constants!$A$123:$A$2000, Constants!$B$123:$B$2000, ""))</f>
        <v/>
      </c>
      <c r="N23" s="6">
        <f>IF(E23="","", XLOOKUP(E23, Constants!$A$123:$A$2000, Constants!$B$123:$B$2000, ""))</f>
        <v/>
      </c>
    </row>
    <row r="24">
      <c r="A24" s="8" t="n"/>
      <c r="B24" s="8" t="n"/>
      <c r="C24" s="8" t="n"/>
      <c r="D24" s="8" t="n"/>
      <c r="E24" s="8" t="n"/>
      <c r="F24" s="8" t="n"/>
      <c r="G24" s="8" t="n"/>
      <c r="H24" s="8" t="n"/>
      <c r="I24" s="8" t="n"/>
      <c r="J24" s="6" t="n"/>
      <c r="K24" s="6">
        <f>IF(B24="","", XLOOKUP(B24, Constants!$A$123:$A$2000, Constants!$B$123:$B$2000, ""))</f>
        <v/>
      </c>
      <c r="L24" s="6">
        <f>IF(C24="","", XLOOKUP(C24, Constants!$A$123:$A$2000, Constants!$B$123:$B$2000, ""))</f>
        <v/>
      </c>
      <c r="M24" s="6">
        <f>IF(D24="","", XLOOKUP(D24, Constants!$A$123:$A$2000, Constants!$B$123:$B$2000, ""))</f>
        <v/>
      </c>
      <c r="N24" s="6">
        <f>IF(E24="","", XLOOKUP(E24, Constants!$A$123:$A$2000, Constants!$B$123:$B$2000, ""))</f>
        <v/>
      </c>
    </row>
    <row r="25">
      <c r="A25" s="8" t="n"/>
      <c r="B25" s="8" t="n"/>
      <c r="C25" s="8" t="n"/>
      <c r="D25" s="8" t="n"/>
      <c r="E25" s="8" t="n"/>
      <c r="F25" s="8" t="n"/>
      <c r="G25" s="8" t="n"/>
      <c r="H25" s="8" t="n"/>
      <c r="I25" s="8" t="n"/>
      <c r="J25" s="6" t="n"/>
      <c r="K25" s="6">
        <f>IF(B25="","", XLOOKUP(B25, Constants!$A$123:$A$2000, Constants!$B$123:$B$2000, ""))</f>
        <v/>
      </c>
      <c r="L25" s="6">
        <f>IF(C25="","", XLOOKUP(C25, Constants!$A$123:$A$2000, Constants!$B$123:$B$2000, ""))</f>
        <v/>
      </c>
      <c r="M25" s="6">
        <f>IF(D25="","", XLOOKUP(D25, Constants!$A$123:$A$2000, Constants!$B$123:$B$2000, ""))</f>
        <v/>
      </c>
      <c r="N25" s="6">
        <f>IF(E25="","", XLOOKUP(E25, Constants!$A$123:$A$2000, Constants!$B$123:$B$2000, ""))</f>
        <v/>
      </c>
    </row>
    <row r="26">
      <c r="A26" s="8" t="n"/>
      <c r="B26" s="8" t="n"/>
      <c r="C26" s="8" t="n"/>
      <c r="D26" s="8" t="n"/>
      <c r="E26" s="8" t="n"/>
      <c r="F26" s="8" t="n"/>
      <c r="G26" s="8" t="n"/>
      <c r="H26" s="8" t="n"/>
      <c r="I26" s="8" t="n"/>
      <c r="J26" s="6" t="n"/>
      <c r="K26" s="6">
        <f>IF(B26="","", XLOOKUP(B26, Constants!$A$123:$A$2000, Constants!$B$123:$B$2000, ""))</f>
        <v/>
      </c>
      <c r="L26" s="6">
        <f>IF(C26="","", XLOOKUP(C26, Constants!$A$123:$A$2000, Constants!$B$123:$B$2000, ""))</f>
        <v/>
      </c>
      <c r="M26" s="6">
        <f>IF(D26="","", XLOOKUP(D26, Constants!$A$123:$A$2000, Constants!$B$123:$B$2000, ""))</f>
        <v/>
      </c>
      <c r="N26" s="6">
        <f>IF(E26="","", XLOOKUP(E26, Constants!$A$123:$A$2000, Constants!$B$123:$B$2000, ""))</f>
        <v/>
      </c>
    </row>
    <row r="27">
      <c r="A27" s="8" t="n"/>
      <c r="B27" s="8" t="n"/>
      <c r="C27" s="8" t="n"/>
      <c r="D27" s="8" t="n"/>
      <c r="E27" s="8" t="n"/>
      <c r="F27" s="8" t="n"/>
      <c r="G27" s="8" t="n"/>
      <c r="H27" s="8" t="n"/>
      <c r="I27" s="8" t="n"/>
      <c r="J27" s="6" t="n"/>
      <c r="K27" s="6">
        <f>IF(B27="","", XLOOKUP(B27, Constants!$A$123:$A$2000, Constants!$B$123:$B$2000, ""))</f>
        <v/>
      </c>
      <c r="L27" s="6">
        <f>IF(C27="","", XLOOKUP(C27, Constants!$A$123:$A$2000, Constants!$B$123:$B$2000, ""))</f>
        <v/>
      </c>
      <c r="M27" s="6">
        <f>IF(D27="","", XLOOKUP(D27, Constants!$A$123:$A$2000, Constants!$B$123:$B$2000, ""))</f>
        <v/>
      </c>
      <c r="N27" s="6">
        <f>IF(E27="","", XLOOKUP(E27, Constants!$A$123:$A$2000, Constants!$B$123:$B$2000, ""))</f>
        <v/>
      </c>
    </row>
    <row r="28">
      <c r="A28" s="8" t="n"/>
      <c r="B28" s="8" t="n"/>
      <c r="C28" s="8" t="n"/>
      <c r="D28" s="8" t="n"/>
      <c r="E28" s="8" t="n"/>
      <c r="F28" s="8" t="n"/>
      <c r="G28" s="8" t="n"/>
      <c r="H28" s="8" t="n"/>
      <c r="I28" s="8" t="n"/>
      <c r="J28" s="6" t="n"/>
      <c r="K28" s="6">
        <f>IF(B28="","", XLOOKUP(B28, Constants!$A$123:$A$2000, Constants!$B$123:$B$2000, ""))</f>
        <v/>
      </c>
      <c r="L28" s="6">
        <f>IF(C28="","", XLOOKUP(C28, Constants!$A$123:$A$2000, Constants!$B$123:$B$2000, ""))</f>
        <v/>
      </c>
      <c r="M28" s="6">
        <f>IF(D28="","", XLOOKUP(D28, Constants!$A$123:$A$2000, Constants!$B$123:$B$2000, ""))</f>
        <v/>
      </c>
      <c r="N28" s="6">
        <f>IF(E28="","", XLOOKUP(E28, Constants!$A$123:$A$2000, Constants!$B$123:$B$2000, ""))</f>
        <v/>
      </c>
    </row>
    <row r="29">
      <c r="A29" s="8" t="n"/>
      <c r="B29" s="8" t="n"/>
      <c r="C29" s="8" t="n"/>
      <c r="D29" s="8" t="n"/>
      <c r="E29" s="8" t="n"/>
      <c r="F29" s="8" t="n"/>
      <c r="G29" s="8" t="n"/>
      <c r="H29" s="8" t="n"/>
      <c r="I29" s="8" t="n"/>
      <c r="J29" s="6" t="n"/>
      <c r="K29" s="6">
        <f>IF(B29="","", XLOOKUP(B29, Constants!$A$123:$A$2000, Constants!$B$123:$B$2000, ""))</f>
        <v/>
      </c>
      <c r="L29" s="6">
        <f>IF(C29="","", XLOOKUP(C29, Constants!$A$123:$A$2000, Constants!$B$123:$B$2000, ""))</f>
        <v/>
      </c>
      <c r="M29" s="6">
        <f>IF(D29="","", XLOOKUP(D29, Constants!$A$123:$A$2000, Constants!$B$123:$B$2000, ""))</f>
        <v/>
      </c>
      <c r="N29" s="6">
        <f>IF(E29="","", XLOOKUP(E29, Constants!$A$123:$A$2000, Constants!$B$123:$B$2000, ""))</f>
        <v/>
      </c>
    </row>
    <row r="30">
      <c r="A30" s="8" t="n"/>
      <c r="B30" s="8" t="n"/>
      <c r="C30" s="8" t="n"/>
      <c r="D30" s="8" t="n"/>
      <c r="E30" s="8" t="n"/>
      <c r="F30" s="8" t="n"/>
      <c r="G30" s="8" t="n"/>
      <c r="H30" s="8" t="n"/>
      <c r="I30" s="8" t="n"/>
      <c r="J30" s="6" t="n"/>
      <c r="K30" s="6">
        <f>IF(B30="","", XLOOKUP(B30, Constants!$A$123:$A$2000, Constants!$B$123:$B$2000, ""))</f>
        <v/>
      </c>
      <c r="L30" s="6">
        <f>IF(C30="","", XLOOKUP(C30, Constants!$A$123:$A$2000, Constants!$B$123:$B$2000, ""))</f>
        <v/>
      </c>
      <c r="M30" s="6">
        <f>IF(D30="","", XLOOKUP(D30, Constants!$A$123:$A$2000, Constants!$B$123:$B$2000, ""))</f>
        <v/>
      </c>
      <c r="N30" s="6">
        <f>IF(E30="","", XLOOKUP(E30, Constants!$A$123:$A$2000, Constants!$B$123:$B$2000, ""))</f>
        <v/>
      </c>
    </row>
    <row r="31">
      <c r="A31" s="8" t="n"/>
      <c r="B31" s="8" t="n"/>
      <c r="C31" s="8" t="n"/>
      <c r="D31" s="8" t="n"/>
      <c r="E31" s="8" t="n"/>
      <c r="F31" s="8" t="n"/>
      <c r="G31" s="8" t="n"/>
      <c r="H31" s="8" t="n"/>
      <c r="I31" s="8" t="n"/>
      <c r="J31" s="6" t="n"/>
      <c r="K31" s="6">
        <f>IF(B31="","", XLOOKUP(B31, Constants!$A$123:$A$2000, Constants!$B$123:$B$2000, ""))</f>
        <v/>
      </c>
      <c r="L31" s="6">
        <f>IF(C31="","", XLOOKUP(C31, Constants!$A$123:$A$2000, Constants!$B$123:$B$2000, ""))</f>
        <v/>
      </c>
      <c r="M31" s="6">
        <f>IF(D31="","", XLOOKUP(D31, Constants!$A$123:$A$2000, Constants!$B$123:$B$2000, ""))</f>
        <v/>
      </c>
      <c r="N31" s="6">
        <f>IF(E31="","", XLOOKUP(E31, Constants!$A$123:$A$2000, Constants!$B$123:$B$2000, ""))</f>
        <v/>
      </c>
    </row>
    <row r="32">
      <c r="A32" s="8" t="n"/>
      <c r="B32" s="8" t="n"/>
      <c r="C32" s="8" t="n"/>
      <c r="D32" s="8" t="n"/>
      <c r="E32" s="8" t="n"/>
      <c r="F32" s="8" t="n"/>
      <c r="G32" s="8" t="n"/>
      <c r="H32" s="8" t="n"/>
      <c r="I32" s="8" t="n"/>
      <c r="J32" s="6" t="n"/>
      <c r="K32" s="6">
        <f>IF(B32="","", XLOOKUP(B32, Constants!$A$123:$A$2000, Constants!$B$123:$B$2000, ""))</f>
        <v/>
      </c>
      <c r="L32" s="6">
        <f>IF(C32="","", XLOOKUP(C32, Constants!$A$123:$A$2000, Constants!$B$123:$B$2000, ""))</f>
        <v/>
      </c>
      <c r="M32" s="6">
        <f>IF(D32="","", XLOOKUP(D32, Constants!$A$123:$A$2000, Constants!$B$123:$B$2000, ""))</f>
        <v/>
      </c>
      <c r="N32" s="6">
        <f>IF(E32="","", XLOOKUP(E32, Constants!$A$123:$A$2000, Constants!$B$123:$B$2000, ""))</f>
        <v/>
      </c>
    </row>
    <row r="33">
      <c r="A33" s="8" t="n"/>
      <c r="B33" s="8" t="n"/>
      <c r="C33" s="8" t="n"/>
      <c r="D33" s="8" t="n"/>
      <c r="E33" s="8" t="n"/>
      <c r="F33" s="8" t="n"/>
      <c r="G33" s="8" t="n"/>
      <c r="H33" s="8" t="n"/>
      <c r="I33" s="8" t="n"/>
      <c r="J33" s="6" t="n"/>
      <c r="K33" s="6">
        <f>IF(B33="","", XLOOKUP(B33, Constants!$A$123:$A$2000, Constants!$B$123:$B$2000, ""))</f>
        <v/>
      </c>
      <c r="L33" s="6">
        <f>IF(C33="","", XLOOKUP(C33, Constants!$A$123:$A$2000, Constants!$B$123:$B$2000, ""))</f>
        <v/>
      </c>
      <c r="M33" s="6">
        <f>IF(D33="","", XLOOKUP(D33, Constants!$A$123:$A$2000, Constants!$B$123:$B$2000, ""))</f>
        <v/>
      </c>
      <c r="N33" s="6">
        <f>IF(E33="","", XLOOKUP(E33, Constants!$A$123:$A$2000, Constants!$B$123:$B$2000, ""))</f>
        <v/>
      </c>
    </row>
    <row r="34">
      <c r="A34" s="8" t="n"/>
      <c r="B34" s="8" t="n"/>
      <c r="C34" s="8" t="n"/>
      <c r="D34" s="8" t="n"/>
      <c r="E34" s="8" t="n"/>
      <c r="F34" s="8" t="n"/>
      <c r="G34" s="8" t="n"/>
      <c r="H34" s="8" t="n"/>
      <c r="I34" s="8" t="n"/>
      <c r="J34" s="6" t="n"/>
      <c r="K34" s="6">
        <f>IF(B34="","", XLOOKUP(B34, Constants!$A$123:$A$2000, Constants!$B$123:$B$2000, ""))</f>
        <v/>
      </c>
      <c r="L34" s="6">
        <f>IF(C34="","", XLOOKUP(C34, Constants!$A$123:$A$2000, Constants!$B$123:$B$2000, ""))</f>
        <v/>
      </c>
      <c r="M34" s="6">
        <f>IF(D34="","", XLOOKUP(D34, Constants!$A$123:$A$2000, Constants!$B$123:$B$2000, ""))</f>
        <v/>
      </c>
      <c r="N34" s="6">
        <f>IF(E34="","", XLOOKUP(E34, Constants!$A$123:$A$2000, Constants!$B$123:$B$2000, ""))</f>
        <v/>
      </c>
    </row>
    <row r="35">
      <c r="A35" s="8" t="n"/>
      <c r="B35" s="8" t="n"/>
      <c r="C35" s="8" t="n"/>
      <c r="D35" s="8" t="n"/>
      <c r="E35" s="8" t="n"/>
      <c r="F35" s="8" t="n"/>
      <c r="G35" s="8" t="n"/>
      <c r="H35" s="8" t="n"/>
      <c r="I35" s="8" t="n"/>
      <c r="J35" s="6" t="n"/>
      <c r="K35" s="6">
        <f>IF(B35="","", XLOOKUP(B35, Constants!$A$123:$A$2000, Constants!$B$123:$B$2000, ""))</f>
        <v/>
      </c>
      <c r="L35" s="6">
        <f>IF(C35="","", XLOOKUP(C35, Constants!$A$123:$A$2000, Constants!$B$123:$B$2000, ""))</f>
        <v/>
      </c>
      <c r="M35" s="6">
        <f>IF(D35="","", XLOOKUP(D35, Constants!$A$123:$A$2000, Constants!$B$123:$B$2000, ""))</f>
        <v/>
      </c>
      <c r="N35" s="6">
        <f>IF(E35="","", XLOOKUP(E35, Constants!$A$123:$A$2000, Constants!$B$123:$B$2000, ""))</f>
        <v/>
      </c>
    </row>
    <row r="36">
      <c r="A36" s="8" t="n"/>
      <c r="B36" s="8" t="n"/>
      <c r="C36" s="8" t="n"/>
      <c r="D36" s="8" t="n"/>
      <c r="E36" s="8" t="n"/>
      <c r="F36" s="8" t="n"/>
      <c r="G36" s="8" t="n"/>
      <c r="H36" s="8" t="n"/>
      <c r="I36" s="8" t="n"/>
      <c r="J36" s="6" t="n"/>
      <c r="K36" s="6">
        <f>IF(B36="","", XLOOKUP(B36, Constants!$A$123:$A$2000, Constants!$B$123:$B$2000, ""))</f>
        <v/>
      </c>
      <c r="L36" s="6">
        <f>IF(C36="","", XLOOKUP(C36, Constants!$A$123:$A$2000, Constants!$B$123:$B$2000, ""))</f>
        <v/>
      </c>
      <c r="M36" s="6">
        <f>IF(D36="","", XLOOKUP(D36, Constants!$A$123:$A$2000, Constants!$B$123:$B$2000, ""))</f>
        <v/>
      </c>
      <c r="N36" s="6">
        <f>IF(E36="","", XLOOKUP(E36, Constants!$A$123:$A$2000, Constants!$B$123:$B$2000, ""))</f>
        <v/>
      </c>
    </row>
    <row r="37">
      <c r="A37" s="8" t="n"/>
      <c r="B37" s="8" t="n"/>
      <c r="C37" s="8" t="n"/>
      <c r="D37" s="8" t="n"/>
      <c r="E37" s="8" t="n"/>
      <c r="F37" s="8" t="n"/>
      <c r="G37" s="8" t="n"/>
      <c r="H37" s="8" t="n"/>
      <c r="I37" s="8" t="n"/>
      <c r="J37" s="6" t="n"/>
      <c r="K37" s="6">
        <f>IF(B37="","", XLOOKUP(B37, Constants!$A$123:$A$2000, Constants!$B$123:$B$2000, ""))</f>
        <v/>
      </c>
      <c r="L37" s="6">
        <f>IF(C37="","", XLOOKUP(C37, Constants!$A$123:$A$2000, Constants!$B$123:$B$2000, ""))</f>
        <v/>
      </c>
      <c r="M37" s="6">
        <f>IF(D37="","", XLOOKUP(D37, Constants!$A$123:$A$2000, Constants!$B$123:$B$2000, ""))</f>
        <v/>
      </c>
      <c r="N37" s="6">
        <f>IF(E37="","", XLOOKUP(E37, Constants!$A$123:$A$2000, Constants!$B$123:$B$2000, ""))</f>
        <v/>
      </c>
    </row>
    <row r="38">
      <c r="A38" s="8" t="n"/>
      <c r="B38" s="8" t="n"/>
      <c r="C38" s="8" t="n"/>
      <c r="D38" s="8" t="n"/>
      <c r="E38" s="8" t="n"/>
      <c r="F38" s="8" t="n"/>
      <c r="G38" s="8" t="n"/>
      <c r="H38" s="8" t="n"/>
      <c r="I38" s="8" t="n"/>
      <c r="J38" s="6" t="n"/>
      <c r="K38" s="6">
        <f>IF(B38="","", XLOOKUP(B38, Constants!$A$123:$A$2000, Constants!$B$123:$B$2000, ""))</f>
        <v/>
      </c>
      <c r="L38" s="6">
        <f>IF(C38="","", XLOOKUP(C38, Constants!$A$123:$A$2000, Constants!$B$123:$B$2000, ""))</f>
        <v/>
      </c>
      <c r="M38" s="6">
        <f>IF(D38="","", XLOOKUP(D38, Constants!$A$123:$A$2000, Constants!$B$123:$B$2000, ""))</f>
        <v/>
      </c>
      <c r="N38" s="6">
        <f>IF(E38="","", XLOOKUP(E38, Constants!$A$123:$A$2000, Constants!$B$123:$B$2000, ""))</f>
        <v/>
      </c>
    </row>
    <row r="39">
      <c r="A39" s="8" t="n"/>
      <c r="B39" s="8" t="n"/>
      <c r="C39" s="8" t="n"/>
      <c r="D39" s="8" t="n"/>
      <c r="E39" s="8" t="n"/>
      <c r="F39" s="8" t="n"/>
      <c r="G39" s="8" t="n"/>
      <c r="H39" s="8" t="n"/>
      <c r="I39" s="8" t="n"/>
      <c r="J39" s="6" t="n"/>
      <c r="K39" s="6">
        <f>IF(B39="","", XLOOKUP(B39, Constants!$A$123:$A$2000, Constants!$B$123:$B$2000, ""))</f>
        <v/>
      </c>
      <c r="L39" s="6">
        <f>IF(C39="","", XLOOKUP(C39, Constants!$A$123:$A$2000, Constants!$B$123:$B$2000, ""))</f>
        <v/>
      </c>
      <c r="M39" s="6">
        <f>IF(D39="","", XLOOKUP(D39, Constants!$A$123:$A$2000, Constants!$B$123:$B$2000, ""))</f>
        <v/>
      </c>
      <c r="N39" s="6">
        <f>IF(E39="","", XLOOKUP(E39, Constants!$A$123:$A$2000, Constants!$B$123:$B$2000, ""))</f>
        <v/>
      </c>
    </row>
    <row r="40">
      <c r="A40" s="8" t="n"/>
      <c r="B40" s="8" t="n"/>
      <c r="C40" s="8" t="n"/>
      <c r="D40" s="8" t="n"/>
      <c r="E40" s="8" t="n"/>
      <c r="F40" s="8" t="n"/>
      <c r="G40" s="8" t="n"/>
      <c r="H40" s="8" t="n"/>
      <c r="I40" s="8" t="n"/>
      <c r="J40" s="6" t="n"/>
      <c r="K40" s="6">
        <f>IF(B40="","", XLOOKUP(B40, Constants!$A$123:$A$2000, Constants!$B$123:$B$2000, ""))</f>
        <v/>
      </c>
      <c r="L40" s="6">
        <f>IF(C40="","", XLOOKUP(C40, Constants!$A$123:$A$2000, Constants!$B$123:$B$2000, ""))</f>
        <v/>
      </c>
      <c r="M40" s="6">
        <f>IF(D40="","", XLOOKUP(D40, Constants!$A$123:$A$2000, Constants!$B$123:$B$2000, ""))</f>
        <v/>
      </c>
      <c r="N40" s="6">
        <f>IF(E40="","", XLOOKUP(E40, Constants!$A$123:$A$2000, Constants!$B$123:$B$2000, ""))</f>
        <v/>
      </c>
    </row>
    <row r="41">
      <c r="A41" s="8" t="n"/>
      <c r="B41" s="8" t="n"/>
      <c r="C41" s="8" t="n"/>
      <c r="D41" s="8" t="n"/>
      <c r="E41" s="8" t="n"/>
      <c r="F41" s="8" t="n"/>
      <c r="G41" s="8" t="n"/>
      <c r="H41" s="8" t="n"/>
      <c r="I41" s="8" t="n"/>
      <c r="J41" s="6" t="n"/>
      <c r="K41" s="6">
        <f>IF(B41="","", XLOOKUP(B41, Constants!$A$123:$A$2000, Constants!$B$123:$B$2000, ""))</f>
        <v/>
      </c>
      <c r="L41" s="6">
        <f>IF(C41="","", XLOOKUP(C41, Constants!$A$123:$A$2000, Constants!$B$123:$B$2000, ""))</f>
        <v/>
      </c>
      <c r="M41" s="6">
        <f>IF(D41="","", XLOOKUP(D41, Constants!$A$123:$A$2000, Constants!$B$123:$B$2000, ""))</f>
        <v/>
      </c>
      <c r="N41" s="6">
        <f>IF(E41="","", XLOOKUP(E41, Constants!$A$123:$A$2000, Constants!$B$123:$B$2000, ""))</f>
        <v/>
      </c>
    </row>
    <row r="42">
      <c r="A42" s="8" t="n"/>
      <c r="B42" s="8" t="n"/>
      <c r="C42" s="8" t="n"/>
      <c r="D42" s="8" t="n"/>
      <c r="E42" s="8" t="n"/>
      <c r="F42" s="8" t="n"/>
      <c r="G42" s="8" t="n"/>
      <c r="H42" s="8" t="n"/>
      <c r="I42" s="8" t="n"/>
      <c r="J42" s="6" t="n"/>
      <c r="K42" s="6">
        <f>IF(B42="","", XLOOKUP(B42, Constants!$A$123:$A$2000, Constants!$B$123:$B$2000, ""))</f>
        <v/>
      </c>
      <c r="L42" s="6">
        <f>IF(C42="","", XLOOKUP(C42, Constants!$A$123:$A$2000, Constants!$B$123:$B$2000, ""))</f>
        <v/>
      </c>
      <c r="M42" s="6">
        <f>IF(D42="","", XLOOKUP(D42, Constants!$A$123:$A$2000, Constants!$B$123:$B$2000, ""))</f>
        <v/>
      </c>
      <c r="N42" s="6">
        <f>IF(E42="","", XLOOKUP(E42, Constants!$A$123:$A$2000, Constants!$B$123:$B$2000, ""))</f>
        <v/>
      </c>
    </row>
    <row r="43">
      <c r="A43" s="8" t="n"/>
      <c r="B43" s="8" t="n"/>
      <c r="C43" s="8" t="n"/>
      <c r="D43" s="8" t="n"/>
      <c r="E43" s="8" t="n"/>
      <c r="F43" s="8" t="n"/>
      <c r="G43" s="8" t="n"/>
      <c r="H43" s="8" t="n"/>
      <c r="I43" s="8" t="n"/>
      <c r="J43" s="6" t="n"/>
      <c r="K43" s="6">
        <f>IF(B43="","", XLOOKUP(B43, Constants!$A$123:$A$2000, Constants!$B$123:$B$2000, ""))</f>
        <v/>
      </c>
      <c r="L43" s="6">
        <f>IF(C43="","", XLOOKUP(C43, Constants!$A$123:$A$2000, Constants!$B$123:$B$2000, ""))</f>
        <v/>
      </c>
      <c r="M43" s="6">
        <f>IF(D43="","", XLOOKUP(D43, Constants!$A$123:$A$2000, Constants!$B$123:$B$2000, ""))</f>
        <v/>
      </c>
      <c r="N43" s="6">
        <f>IF(E43="","", XLOOKUP(E43, Constants!$A$123:$A$2000, Constants!$B$123:$B$2000, ""))</f>
        <v/>
      </c>
    </row>
    <row r="44">
      <c r="A44" s="8" t="n"/>
      <c r="B44" s="8" t="n"/>
      <c r="C44" s="8" t="n"/>
      <c r="D44" s="8" t="n"/>
      <c r="E44" s="8" t="n"/>
      <c r="F44" s="8" t="n"/>
      <c r="G44" s="8" t="n"/>
      <c r="H44" s="8" t="n"/>
      <c r="I44" s="8" t="n"/>
      <c r="J44" s="6" t="n"/>
      <c r="K44" s="6">
        <f>IF(B44="","", XLOOKUP(B44, Constants!$A$123:$A$2000, Constants!$B$123:$B$2000, ""))</f>
        <v/>
      </c>
      <c r="L44" s="6">
        <f>IF(C44="","", XLOOKUP(C44, Constants!$A$123:$A$2000, Constants!$B$123:$B$2000, ""))</f>
        <v/>
      </c>
      <c r="M44" s="6">
        <f>IF(D44="","", XLOOKUP(D44, Constants!$A$123:$A$2000, Constants!$B$123:$B$2000, ""))</f>
        <v/>
      </c>
      <c r="N44" s="6">
        <f>IF(E44="","", XLOOKUP(E44, Constants!$A$123:$A$2000, Constants!$B$123:$B$2000, ""))</f>
        <v/>
      </c>
    </row>
    <row r="45">
      <c r="A45" s="8" t="n"/>
      <c r="B45" s="8" t="n"/>
      <c r="C45" s="8" t="n"/>
      <c r="D45" s="8" t="n"/>
      <c r="E45" s="8" t="n"/>
      <c r="F45" s="8" t="n"/>
      <c r="G45" s="8" t="n"/>
      <c r="H45" s="8" t="n"/>
      <c r="I45" s="8" t="n"/>
      <c r="J45" s="6" t="n"/>
      <c r="K45" s="6">
        <f>IF(B45="","", XLOOKUP(B45, Constants!$A$123:$A$2000, Constants!$B$123:$B$2000, ""))</f>
        <v/>
      </c>
      <c r="L45" s="6">
        <f>IF(C45="","", XLOOKUP(C45, Constants!$A$123:$A$2000, Constants!$B$123:$B$2000, ""))</f>
        <v/>
      </c>
      <c r="M45" s="6">
        <f>IF(D45="","", XLOOKUP(D45, Constants!$A$123:$A$2000, Constants!$B$123:$B$2000, ""))</f>
        <v/>
      </c>
      <c r="N45" s="6">
        <f>IF(E45="","", XLOOKUP(E45, Constants!$A$123:$A$2000, Constants!$B$123:$B$2000, ""))</f>
        <v/>
      </c>
    </row>
    <row r="46">
      <c r="A46" s="8" t="n"/>
      <c r="B46" s="8" t="n"/>
      <c r="C46" s="8" t="n"/>
      <c r="D46" s="8" t="n"/>
      <c r="E46" s="8" t="n"/>
      <c r="F46" s="8" t="n"/>
      <c r="G46" s="8" t="n"/>
      <c r="H46" s="8" t="n"/>
      <c r="I46" s="8" t="n"/>
      <c r="J46" s="6" t="n"/>
      <c r="K46" s="6">
        <f>IF(B46="","", XLOOKUP(B46, Constants!$A$123:$A$2000, Constants!$B$123:$B$2000, ""))</f>
        <v/>
      </c>
      <c r="L46" s="6">
        <f>IF(C46="","", XLOOKUP(C46, Constants!$A$123:$A$2000, Constants!$B$123:$B$2000, ""))</f>
        <v/>
      </c>
      <c r="M46" s="6">
        <f>IF(D46="","", XLOOKUP(D46, Constants!$A$123:$A$2000, Constants!$B$123:$B$2000, ""))</f>
        <v/>
      </c>
      <c r="N46" s="6">
        <f>IF(E46="","", XLOOKUP(E46, Constants!$A$123:$A$2000, Constants!$B$123:$B$2000, ""))</f>
        <v/>
      </c>
    </row>
    <row r="47">
      <c r="A47" s="8" t="n"/>
      <c r="B47" s="8" t="n"/>
      <c r="C47" s="8" t="n"/>
      <c r="D47" s="8" t="n"/>
      <c r="E47" s="8" t="n"/>
      <c r="F47" s="8" t="n"/>
      <c r="G47" s="8" t="n"/>
      <c r="H47" s="8" t="n"/>
      <c r="I47" s="8" t="n"/>
      <c r="J47" s="6" t="n"/>
      <c r="K47" s="6">
        <f>IF(B47="","", XLOOKUP(B47, Constants!$A$123:$A$2000, Constants!$B$123:$B$2000, ""))</f>
        <v/>
      </c>
      <c r="L47" s="6">
        <f>IF(C47="","", XLOOKUP(C47, Constants!$A$123:$A$2000, Constants!$B$123:$B$2000, ""))</f>
        <v/>
      </c>
      <c r="M47" s="6">
        <f>IF(D47="","", XLOOKUP(D47, Constants!$A$123:$A$2000, Constants!$B$123:$B$2000, ""))</f>
        <v/>
      </c>
      <c r="N47" s="6">
        <f>IF(E47="","", XLOOKUP(E47, Constants!$A$123:$A$2000, Constants!$B$123:$B$2000, ""))</f>
        <v/>
      </c>
    </row>
    <row r="48">
      <c r="A48" s="8" t="n"/>
      <c r="B48" s="8" t="n"/>
      <c r="C48" s="8" t="n"/>
      <c r="D48" s="8" t="n"/>
      <c r="E48" s="8" t="n"/>
      <c r="F48" s="8" t="n"/>
      <c r="G48" s="8" t="n"/>
      <c r="H48" s="8" t="n"/>
      <c r="I48" s="8" t="n"/>
      <c r="J48" s="6" t="n"/>
      <c r="K48" s="6">
        <f>IF(B48="","", XLOOKUP(B48, Constants!$A$123:$A$2000, Constants!$B$123:$B$2000, ""))</f>
        <v/>
      </c>
      <c r="L48" s="6">
        <f>IF(C48="","", XLOOKUP(C48, Constants!$A$123:$A$2000, Constants!$B$123:$B$2000, ""))</f>
        <v/>
      </c>
      <c r="M48" s="6">
        <f>IF(D48="","", XLOOKUP(D48, Constants!$A$123:$A$2000, Constants!$B$123:$B$2000, ""))</f>
        <v/>
      </c>
      <c r="N48" s="6">
        <f>IF(E48="","", XLOOKUP(E48, Constants!$A$123:$A$2000, Constants!$B$123:$B$2000, ""))</f>
        <v/>
      </c>
    </row>
    <row r="49">
      <c r="A49" s="8" t="n"/>
      <c r="B49" s="8" t="n"/>
      <c r="C49" s="8" t="n"/>
      <c r="D49" s="8" t="n"/>
      <c r="E49" s="8" t="n"/>
      <c r="F49" s="8" t="n"/>
      <c r="G49" s="8" t="n"/>
      <c r="H49" s="8" t="n"/>
      <c r="I49" s="8" t="n"/>
      <c r="J49" s="6" t="n"/>
      <c r="K49" s="6">
        <f>IF(B49="","", XLOOKUP(B49, Constants!$A$123:$A$2000, Constants!$B$123:$B$2000, ""))</f>
        <v/>
      </c>
      <c r="L49" s="6">
        <f>IF(C49="","", XLOOKUP(C49, Constants!$A$123:$A$2000, Constants!$B$123:$B$2000, ""))</f>
        <v/>
      </c>
      <c r="M49" s="6">
        <f>IF(D49="","", XLOOKUP(D49, Constants!$A$123:$A$2000, Constants!$B$123:$B$2000, ""))</f>
        <v/>
      </c>
      <c r="N49" s="6">
        <f>IF(E49="","", XLOOKUP(E49, Constants!$A$123:$A$2000, Constants!$B$123:$B$2000, ""))</f>
        <v/>
      </c>
    </row>
    <row r="50">
      <c r="A50" s="8" t="n"/>
      <c r="B50" s="8" t="n"/>
      <c r="C50" s="8" t="n"/>
      <c r="D50" s="8" t="n"/>
      <c r="E50" s="8" t="n"/>
      <c r="F50" s="8" t="n"/>
      <c r="G50" s="8" t="n"/>
      <c r="H50" s="8" t="n"/>
      <c r="I50" s="8" t="n"/>
      <c r="J50" s="6" t="n"/>
      <c r="K50" s="6">
        <f>IF(B50="","", XLOOKUP(B50, Constants!$A$123:$A$2000, Constants!$B$123:$B$2000, ""))</f>
        <v/>
      </c>
      <c r="L50" s="6">
        <f>IF(C50="","", XLOOKUP(C50, Constants!$A$123:$A$2000, Constants!$B$123:$B$2000, ""))</f>
        <v/>
      </c>
      <c r="M50" s="6">
        <f>IF(D50="","", XLOOKUP(D50, Constants!$A$123:$A$2000, Constants!$B$123:$B$2000, ""))</f>
        <v/>
      </c>
      <c r="N50" s="6">
        <f>IF(E50="","", XLOOKUP(E50, Constants!$A$123:$A$2000, Constants!$B$123:$B$2000, ""))</f>
        <v/>
      </c>
    </row>
    <row r="51">
      <c r="A51" s="8" t="n"/>
      <c r="B51" s="8" t="n"/>
      <c r="C51" s="8" t="n"/>
      <c r="D51" s="8" t="n"/>
      <c r="E51" s="8" t="n"/>
      <c r="F51" s="8" t="n"/>
      <c r="G51" s="8" t="n"/>
      <c r="H51" s="8" t="n"/>
      <c r="I51" s="8" t="n"/>
      <c r="J51" s="6" t="n"/>
      <c r="K51" s="6">
        <f>IF(B51="","", XLOOKUP(B51, Constants!$A$123:$A$2000, Constants!$B$123:$B$2000, ""))</f>
        <v/>
      </c>
      <c r="L51" s="6">
        <f>IF(C51="","", XLOOKUP(C51, Constants!$A$123:$A$2000, Constants!$B$123:$B$2000, ""))</f>
        <v/>
      </c>
      <c r="M51" s="6">
        <f>IF(D51="","", XLOOKUP(D51, Constants!$A$123:$A$2000, Constants!$B$123:$B$2000, ""))</f>
        <v/>
      </c>
      <c r="N51" s="6">
        <f>IF(E51="","", XLOOKUP(E51, Constants!$A$123:$A$2000, Constants!$B$123:$B$2000, ""))</f>
        <v/>
      </c>
    </row>
    <row r="52">
      <c r="A52" s="8" t="n"/>
      <c r="B52" s="8" t="n"/>
      <c r="C52" s="8" t="n"/>
      <c r="D52" s="8" t="n"/>
      <c r="E52" s="8" t="n"/>
      <c r="F52" s="8" t="n"/>
      <c r="G52" s="8" t="n"/>
      <c r="H52" s="8" t="n"/>
      <c r="I52" s="8" t="n"/>
      <c r="J52" s="6" t="n"/>
      <c r="K52" s="6">
        <f>IF(B52="","", XLOOKUP(B52, Constants!$A$123:$A$2000, Constants!$B$123:$B$2000, ""))</f>
        <v/>
      </c>
      <c r="L52" s="6">
        <f>IF(C52="","", XLOOKUP(C52, Constants!$A$123:$A$2000, Constants!$B$123:$B$2000, ""))</f>
        <v/>
      </c>
      <c r="M52" s="6">
        <f>IF(D52="","", XLOOKUP(D52, Constants!$A$123:$A$2000, Constants!$B$123:$B$2000, ""))</f>
        <v/>
      </c>
      <c r="N52" s="6">
        <f>IF(E52="","", XLOOKUP(E52, Constants!$A$123:$A$2000, Constants!$B$123:$B$2000, ""))</f>
        <v/>
      </c>
    </row>
    <row r="53">
      <c r="A53" s="8" t="n"/>
      <c r="B53" s="8" t="n"/>
      <c r="C53" s="8" t="n"/>
      <c r="D53" s="8" t="n"/>
      <c r="E53" s="8" t="n"/>
      <c r="F53" s="8" t="n"/>
      <c r="G53" s="8" t="n"/>
      <c r="H53" s="8" t="n"/>
      <c r="I53" s="8" t="n"/>
      <c r="J53" s="6" t="n"/>
      <c r="K53" s="6">
        <f>IF(B53="","", XLOOKUP(B53, Constants!$A$123:$A$2000, Constants!$B$123:$B$2000, ""))</f>
        <v/>
      </c>
      <c r="L53" s="6">
        <f>IF(C53="","", XLOOKUP(C53, Constants!$A$123:$A$2000, Constants!$B$123:$B$2000, ""))</f>
        <v/>
      </c>
      <c r="M53" s="6">
        <f>IF(D53="","", XLOOKUP(D53, Constants!$A$123:$A$2000, Constants!$B$123:$B$2000, ""))</f>
        <v/>
      </c>
      <c r="N53" s="6">
        <f>IF(E53="","", XLOOKUP(E53, Constants!$A$123:$A$2000, Constants!$B$123:$B$2000, ""))</f>
        <v/>
      </c>
    </row>
    <row r="54">
      <c r="A54" s="8" t="n"/>
      <c r="B54" s="8" t="n"/>
      <c r="C54" s="8" t="n"/>
      <c r="D54" s="8" t="n"/>
      <c r="E54" s="8" t="n"/>
      <c r="F54" s="8" t="n"/>
      <c r="G54" s="8" t="n"/>
      <c r="H54" s="8" t="n"/>
      <c r="I54" s="8" t="n"/>
      <c r="J54" s="6" t="n"/>
      <c r="K54" s="6">
        <f>IF(B54="","", XLOOKUP(B54, Constants!$A$123:$A$2000, Constants!$B$123:$B$2000, ""))</f>
        <v/>
      </c>
      <c r="L54" s="6">
        <f>IF(C54="","", XLOOKUP(C54, Constants!$A$123:$A$2000, Constants!$B$123:$B$2000, ""))</f>
        <v/>
      </c>
      <c r="M54" s="6">
        <f>IF(D54="","", XLOOKUP(D54, Constants!$A$123:$A$2000, Constants!$B$123:$B$2000, ""))</f>
        <v/>
      </c>
      <c r="N54" s="6">
        <f>IF(E54="","", XLOOKUP(E54, Constants!$A$123:$A$2000, Constants!$B$123:$B$2000, ""))</f>
        <v/>
      </c>
    </row>
    <row r="55">
      <c r="A55" s="8" t="n"/>
      <c r="B55" s="8" t="n"/>
      <c r="C55" s="8" t="n"/>
      <c r="D55" s="8" t="n"/>
      <c r="E55" s="8" t="n"/>
      <c r="F55" s="8" t="n"/>
      <c r="G55" s="8" t="n"/>
      <c r="H55" s="8" t="n"/>
      <c r="I55" s="8" t="n"/>
      <c r="J55" s="6" t="n"/>
      <c r="K55" s="6">
        <f>IF(B55="","", XLOOKUP(B55, Constants!$A$123:$A$2000, Constants!$B$123:$B$2000, ""))</f>
        <v/>
      </c>
      <c r="L55" s="6">
        <f>IF(C55="","", XLOOKUP(C55, Constants!$A$123:$A$2000, Constants!$B$123:$B$2000, ""))</f>
        <v/>
      </c>
      <c r="M55" s="6">
        <f>IF(D55="","", XLOOKUP(D55, Constants!$A$123:$A$2000, Constants!$B$123:$B$2000, ""))</f>
        <v/>
      </c>
      <c r="N55" s="6">
        <f>IF(E55="","", XLOOKUP(E55, Constants!$A$123:$A$2000, Constants!$B$123:$B$2000, ""))</f>
        <v/>
      </c>
    </row>
  </sheetData>
  <mergeCells count="2">
    <mergeCell ref="A1:J1"/>
    <mergeCell ref="A3:J3"/>
  </mergeCells>
  <dataValidations count="3">
    <dataValidation sqref="B6 B7 B8 B9 B10 B11 B12 B13 B14 B15 B16 B17 B18 B19 B20 B21 B22 B23 B24 B25 B26 B27 B28 B29 B30 B31 B32 B33 B34 B35 B36 B37 B38 B39 B40 B41 B42 B43 B44 B45 B46 B47 B48 B49 B50 B51 B52 B53 B54 B55 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showDropDown="0" showInputMessage="0" showErrorMessage="0" allowBlank="1" type="list">
      <formula1>=Constants!$A$52:$A$200</formula1>
    </dataValidation>
    <dataValidation sqref="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showDropDown="0" showInputMessage="0" showErrorMessage="0" allowBlank="1" type="decimal"/>
    <dataValidation sqref="B6 B7 B8 B9 B10 B11 B12 B13 B14 B15 B16 B17 B18 B19 B20 B21 B22 B23 B24 B25 B26 B27 B28 B29 B30 B31 B32 B33 B34 B35 B36 B37 B38 B39 B40 B41 B42 B43 B44 B45 B46 B47 B48 B49 B50 B51 B52 B53 B54 B55 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showDropDown="0" showInputMessage="0" showErrorMessage="0" allowBlank="1" type="list">
      <formula1>=Constants!$A$124:$A$300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83"/>
  <sheetViews>
    <sheetView workbookViewId="0">
      <selection activeCell="A1" sqref="A1"/>
    </sheetView>
  </sheetViews>
  <sheetFormatPr baseColWidth="8" defaultRowHeight="15"/>
  <cols>
    <col hidden="1" width="10" customWidth="1" min="1" max="1"/>
    <col width="10" customWidth="1" min="2" max="2"/>
    <col width="22" customWidth="1" min="3" max="3"/>
    <col width="12" customWidth="1" min="4" max="4"/>
    <col width="14" customWidth="1" min="5" max="5"/>
    <col width="14" customWidth="1" min="6" max="6"/>
    <col width="14" customWidth="1" min="7" max="7"/>
    <col width="16" customWidth="1" min="8" max="8"/>
    <col width="18" customWidth="1" min="9" max="9"/>
    <col width="16" customWidth="1" min="10" max="10"/>
    <col width="12" customWidth="1" min="11" max="11"/>
    <col width="14" customWidth="1" min="12" max="12"/>
    <col width="12" customWidth="1" min="13" max="13"/>
    <col width="16" customWidth="1" min="14" max="14"/>
    <col width="12" customWidth="1" min="15" max="15"/>
    <col width="14" customWidth="1" min="16" max="16"/>
    <col width="12" customWidth="1" min="17" max="17"/>
    <col width="16" customWidth="1" min="18" max="18"/>
    <col width="18" customWidth="1" min="19" max="19"/>
    <col width="12" customWidth="1" min="20" max="20"/>
    <col width="14" customWidth="1" min="21" max="21"/>
    <col width="12" customWidth="1" min="22" max="22"/>
    <col width="16" customWidth="1" min="23" max="23"/>
    <col width="12" customWidth="1" min="24" max="24"/>
    <col width="12" customWidth="1" min="25" max="25"/>
    <col width="18" customWidth="1" min="26" max="26"/>
    <col width="18" customWidth="1" min="27" max="27"/>
    <col width="14" customWidth="1" min="28" max="28"/>
    <col width="16" customWidth="1" min="29" max="29"/>
    <col width="14" customWidth="1" min="30" max="30"/>
    <col width="14" customWidth="1" min="31" max="31"/>
    <col width="14" customWidth="1" min="32" max="32"/>
    <col width="14" customWidth="1" min="33" max="33"/>
  </cols>
  <sheetData>
    <row r="1">
      <c r="A1" s="1" t="inlineStr">
        <is>
          <t>INPUT_ROOMS (Manual or App) — 1 row per room</t>
        </is>
      </c>
    </row>
    <row r="2">
      <c r="B2" s="12" t="inlineStr">
        <is>
          <t>App-first mode: JobID column (A) is hidden; the app will fill JobID automatically.</t>
        </is>
      </c>
    </row>
    <row r="3">
      <c r="A3" s="5" t="inlineStr">
        <is>
          <t>JobID</t>
        </is>
      </c>
      <c r="B3" s="5" t="inlineStr">
        <is>
          <t>RoomID</t>
        </is>
      </c>
      <c r="C3" s="5" t="inlineStr">
        <is>
          <t>Room Name</t>
        </is>
      </c>
      <c r="D3" s="5" t="inlineStr">
        <is>
          <t>Mode (RECT/SEG)</t>
        </is>
      </c>
      <c r="E3" s="5" t="inlineStr">
        <is>
          <t>Length_in (RECT)</t>
        </is>
      </c>
      <c r="F3" s="5" t="inlineStr">
        <is>
          <t>Width_in (RECT)</t>
        </is>
      </c>
      <c r="G3" s="5" t="inlineStr">
        <is>
          <t>WallHeight_in</t>
        </is>
      </c>
      <c r="H3" s="5" t="inlineStr">
        <is>
          <t>CeilingHeight_in</t>
        </is>
      </c>
      <c r="I3" s="5" t="inlineStr">
        <is>
          <t>CeilingSqft_override (SEG optional)</t>
        </is>
      </c>
      <c r="J3" s="5" t="inlineStr">
        <is>
          <t>BaseExclude_in (RECT)</t>
        </is>
      </c>
      <c r="K3" s="5" t="inlineStr">
        <is>
          <t>Walls Include</t>
        </is>
      </c>
      <c r="L3" s="5" t="inlineStr">
        <is>
          <t>Walls Primer</t>
        </is>
      </c>
      <c r="M3" s="5" t="inlineStr">
        <is>
          <t>Walls Topcoats</t>
        </is>
      </c>
      <c r="N3" s="5" t="inlineStr">
        <is>
          <t>Walls Prep Override</t>
        </is>
      </c>
      <c r="O3" s="5" t="inlineStr">
        <is>
          <t>Ceiling Include</t>
        </is>
      </c>
      <c r="P3" s="5" t="inlineStr">
        <is>
          <t>Ceiling Primer</t>
        </is>
      </c>
      <c r="Q3" s="5" t="inlineStr">
        <is>
          <t>Ceiling Topcoats</t>
        </is>
      </c>
      <c r="R3" s="5" t="inlineStr">
        <is>
          <t>Ceiling Prep Override</t>
        </is>
      </c>
      <c r="S3" s="5" t="inlineStr">
        <is>
          <t>Ceiling Height Surcharge $</t>
        </is>
      </c>
      <c r="T3" s="5" t="inlineStr">
        <is>
          <t>Trim Include</t>
        </is>
      </c>
      <c r="U3" s="5" t="inlineStr">
        <is>
          <t>Trim Primer</t>
        </is>
      </c>
      <c r="V3" s="5" t="inlineStr">
        <is>
          <t>Trim Topcoats</t>
        </is>
      </c>
      <c r="W3" s="5" t="inlineStr">
        <is>
          <t>Trim Prep Override</t>
        </is>
      </c>
      <c r="X3" s="5" t="inlineStr">
        <is>
          <t>Paint Base?</t>
        </is>
      </c>
      <c r="Y3" s="5" t="inlineStr">
        <is>
          <t>Paint Crown?</t>
        </is>
      </c>
      <c r="Z3" s="5" t="inlineStr">
        <is>
          <t>Paint Window Casing?</t>
        </is>
      </c>
      <c r="AA3" s="5" t="inlineStr">
        <is>
          <t>Paint Door Casing?</t>
        </is>
      </c>
      <c r="AB3" s="5" t="inlineStr">
        <is>
          <t>Paint Doors?</t>
        </is>
      </c>
      <c r="AC3" s="5" t="inlineStr">
        <is>
          <t>Perimeter_in (calc)</t>
        </is>
      </c>
      <c r="AD3" s="5" t="inlineStr">
        <is>
          <t>WallSqft (calc)</t>
        </is>
      </c>
      <c r="AE3" s="5" t="inlineStr">
        <is>
          <t>CeilingSqft (calc)</t>
        </is>
      </c>
      <c r="AF3" s="5" t="inlineStr">
        <is>
          <t>Base_LF (calc)</t>
        </is>
      </c>
      <c r="AG3" s="5" t="inlineStr">
        <is>
          <t>Crown_LF (calc)</t>
        </is>
      </c>
      <c r="AH3" s="5" t="inlineStr">
        <is>
          <t>WallColorID (A/B/C...)</t>
        </is>
      </c>
      <c r="AI3" s="5" t="inlineStr">
        <is>
          <t>CeilingTypeID</t>
        </is>
      </c>
    </row>
    <row r="4">
      <c r="A4" s="8" t="n"/>
      <c r="B4" s="8" t="n"/>
      <c r="C4" s="8" t="n"/>
      <c r="D4" s="8" t="n"/>
      <c r="E4" s="8" t="n"/>
      <c r="F4" s="8" t="n"/>
      <c r="G4" s="8" t="n"/>
      <c r="H4" s="8">
        <f>IF($B4="","",$G4)</f>
        <v/>
      </c>
      <c r="I4" s="8" t="n"/>
      <c r="J4" s="8" t="n"/>
      <c r="K4" s="8" t="n"/>
      <c r="L4" s="8" t="n"/>
      <c r="M4" s="8" t="n"/>
      <c r="N4" s="8" t="n"/>
      <c r="O4" s="8" t="n"/>
      <c r="P4" s="8" t="n"/>
      <c r="Q4" s="8" t="n"/>
      <c r="R4" s="8" t="n"/>
      <c r="S4" s="8" t="n"/>
      <c r="T4" s="8" t="n"/>
      <c r="U4" s="8" t="n"/>
      <c r="V4" s="8" t="n"/>
      <c r="W4" s="8" t="n"/>
      <c r="X4" s="8" t="n"/>
      <c r="Y4" s="8" t="n"/>
      <c r="Z4" s="8" t="n"/>
      <c r="AA4" s="8" t="n"/>
      <c r="AB4" s="8" t="n"/>
      <c r="AC4" s="6">
        <f>IF(B4="","",IF(D4="RECT",IF(OR(E4="",F4=""),"",2*(E4+F4)),SUMIFS(INPUT_Segments!$D:$D,INPUT_Segments!$A:$A,A4,INPUT_Segments!$B:$B,B4)))</f>
        <v/>
      </c>
      <c r="AD4" s="6">
        <f>IF(AC4="","", (AC4*G4)/144)</f>
        <v/>
      </c>
      <c r="AE4" s="6">
        <f>IF(B4="","",IF(D4="RECT",IF(OR(E4="",F4=""),"",(E4*F4)/144),IF(I4="", "", I4)))</f>
        <v/>
      </c>
      <c r="AF4" s="6">
        <f>IF(AC4="","",MAX(0,AC4 - SUMPRODUCT((INPUT_Openings!$A:$A=A4)*(INPUT_Openings!$B:$B=B4)*(XLOOKUP(INPUT_Openings!$C:$C,Constants!$A$30:$A$200,Constants!$C$30:$C$200,"",0))*(INPUT_Openings!$D:$D)*(XLOOKUP(INPUT_Openings!$C:$C,Constants!$A$30:$A$200,Constants!$B$30:$B$200,"",0)="Door")) - IF(D4="RECT",IF(J4="",0,J4),SUMIFS(INPUT_Segments!$E:$E,INPUT_Segments!$A:$A,A4,INPUT_Segments!$B:$B,B4)))/12)</f>
        <v/>
      </c>
      <c r="AG4" s="6">
        <f>IF(AC4="","",AC4/12)</f>
        <v/>
      </c>
      <c r="AH4" s="8" t="n"/>
      <c r="AI4" s="8" t="n"/>
    </row>
    <row r="5">
      <c r="A5" s="8" t="n"/>
      <c r="B5" s="8" t="n"/>
      <c r="C5" s="8" t="n"/>
      <c r="D5" s="8" t="n"/>
      <c r="E5" s="8" t="n"/>
      <c r="F5" s="8" t="n"/>
      <c r="G5" s="8" t="n"/>
      <c r="H5" s="8">
        <f>IF($B5="","",$G5)</f>
        <v/>
      </c>
      <c r="I5" s="8" t="n"/>
      <c r="J5" s="8" t="n"/>
      <c r="K5" s="8" t="n"/>
      <c r="L5" s="8" t="n"/>
      <c r="M5" s="8" t="n"/>
      <c r="N5" s="8" t="n"/>
      <c r="O5" s="8" t="n"/>
      <c r="P5" s="8" t="n"/>
      <c r="Q5" s="8" t="n"/>
      <c r="R5" s="8" t="n"/>
      <c r="S5" s="8" t="n"/>
      <c r="T5" s="8" t="n"/>
      <c r="U5" s="8" t="n"/>
      <c r="V5" s="8" t="n"/>
      <c r="W5" s="8" t="n"/>
      <c r="X5" s="8" t="n"/>
      <c r="Y5" s="8" t="n"/>
      <c r="Z5" s="8" t="n"/>
      <c r="AA5" s="8" t="n"/>
      <c r="AB5" s="8" t="n"/>
      <c r="AC5" s="6">
        <f>IF(B5="","",IF(D5="RECT",IF(OR(E5="",F5=""),"",2*(E5+F5)),SUMIFS(INPUT_Segments!$D:$D,INPUT_Segments!$A:$A,A5,INPUT_Segments!$B:$B,B5)))</f>
        <v/>
      </c>
      <c r="AD5" s="6">
        <f>IF(AC5="","", (AC5*G5)/144)</f>
        <v/>
      </c>
      <c r="AE5" s="6">
        <f>IF(B5="","",IF(D5="RECT",IF(OR(E5="",F5=""),"",(E5*F5)/144),IF(I5="", "", I5)))</f>
        <v/>
      </c>
      <c r="AF5" s="6">
        <f>IF(AC5="","",MAX(0,AC5 - SUMPRODUCT((INPUT_Openings!$A:$A=A5)*(INPUT_Openings!$B:$B=B5)*(XLOOKUP(INPUT_Openings!$C:$C,Constants!$A$30:$A$200,Constants!$C$30:$C$200,"",0))*(INPUT_Openings!$D:$D)*(XLOOKUP(INPUT_Openings!$C:$C,Constants!$A$30:$A$200,Constants!$B$30:$B$200,"",0)="Door")) - IF(D5="RECT",IF(J5="",0,J5),SUMIFS(INPUT_Segments!$E:$E,INPUT_Segments!$A:$A,A5,INPUT_Segments!$B:$B,B5)))/12)</f>
        <v/>
      </c>
      <c r="AG5" s="6">
        <f>IF(AC5="","",AC5/12)</f>
        <v/>
      </c>
      <c r="AH5" s="8" t="n"/>
      <c r="AI5" s="8" t="n"/>
    </row>
    <row r="6">
      <c r="A6" s="8" t="n"/>
      <c r="B6" s="8" t="n"/>
      <c r="C6" s="8" t="n"/>
      <c r="D6" s="8" t="n"/>
      <c r="E6" s="8" t="n"/>
      <c r="F6" s="8" t="n"/>
      <c r="G6" s="8" t="n"/>
      <c r="H6" s="8">
        <f>IF($B6="","",$G6)</f>
        <v/>
      </c>
      <c r="I6" s="8" t="n"/>
      <c r="J6" s="8" t="n"/>
      <c r="K6" s="8" t="n"/>
      <c r="L6" s="8" t="n"/>
      <c r="M6" s="8" t="n"/>
      <c r="N6" s="8" t="n"/>
      <c r="O6" s="8" t="n"/>
      <c r="P6" s="8" t="n"/>
      <c r="Q6" s="8" t="n"/>
      <c r="R6" s="8" t="n"/>
      <c r="S6" s="8" t="n"/>
      <c r="T6" s="8" t="n"/>
      <c r="U6" s="8" t="n"/>
      <c r="V6" s="8" t="n"/>
      <c r="W6" s="8" t="n"/>
      <c r="X6" s="8" t="n"/>
      <c r="Y6" s="8" t="n"/>
      <c r="Z6" s="8" t="n"/>
      <c r="AA6" s="8" t="n"/>
      <c r="AB6" s="8" t="n"/>
      <c r="AC6" s="6">
        <f>IF(B6="","",IF(D6="RECT",IF(OR(E6="",F6=""),"",2*(E6+F6)),SUMIFS(INPUT_Segments!$D:$D,INPUT_Segments!$A:$A,A6,INPUT_Segments!$B:$B,B6)))</f>
        <v/>
      </c>
      <c r="AD6" s="6">
        <f>IF(AC6="","", (AC6*G6)/144)</f>
        <v/>
      </c>
      <c r="AE6" s="6">
        <f>IF(B6="","",IF(D6="RECT",IF(OR(E6="",F6=""),"",(E6*F6)/144),IF(I6="", "", I6)))</f>
        <v/>
      </c>
      <c r="AF6" s="6">
        <f>IF(AC6="","",MAX(0,AC6 - SUMPRODUCT((INPUT_Openings!$A:$A=A6)*(INPUT_Openings!$B:$B=B6)*(XLOOKUP(INPUT_Openings!$C:$C,Constants!$A$30:$A$200,Constants!$C$30:$C$200,"",0))*(INPUT_Openings!$D:$D)*(XLOOKUP(INPUT_Openings!$C:$C,Constants!$A$30:$A$200,Constants!$B$30:$B$200,"",0)="Door")) - IF(D6="RECT",IF(J6="",0,J6),SUMIFS(INPUT_Segments!$E:$E,INPUT_Segments!$A:$A,A6,INPUT_Segments!$B:$B,B6)))/12)</f>
        <v/>
      </c>
      <c r="AG6" s="6">
        <f>IF(AC6="","",AC6/12)</f>
        <v/>
      </c>
      <c r="AH6" s="8" t="n"/>
      <c r="AI6" s="8" t="n"/>
    </row>
    <row r="7">
      <c r="A7" s="8" t="n"/>
      <c r="B7" s="8" t="n"/>
      <c r="C7" s="8" t="n"/>
      <c r="D7" s="8" t="n"/>
      <c r="E7" s="8" t="n"/>
      <c r="F7" s="8" t="n"/>
      <c r="G7" s="8" t="n"/>
      <c r="H7" s="8">
        <f>IF($B7="","",$G7)</f>
        <v/>
      </c>
      <c r="I7" s="8" t="n"/>
      <c r="J7" s="8" t="n"/>
      <c r="K7" s="8" t="n"/>
      <c r="L7" s="8" t="n"/>
      <c r="M7" s="8" t="n"/>
      <c r="N7" s="8" t="n"/>
      <c r="O7" s="8" t="n"/>
      <c r="P7" s="8" t="n"/>
      <c r="Q7" s="8" t="n"/>
      <c r="R7" s="8" t="n"/>
      <c r="S7" s="8" t="n"/>
      <c r="T7" s="8" t="n"/>
      <c r="U7" s="8" t="n"/>
      <c r="V7" s="8" t="n"/>
      <c r="W7" s="8" t="n"/>
      <c r="X7" s="8" t="n"/>
      <c r="Y7" s="8" t="n"/>
      <c r="Z7" s="8" t="n"/>
      <c r="AA7" s="8" t="n"/>
      <c r="AB7" s="8" t="n"/>
      <c r="AC7" s="6">
        <f>IF(B7="","",IF(D7="RECT",IF(OR(E7="",F7=""),"",2*(E7+F7)),SUMIFS(INPUT_Segments!$D:$D,INPUT_Segments!$A:$A,A7,INPUT_Segments!$B:$B,B7)))</f>
        <v/>
      </c>
      <c r="AD7" s="6">
        <f>IF(AC7="","", (AC7*G7)/144)</f>
        <v/>
      </c>
      <c r="AE7" s="6">
        <f>IF(B7="","",IF(D7="RECT",IF(OR(E7="",F7=""),"",(E7*F7)/144),IF(I7="", "", I7)))</f>
        <v/>
      </c>
      <c r="AF7" s="6">
        <f>IF(AC7="","",MAX(0,AC7 - SUMPRODUCT((INPUT_Openings!$A:$A=A7)*(INPUT_Openings!$B:$B=B7)*(XLOOKUP(INPUT_Openings!$C:$C,Constants!$A$30:$A$200,Constants!$C$30:$C$200,"",0))*(INPUT_Openings!$D:$D)*(XLOOKUP(INPUT_Openings!$C:$C,Constants!$A$30:$A$200,Constants!$B$30:$B$200,"",0)="Door")) - IF(D7="RECT",IF(J7="",0,J7),SUMIFS(INPUT_Segments!$E:$E,INPUT_Segments!$A:$A,A7,INPUT_Segments!$B:$B,B7)))/12)</f>
        <v/>
      </c>
      <c r="AG7" s="6">
        <f>IF(AC7="","",AC7/12)</f>
        <v/>
      </c>
      <c r="AH7" s="8" t="n"/>
      <c r="AI7" s="8" t="n"/>
    </row>
    <row r="8">
      <c r="A8" s="8" t="n"/>
      <c r="B8" s="8" t="n"/>
      <c r="C8" s="8" t="n"/>
      <c r="D8" s="8" t="n"/>
      <c r="E8" s="8" t="n"/>
      <c r="F8" s="8" t="n"/>
      <c r="G8" s="8" t="n"/>
      <c r="H8" s="8">
        <f>IF($B8="","",$G8)</f>
        <v/>
      </c>
      <c r="I8" s="8" t="n"/>
      <c r="J8" s="8" t="n"/>
      <c r="K8" s="8" t="n"/>
      <c r="L8" s="8" t="n"/>
      <c r="M8" s="8" t="n"/>
      <c r="N8" s="8" t="n"/>
      <c r="O8" s="8" t="n"/>
      <c r="P8" s="8" t="n"/>
      <c r="Q8" s="8" t="n"/>
      <c r="R8" s="8" t="n"/>
      <c r="S8" s="8" t="n"/>
      <c r="T8" s="8" t="n"/>
      <c r="U8" s="8" t="n"/>
      <c r="V8" s="8" t="n"/>
      <c r="W8" s="8" t="n"/>
      <c r="X8" s="8" t="n"/>
      <c r="Y8" s="8" t="n"/>
      <c r="Z8" s="8" t="n"/>
      <c r="AA8" s="8" t="n"/>
      <c r="AB8" s="8" t="n"/>
      <c r="AC8" s="6">
        <f>IF(B8="","",IF(D8="RECT",IF(OR(E8="",F8=""),"",2*(E8+F8)),SUMIFS(INPUT_Segments!$D:$D,INPUT_Segments!$A:$A,A8,INPUT_Segments!$B:$B,B8)))</f>
        <v/>
      </c>
      <c r="AD8" s="6">
        <f>IF(AC8="","", (AC8*G8)/144)</f>
        <v/>
      </c>
      <c r="AE8" s="6">
        <f>IF(B8="","",IF(D8="RECT",IF(OR(E8="",F8=""),"",(E8*F8)/144),IF(I8="", "", I8)))</f>
        <v/>
      </c>
      <c r="AF8" s="6">
        <f>IF(AC8="","",MAX(0,AC8 - SUMPRODUCT((INPUT_Openings!$A:$A=A8)*(INPUT_Openings!$B:$B=B8)*(XLOOKUP(INPUT_Openings!$C:$C,Constants!$A$30:$A$200,Constants!$C$30:$C$200,"",0))*(INPUT_Openings!$D:$D)*(XLOOKUP(INPUT_Openings!$C:$C,Constants!$A$30:$A$200,Constants!$B$30:$B$200,"",0)="Door")) - IF(D8="RECT",IF(J8="",0,J8),SUMIFS(INPUT_Segments!$E:$E,INPUT_Segments!$A:$A,A8,INPUT_Segments!$B:$B,B8)))/12)</f>
        <v/>
      </c>
      <c r="AG8" s="6">
        <f>IF(AC8="","",AC8/12)</f>
        <v/>
      </c>
      <c r="AH8" s="8" t="n"/>
      <c r="AI8" s="8" t="n"/>
    </row>
    <row r="9">
      <c r="A9" s="8" t="n"/>
      <c r="B9" s="8" t="n"/>
      <c r="C9" s="8" t="n"/>
      <c r="D9" s="8" t="n"/>
      <c r="E9" s="8" t="n"/>
      <c r="F9" s="8" t="n"/>
      <c r="G9" s="8" t="n"/>
      <c r="H9" s="8">
        <f>IF($B9="","",$G9)</f>
        <v/>
      </c>
      <c r="I9" s="8" t="n"/>
      <c r="J9" s="8" t="n"/>
      <c r="K9" s="8" t="n"/>
      <c r="L9" s="8" t="n"/>
      <c r="M9" s="8" t="n"/>
      <c r="N9" s="8" t="n"/>
      <c r="O9" s="8" t="n"/>
      <c r="P9" s="8" t="n"/>
      <c r="Q9" s="8" t="n"/>
      <c r="R9" s="8" t="n"/>
      <c r="S9" s="8" t="n"/>
      <c r="T9" s="8" t="n"/>
      <c r="U9" s="8" t="n"/>
      <c r="V9" s="8" t="n"/>
      <c r="W9" s="8" t="n"/>
      <c r="X9" s="8" t="n"/>
      <c r="Y9" s="8" t="n"/>
      <c r="Z9" s="8" t="n"/>
      <c r="AA9" s="8" t="n"/>
      <c r="AB9" s="8" t="n"/>
      <c r="AC9" s="6">
        <f>IF(B9="","",IF(D9="RECT",IF(OR(E9="",F9=""),"",2*(E9+F9)),SUMIFS(INPUT_Segments!$D:$D,INPUT_Segments!$A:$A,A9,INPUT_Segments!$B:$B,B9)))</f>
        <v/>
      </c>
      <c r="AD9" s="6">
        <f>IF(AC9="","", (AC9*G9)/144)</f>
        <v/>
      </c>
      <c r="AE9" s="6">
        <f>IF(B9="","",IF(D9="RECT",IF(OR(E9="",F9=""),"",(E9*F9)/144),IF(I9="", "", I9)))</f>
        <v/>
      </c>
      <c r="AF9" s="6">
        <f>IF(AC9="","",MAX(0,AC9 - SUMPRODUCT((INPUT_Openings!$A:$A=A9)*(INPUT_Openings!$B:$B=B9)*(XLOOKUP(INPUT_Openings!$C:$C,Constants!$A$30:$A$200,Constants!$C$30:$C$200,"",0))*(INPUT_Openings!$D:$D)*(XLOOKUP(INPUT_Openings!$C:$C,Constants!$A$30:$A$200,Constants!$B$30:$B$200,"",0)="Door")) - IF(D9="RECT",IF(J9="",0,J9),SUMIFS(INPUT_Segments!$E:$E,INPUT_Segments!$A:$A,A9,INPUT_Segments!$B:$B,B9)))/12)</f>
        <v/>
      </c>
      <c r="AG9" s="6">
        <f>IF(AC9="","",AC9/12)</f>
        <v/>
      </c>
      <c r="AH9" s="8" t="n"/>
      <c r="AI9" s="8" t="n"/>
    </row>
    <row r="10">
      <c r="A10" s="8" t="n"/>
      <c r="B10" s="8" t="n"/>
      <c r="C10" s="8" t="n"/>
      <c r="D10" s="8" t="n"/>
      <c r="E10" s="8" t="n"/>
      <c r="F10" s="8" t="n"/>
      <c r="G10" s="8" t="n"/>
      <c r="H10" s="8">
        <f>IF($B10="","",$G10)</f>
        <v/>
      </c>
      <c r="I10" s="8" t="n"/>
      <c r="J10" s="8" t="n"/>
      <c r="K10" s="8" t="n"/>
      <c r="L10" s="8" t="n"/>
      <c r="M10" s="8" t="n"/>
      <c r="N10" s="8" t="n"/>
      <c r="O10" s="8" t="n"/>
      <c r="P10" s="8" t="n"/>
      <c r="Q10" s="8" t="n"/>
      <c r="R10" s="8" t="n"/>
      <c r="S10" s="8" t="n"/>
      <c r="T10" s="8" t="n"/>
      <c r="U10" s="8" t="n"/>
      <c r="V10" s="8" t="n"/>
      <c r="W10" s="8" t="n"/>
      <c r="X10" s="8" t="n"/>
      <c r="Y10" s="8" t="n"/>
      <c r="Z10" s="8" t="n"/>
      <c r="AA10" s="8" t="n"/>
      <c r="AB10" s="8" t="n"/>
      <c r="AC10" s="6">
        <f>IF(B10="","",IF(D10="RECT",IF(OR(E10="",F10=""),"",2*(E10+F10)),SUMIFS(INPUT_Segments!$D:$D,INPUT_Segments!$A:$A,A10,INPUT_Segments!$B:$B,B10)))</f>
        <v/>
      </c>
      <c r="AD10" s="6">
        <f>IF(AC10="","", (AC10*G10)/144)</f>
        <v/>
      </c>
      <c r="AE10" s="6">
        <f>IF(B10="","",IF(D10="RECT",IF(OR(E10="",F10=""),"",(E10*F10)/144),IF(I10="", "", I10)))</f>
        <v/>
      </c>
      <c r="AF10" s="6">
        <f>IF(AC10="","",MAX(0,AC10 - SUMPRODUCT((INPUT_Openings!$A:$A=A10)*(INPUT_Openings!$B:$B=B10)*(XLOOKUP(INPUT_Openings!$C:$C,Constants!$A$30:$A$200,Constants!$C$30:$C$200,"",0))*(INPUT_Openings!$D:$D)*(XLOOKUP(INPUT_Openings!$C:$C,Constants!$A$30:$A$200,Constants!$B$30:$B$200,"",0)="Door")) - IF(D10="RECT",IF(J10="",0,J10),SUMIFS(INPUT_Segments!$E:$E,INPUT_Segments!$A:$A,A10,INPUT_Segments!$B:$B,B10)))/12)</f>
        <v/>
      </c>
      <c r="AG10" s="6">
        <f>IF(AC10="","",AC10/12)</f>
        <v/>
      </c>
      <c r="AH10" s="8" t="n"/>
      <c r="AI10" s="8" t="n"/>
    </row>
    <row r="11">
      <c r="A11" s="8" t="n"/>
      <c r="B11" s="8" t="n"/>
      <c r="C11" s="8" t="n"/>
      <c r="D11" s="8" t="n"/>
      <c r="E11" s="8" t="n"/>
      <c r="F11" s="8" t="n"/>
      <c r="G11" s="8" t="n"/>
      <c r="H11" s="8">
        <f>IF($B11="","",$G11)</f>
        <v/>
      </c>
      <c r="I11" s="8" t="n"/>
      <c r="J11" s="8" t="n"/>
      <c r="K11" s="8" t="n"/>
      <c r="L11" s="8" t="n"/>
      <c r="M11" s="8" t="n"/>
      <c r="N11" s="8" t="n"/>
      <c r="O11" s="8" t="n"/>
      <c r="P11" s="8" t="n"/>
      <c r="Q11" s="8" t="n"/>
      <c r="R11" s="8" t="n"/>
      <c r="S11" s="8" t="n"/>
      <c r="T11" s="8" t="n"/>
      <c r="U11" s="8" t="n"/>
      <c r="V11" s="8" t="n"/>
      <c r="W11" s="8" t="n"/>
      <c r="X11" s="8" t="n"/>
      <c r="Y11" s="8" t="n"/>
      <c r="Z11" s="8" t="n"/>
      <c r="AA11" s="8" t="n"/>
      <c r="AB11" s="8" t="n"/>
      <c r="AC11" s="6">
        <f>IF(B11="","",IF(D11="RECT",IF(OR(E11="",F11=""),"",2*(E11+F11)),SUMIFS(INPUT_Segments!$D:$D,INPUT_Segments!$A:$A,A11,INPUT_Segments!$B:$B,B11)))</f>
        <v/>
      </c>
      <c r="AD11" s="6">
        <f>IF(AC11="","", (AC11*G11)/144)</f>
        <v/>
      </c>
      <c r="AE11" s="6">
        <f>IF(B11="","",IF(D11="RECT",IF(OR(E11="",F11=""),"",(E11*F11)/144),IF(I11="", "", I11)))</f>
        <v/>
      </c>
      <c r="AF11" s="6">
        <f>IF(AC11="","",MAX(0,AC11 - SUMPRODUCT((INPUT_Openings!$A:$A=A11)*(INPUT_Openings!$B:$B=B11)*(XLOOKUP(INPUT_Openings!$C:$C,Constants!$A$30:$A$200,Constants!$C$30:$C$200,"",0))*(INPUT_Openings!$D:$D)*(XLOOKUP(INPUT_Openings!$C:$C,Constants!$A$30:$A$200,Constants!$B$30:$B$200,"",0)="Door")) - IF(D11="RECT",IF(J11="",0,J11),SUMIFS(INPUT_Segments!$E:$E,INPUT_Segments!$A:$A,A11,INPUT_Segments!$B:$B,B11)))/12)</f>
        <v/>
      </c>
      <c r="AG11" s="6">
        <f>IF(AC11="","",AC11/12)</f>
        <v/>
      </c>
      <c r="AH11" s="8" t="n"/>
      <c r="AI11" s="8" t="n"/>
    </row>
    <row r="12">
      <c r="A12" s="8" t="n"/>
      <c r="B12" s="8" t="n"/>
      <c r="C12" s="8" t="n"/>
      <c r="D12" s="8" t="n"/>
      <c r="E12" s="8" t="n"/>
      <c r="F12" s="8" t="n"/>
      <c r="G12" s="8" t="n"/>
      <c r="H12" s="8">
        <f>IF($B12="","",$G12)</f>
        <v/>
      </c>
      <c r="I12" s="8" t="n"/>
      <c r="J12" s="8" t="n"/>
      <c r="K12" s="8" t="n"/>
      <c r="L12" s="8" t="n"/>
      <c r="M12" s="8" t="n"/>
      <c r="N12" s="8" t="n"/>
      <c r="O12" s="8" t="n"/>
      <c r="P12" s="8" t="n"/>
      <c r="Q12" s="8" t="n"/>
      <c r="R12" s="8" t="n"/>
      <c r="S12" s="8" t="n"/>
      <c r="T12" s="8" t="n"/>
      <c r="U12" s="8" t="n"/>
      <c r="V12" s="8" t="n"/>
      <c r="W12" s="8" t="n"/>
      <c r="X12" s="8" t="n"/>
      <c r="Y12" s="8" t="n"/>
      <c r="Z12" s="8" t="n"/>
      <c r="AA12" s="8" t="n"/>
      <c r="AB12" s="8" t="n"/>
      <c r="AC12" s="6">
        <f>IF(B12="","",IF(D12="RECT",IF(OR(E12="",F12=""),"",2*(E12+F12)),SUMIFS(INPUT_Segments!$D:$D,INPUT_Segments!$A:$A,A12,INPUT_Segments!$B:$B,B12)))</f>
        <v/>
      </c>
      <c r="AD12" s="6">
        <f>IF(AC12="","", (AC12*G12)/144)</f>
        <v/>
      </c>
      <c r="AE12" s="6">
        <f>IF(B12="","",IF(D12="RECT",IF(OR(E12="",F12=""),"",(E12*F12)/144),IF(I12="", "", I12)))</f>
        <v/>
      </c>
      <c r="AF12" s="6">
        <f>IF(AC12="","",MAX(0,AC12 - SUMPRODUCT((INPUT_Openings!$A:$A=A12)*(INPUT_Openings!$B:$B=B12)*(XLOOKUP(INPUT_Openings!$C:$C,Constants!$A$30:$A$200,Constants!$C$30:$C$200,"",0))*(INPUT_Openings!$D:$D)*(XLOOKUP(INPUT_Openings!$C:$C,Constants!$A$30:$A$200,Constants!$B$30:$B$200,"",0)="Door")) - IF(D12="RECT",IF(J12="",0,J12),SUMIFS(INPUT_Segments!$E:$E,INPUT_Segments!$A:$A,A12,INPUT_Segments!$B:$B,B12)))/12)</f>
        <v/>
      </c>
      <c r="AG12" s="6">
        <f>IF(AC12="","",AC12/12)</f>
        <v/>
      </c>
      <c r="AH12" s="8" t="n"/>
      <c r="AI12" s="8" t="n"/>
    </row>
    <row r="13">
      <c r="A13" s="8" t="n"/>
      <c r="B13" s="8" t="n"/>
      <c r="C13" s="8" t="n"/>
      <c r="D13" s="8" t="n"/>
      <c r="E13" s="8" t="n"/>
      <c r="F13" s="8" t="n"/>
      <c r="G13" s="8" t="n"/>
      <c r="H13" s="8">
        <f>IF($B13="","",$G13)</f>
        <v/>
      </c>
      <c r="I13" s="8" t="n"/>
      <c r="J13" s="8" t="n"/>
      <c r="K13" s="8" t="n"/>
      <c r="L13" s="8" t="n"/>
      <c r="M13" s="8" t="n"/>
      <c r="N13" s="8" t="n"/>
      <c r="O13" s="8" t="n"/>
      <c r="P13" s="8" t="n"/>
      <c r="Q13" s="8" t="n"/>
      <c r="R13" s="8" t="n"/>
      <c r="S13" s="8" t="n"/>
      <c r="T13" s="8" t="n"/>
      <c r="U13" s="8" t="n"/>
      <c r="V13" s="8" t="n"/>
      <c r="W13" s="8" t="n"/>
      <c r="X13" s="8" t="n"/>
      <c r="Y13" s="8" t="n"/>
      <c r="Z13" s="8" t="n"/>
      <c r="AA13" s="8" t="n"/>
      <c r="AB13" s="8" t="n"/>
      <c r="AC13" s="6">
        <f>IF(B13="","",IF(D13="RECT",IF(OR(E13="",F13=""),"",2*(E13+F13)),SUMIFS(INPUT_Segments!$D:$D,INPUT_Segments!$A:$A,A13,INPUT_Segments!$B:$B,B13)))</f>
        <v/>
      </c>
      <c r="AD13" s="6">
        <f>IF(AC13="","", (AC13*G13)/144)</f>
        <v/>
      </c>
      <c r="AE13" s="6">
        <f>IF(B13="","",IF(D13="RECT",IF(OR(E13="",F13=""),"",(E13*F13)/144),IF(I13="", "", I13)))</f>
        <v/>
      </c>
      <c r="AF13" s="6">
        <f>IF(AC13="","",MAX(0,AC13 - SUMPRODUCT((INPUT_Openings!$A:$A=A13)*(INPUT_Openings!$B:$B=B13)*(XLOOKUP(INPUT_Openings!$C:$C,Constants!$A$30:$A$200,Constants!$C$30:$C$200,"",0))*(INPUT_Openings!$D:$D)*(XLOOKUP(INPUT_Openings!$C:$C,Constants!$A$30:$A$200,Constants!$B$30:$B$200,"",0)="Door")) - IF(D13="RECT",IF(J13="",0,J13),SUMIFS(INPUT_Segments!$E:$E,INPUT_Segments!$A:$A,A13,INPUT_Segments!$B:$B,B13)))/12)</f>
        <v/>
      </c>
      <c r="AG13" s="6">
        <f>IF(AC13="","",AC13/12)</f>
        <v/>
      </c>
      <c r="AH13" s="8" t="n"/>
      <c r="AI13" s="8" t="n"/>
    </row>
    <row r="14">
      <c r="A14" s="8" t="n"/>
      <c r="B14" s="8" t="n"/>
      <c r="C14" s="8" t="n"/>
      <c r="D14" s="8" t="n"/>
      <c r="E14" s="8" t="n"/>
      <c r="F14" s="8" t="n"/>
      <c r="G14" s="8" t="n"/>
      <c r="H14" s="8">
        <f>IF($B14="","",$G14)</f>
        <v/>
      </c>
      <c r="I14" s="8" t="n"/>
      <c r="J14" s="8" t="n"/>
      <c r="K14" s="8" t="n"/>
      <c r="L14" s="8" t="n"/>
      <c r="M14" s="8" t="n"/>
      <c r="N14" s="8" t="n"/>
      <c r="O14" s="8" t="n"/>
      <c r="P14" s="8" t="n"/>
      <c r="Q14" s="8" t="n"/>
      <c r="R14" s="8" t="n"/>
      <c r="S14" s="8" t="n"/>
      <c r="T14" s="8" t="n"/>
      <c r="U14" s="8" t="n"/>
      <c r="V14" s="8" t="n"/>
      <c r="W14" s="8" t="n"/>
      <c r="X14" s="8" t="n"/>
      <c r="Y14" s="8" t="n"/>
      <c r="Z14" s="8" t="n"/>
      <c r="AA14" s="8" t="n"/>
      <c r="AB14" s="8" t="n"/>
      <c r="AC14" s="6">
        <f>IF(B14="","",IF(D14="RECT",IF(OR(E14="",F14=""),"",2*(E14+F14)),SUMIFS(INPUT_Segments!$D:$D,INPUT_Segments!$A:$A,A14,INPUT_Segments!$B:$B,B14)))</f>
        <v/>
      </c>
      <c r="AD14" s="6">
        <f>IF(AC14="","", (AC14*G14)/144)</f>
        <v/>
      </c>
      <c r="AE14" s="6">
        <f>IF(B14="","",IF(D14="RECT",IF(OR(E14="",F14=""),"",(E14*F14)/144),IF(I14="", "", I14)))</f>
        <v/>
      </c>
      <c r="AF14" s="6">
        <f>IF(AC14="","",MAX(0,AC14 - SUMPRODUCT((INPUT_Openings!$A:$A=A14)*(INPUT_Openings!$B:$B=B14)*(XLOOKUP(INPUT_Openings!$C:$C,Constants!$A$30:$A$200,Constants!$C$30:$C$200,"",0))*(INPUT_Openings!$D:$D)*(XLOOKUP(INPUT_Openings!$C:$C,Constants!$A$30:$A$200,Constants!$B$30:$B$200,"",0)="Door")) - IF(D14="RECT",IF(J14="",0,J14),SUMIFS(INPUT_Segments!$E:$E,INPUT_Segments!$A:$A,A14,INPUT_Segments!$B:$B,B14)))/12)</f>
        <v/>
      </c>
      <c r="AG14" s="6">
        <f>IF(AC14="","",AC14/12)</f>
        <v/>
      </c>
      <c r="AH14" s="8" t="n"/>
      <c r="AI14" s="8" t="n"/>
    </row>
    <row r="15">
      <c r="A15" s="8" t="n"/>
      <c r="B15" s="8" t="n"/>
      <c r="C15" s="8" t="n"/>
      <c r="D15" s="8" t="n"/>
      <c r="E15" s="8" t="n"/>
      <c r="F15" s="8" t="n"/>
      <c r="G15" s="8" t="n"/>
      <c r="H15" s="8">
        <f>IF($B15="","",$G15)</f>
        <v/>
      </c>
      <c r="I15" s="8" t="n"/>
      <c r="J15" s="8" t="n"/>
      <c r="K15" s="8" t="n"/>
      <c r="L15" s="8" t="n"/>
      <c r="M15" s="8" t="n"/>
      <c r="N15" s="8" t="n"/>
      <c r="O15" s="8" t="n"/>
      <c r="P15" s="8" t="n"/>
      <c r="Q15" s="8" t="n"/>
      <c r="R15" s="8" t="n"/>
      <c r="S15" s="8" t="n"/>
      <c r="T15" s="8" t="n"/>
      <c r="U15" s="8" t="n"/>
      <c r="V15" s="8" t="n"/>
      <c r="W15" s="8" t="n"/>
      <c r="X15" s="8" t="n"/>
      <c r="Y15" s="8" t="n"/>
      <c r="Z15" s="8" t="n"/>
      <c r="AA15" s="8" t="n"/>
      <c r="AB15" s="8" t="n"/>
      <c r="AC15" s="6">
        <f>IF(B15="","",IF(D15="RECT",IF(OR(E15="",F15=""),"",2*(E15+F15)),SUMIFS(INPUT_Segments!$D:$D,INPUT_Segments!$A:$A,A15,INPUT_Segments!$B:$B,B15)))</f>
        <v/>
      </c>
      <c r="AD15" s="6">
        <f>IF(AC15="","", (AC15*G15)/144)</f>
        <v/>
      </c>
      <c r="AE15" s="6">
        <f>IF(B15="","",IF(D15="RECT",IF(OR(E15="",F15=""),"",(E15*F15)/144),IF(I15="", "", I15)))</f>
        <v/>
      </c>
      <c r="AF15" s="6">
        <f>IF(AC15="","",MAX(0,AC15 - SUMPRODUCT((INPUT_Openings!$A:$A=A15)*(INPUT_Openings!$B:$B=B15)*(XLOOKUP(INPUT_Openings!$C:$C,Constants!$A$30:$A$200,Constants!$C$30:$C$200,"",0))*(INPUT_Openings!$D:$D)*(XLOOKUP(INPUT_Openings!$C:$C,Constants!$A$30:$A$200,Constants!$B$30:$B$200,"",0)="Door")) - IF(D15="RECT",IF(J15="",0,J15),SUMIFS(INPUT_Segments!$E:$E,INPUT_Segments!$A:$A,A15,INPUT_Segments!$B:$B,B15)))/12)</f>
        <v/>
      </c>
      <c r="AG15" s="6">
        <f>IF(AC15="","",AC15/12)</f>
        <v/>
      </c>
      <c r="AH15" s="8" t="n"/>
      <c r="AI15" s="8" t="n"/>
    </row>
    <row r="16">
      <c r="A16" s="8" t="n"/>
      <c r="B16" s="8" t="n"/>
      <c r="C16" s="8" t="n"/>
      <c r="D16" s="8" t="n"/>
      <c r="E16" s="8" t="n"/>
      <c r="F16" s="8" t="n"/>
      <c r="G16" s="8" t="n"/>
      <c r="H16" s="8">
        <f>IF($B16="","",$G16)</f>
        <v/>
      </c>
      <c r="I16" s="8" t="n"/>
      <c r="J16" s="8" t="n"/>
      <c r="K16" s="8" t="n"/>
      <c r="L16" s="8" t="n"/>
      <c r="M16" s="8" t="n"/>
      <c r="N16" s="8" t="n"/>
      <c r="O16" s="8" t="n"/>
      <c r="P16" s="8" t="n"/>
      <c r="Q16" s="8" t="n"/>
      <c r="R16" s="8" t="n"/>
      <c r="S16" s="8" t="n"/>
      <c r="T16" s="8" t="n"/>
      <c r="U16" s="8" t="n"/>
      <c r="V16" s="8" t="n"/>
      <c r="W16" s="8" t="n"/>
      <c r="X16" s="8" t="n"/>
      <c r="Y16" s="8" t="n"/>
      <c r="Z16" s="8" t="n"/>
      <c r="AA16" s="8" t="n"/>
      <c r="AB16" s="8" t="n"/>
      <c r="AC16" s="6">
        <f>IF(B16="","",IF(D16="RECT",IF(OR(E16="",F16=""),"",2*(E16+F16)),SUMIFS(INPUT_Segments!$D:$D,INPUT_Segments!$A:$A,A16,INPUT_Segments!$B:$B,B16)))</f>
        <v/>
      </c>
      <c r="AD16" s="6">
        <f>IF(AC16="","", (AC16*G16)/144)</f>
        <v/>
      </c>
      <c r="AE16" s="6">
        <f>IF(B16="","",IF(D16="RECT",IF(OR(E16="",F16=""),"",(E16*F16)/144),IF(I16="", "", I16)))</f>
        <v/>
      </c>
      <c r="AF16" s="6">
        <f>IF(AC16="","",MAX(0,AC16 - SUMPRODUCT((INPUT_Openings!$A:$A=A16)*(INPUT_Openings!$B:$B=B16)*(XLOOKUP(INPUT_Openings!$C:$C,Constants!$A$30:$A$200,Constants!$C$30:$C$200,"",0))*(INPUT_Openings!$D:$D)*(XLOOKUP(INPUT_Openings!$C:$C,Constants!$A$30:$A$200,Constants!$B$30:$B$200,"",0)="Door")) - IF(D16="RECT",IF(J16="",0,J16),SUMIFS(INPUT_Segments!$E:$E,INPUT_Segments!$A:$A,A16,INPUT_Segments!$B:$B,B16)))/12)</f>
        <v/>
      </c>
      <c r="AG16" s="6">
        <f>IF(AC16="","",AC16/12)</f>
        <v/>
      </c>
      <c r="AH16" s="8" t="n"/>
      <c r="AI16" s="8" t="n"/>
    </row>
    <row r="17">
      <c r="A17" s="8" t="n"/>
      <c r="B17" s="8" t="n"/>
      <c r="C17" s="8" t="n"/>
      <c r="D17" s="8" t="n"/>
      <c r="E17" s="8" t="n"/>
      <c r="F17" s="8" t="n"/>
      <c r="G17" s="8" t="n"/>
      <c r="H17" s="8">
        <f>IF($B17="","",$G17)</f>
        <v/>
      </c>
      <c r="I17" s="8" t="n"/>
      <c r="J17" s="8" t="n"/>
      <c r="K17" s="8" t="n"/>
      <c r="L17" s="8" t="n"/>
      <c r="M17" s="8" t="n"/>
      <c r="N17" s="8" t="n"/>
      <c r="O17" s="8" t="n"/>
      <c r="P17" s="8" t="n"/>
      <c r="Q17" s="8" t="n"/>
      <c r="R17" s="8" t="n"/>
      <c r="S17" s="8" t="n"/>
      <c r="T17" s="8" t="n"/>
      <c r="U17" s="8" t="n"/>
      <c r="V17" s="8" t="n"/>
      <c r="W17" s="8" t="n"/>
      <c r="X17" s="8" t="n"/>
      <c r="Y17" s="8" t="n"/>
      <c r="Z17" s="8" t="n"/>
      <c r="AA17" s="8" t="n"/>
      <c r="AB17" s="8" t="n"/>
      <c r="AC17" s="6">
        <f>IF(B17="","",IF(D17="RECT",IF(OR(E17="",F17=""),"",2*(E17+F17)),SUMIFS(INPUT_Segments!$D:$D,INPUT_Segments!$A:$A,A17,INPUT_Segments!$B:$B,B17)))</f>
        <v/>
      </c>
      <c r="AD17" s="6">
        <f>IF(AC17="","", (AC17*G17)/144)</f>
        <v/>
      </c>
      <c r="AE17" s="6">
        <f>IF(B17="","",IF(D17="RECT",IF(OR(E17="",F17=""),"",(E17*F17)/144),IF(I17="", "", I17)))</f>
        <v/>
      </c>
      <c r="AF17" s="6">
        <f>IF(AC17="","",MAX(0,AC17 - SUMPRODUCT((INPUT_Openings!$A:$A=A17)*(INPUT_Openings!$B:$B=B17)*(XLOOKUP(INPUT_Openings!$C:$C,Constants!$A$30:$A$200,Constants!$C$30:$C$200,"",0))*(INPUT_Openings!$D:$D)*(XLOOKUP(INPUT_Openings!$C:$C,Constants!$A$30:$A$200,Constants!$B$30:$B$200,"",0)="Door")) - IF(D17="RECT",IF(J17="",0,J17),SUMIFS(INPUT_Segments!$E:$E,INPUT_Segments!$A:$A,A17,INPUT_Segments!$B:$B,B17)))/12)</f>
        <v/>
      </c>
      <c r="AG17" s="6">
        <f>IF(AC17="","",AC17/12)</f>
        <v/>
      </c>
      <c r="AH17" s="8" t="n"/>
      <c r="AI17" s="8" t="n"/>
    </row>
    <row r="18">
      <c r="A18" s="8" t="n"/>
      <c r="B18" s="8" t="n"/>
      <c r="C18" s="8" t="n"/>
      <c r="D18" s="8" t="n"/>
      <c r="E18" s="8" t="n"/>
      <c r="F18" s="8" t="n"/>
      <c r="G18" s="8" t="n"/>
      <c r="H18" s="8">
        <f>IF($B18="","",$G18)</f>
        <v/>
      </c>
      <c r="I18" s="8" t="n"/>
      <c r="J18" s="8" t="n"/>
      <c r="K18" s="8" t="n"/>
      <c r="L18" s="8" t="n"/>
      <c r="M18" s="8" t="n"/>
      <c r="N18" s="8" t="n"/>
      <c r="O18" s="8" t="n"/>
      <c r="P18" s="8" t="n"/>
      <c r="Q18" s="8" t="n"/>
      <c r="R18" s="8" t="n"/>
      <c r="S18" s="8" t="n"/>
      <c r="T18" s="8" t="n"/>
      <c r="U18" s="8" t="n"/>
      <c r="V18" s="8" t="n"/>
      <c r="W18" s="8" t="n"/>
      <c r="X18" s="8" t="n"/>
      <c r="Y18" s="8" t="n"/>
      <c r="Z18" s="8" t="n"/>
      <c r="AA18" s="8" t="n"/>
      <c r="AB18" s="8" t="n"/>
      <c r="AC18" s="6">
        <f>IF(B18="","",IF(D18="RECT",IF(OR(E18="",F18=""),"",2*(E18+F18)),SUMIFS(INPUT_Segments!$D:$D,INPUT_Segments!$A:$A,A18,INPUT_Segments!$B:$B,B18)))</f>
        <v/>
      </c>
      <c r="AD18" s="6">
        <f>IF(AC18="","", (AC18*G18)/144)</f>
        <v/>
      </c>
      <c r="AE18" s="6">
        <f>IF(B18="","",IF(D18="RECT",IF(OR(E18="",F18=""),"",(E18*F18)/144),IF(I18="", "", I18)))</f>
        <v/>
      </c>
      <c r="AF18" s="6">
        <f>IF(AC18="","",MAX(0,AC18 - SUMPRODUCT((INPUT_Openings!$A:$A=A18)*(INPUT_Openings!$B:$B=B18)*(XLOOKUP(INPUT_Openings!$C:$C,Constants!$A$30:$A$200,Constants!$C$30:$C$200,"",0))*(INPUT_Openings!$D:$D)*(XLOOKUP(INPUT_Openings!$C:$C,Constants!$A$30:$A$200,Constants!$B$30:$B$200,"",0)="Door")) - IF(D18="RECT",IF(J18="",0,J18),SUMIFS(INPUT_Segments!$E:$E,INPUT_Segments!$A:$A,A18,INPUT_Segments!$B:$B,B18)))/12)</f>
        <v/>
      </c>
      <c r="AG18" s="6">
        <f>IF(AC18="","",AC18/12)</f>
        <v/>
      </c>
      <c r="AH18" s="8" t="n"/>
      <c r="AI18" s="8" t="n"/>
    </row>
    <row r="19">
      <c r="A19" s="8" t="n"/>
      <c r="B19" s="8" t="n"/>
      <c r="C19" s="8" t="n"/>
      <c r="D19" s="8" t="n"/>
      <c r="E19" s="8" t="n"/>
      <c r="F19" s="8" t="n"/>
      <c r="G19" s="8" t="n"/>
      <c r="H19" s="8">
        <f>IF($B19="","",$G19)</f>
        <v/>
      </c>
      <c r="I19" s="8" t="n"/>
      <c r="J19" s="8" t="n"/>
      <c r="K19" s="8" t="n"/>
      <c r="L19" s="8" t="n"/>
      <c r="M19" s="8" t="n"/>
      <c r="N19" s="8" t="n"/>
      <c r="O19" s="8" t="n"/>
      <c r="P19" s="8" t="n"/>
      <c r="Q19" s="8" t="n"/>
      <c r="R19" s="8" t="n"/>
      <c r="S19" s="8" t="n"/>
      <c r="T19" s="8" t="n"/>
      <c r="U19" s="8" t="n"/>
      <c r="V19" s="8" t="n"/>
      <c r="W19" s="8" t="n"/>
      <c r="X19" s="8" t="n"/>
      <c r="Y19" s="8" t="n"/>
      <c r="Z19" s="8" t="n"/>
      <c r="AA19" s="8" t="n"/>
      <c r="AB19" s="8" t="n"/>
      <c r="AC19" s="6">
        <f>IF(B19="","",IF(D19="RECT",IF(OR(E19="",F19=""),"",2*(E19+F19)),SUMIFS(INPUT_Segments!$D:$D,INPUT_Segments!$A:$A,A19,INPUT_Segments!$B:$B,B19)))</f>
        <v/>
      </c>
      <c r="AD19" s="6">
        <f>IF(AC19="","", (AC19*G19)/144)</f>
        <v/>
      </c>
      <c r="AE19" s="6">
        <f>IF(B19="","",IF(D19="RECT",IF(OR(E19="",F19=""),"",(E19*F19)/144),IF(I19="", "", I19)))</f>
        <v/>
      </c>
      <c r="AF19" s="6">
        <f>IF(AC19="","",MAX(0,AC19 - SUMPRODUCT((INPUT_Openings!$A:$A=A19)*(INPUT_Openings!$B:$B=B19)*(XLOOKUP(INPUT_Openings!$C:$C,Constants!$A$30:$A$200,Constants!$C$30:$C$200,"",0))*(INPUT_Openings!$D:$D)*(XLOOKUP(INPUT_Openings!$C:$C,Constants!$A$30:$A$200,Constants!$B$30:$B$200,"",0)="Door")) - IF(D19="RECT",IF(J19="",0,J19),SUMIFS(INPUT_Segments!$E:$E,INPUT_Segments!$A:$A,A19,INPUT_Segments!$B:$B,B19)))/12)</f>
        <v/>
      </c>
      <c r="AG19" s="6">
        <f>IF(AC19="","",AC19/12)</f>
        <v/>
      </c>
      <c r="AH19" s="8" t="n"/>
      <c r="AI19" s="8" t="n"/>
    </row>
    <row r="20">
      <c r="A20" s="8" t="n"/>
      <c r="B20" s="8" t="n"/>
      <c r="C20" s="8" t="n"/>
      <c r="D20" s="8" t="n"/>
      <c r="E20" s="8" t="n"/>
      <c r="F20" s="8" t="n"/>
      <c r="G20" s="8" t="n"/>
      <c r="H20" s="8">
        <f>IF($B20="","",$G20)</f>
        <v/>
      </c>
      <c r="I20" s="8" t="n"/>
      <c r="J20" s="8" t="n"/>
      <c r="K20" s="8" t="n"/>
      <c r="L20" s="8" t="n"/>
      <c r="M20" s="8" t="n"/>
      <c r="N20" s="8" t="n"/>
      <c r="O20" s="8" t="n"/>
      <c r="P20" s="8" t="n"/>
      <c r="Q20" s="8" t="n"/>
      <c r="R20" s="8" t="n"/>
      <c r="S20" s="8" t="n"/>
      <c r="T20" s="8" t="n"/>
      <c r="U20" s="8" t="n"/>
      <c r="V20" s="8" t="n"/>
      <c r="W20" s="8" t="n"/>
      <c r="X20" s="8" t="n"/>
      <c r="Y20" s="8" t="n"/>
      <c r="Z20" s="8" t="n"/>
      <c r="AA20" s="8" t="n"/>
      <c r="AB20" s="8" t="n"/>
      <c r="AC20" s="6">
        <f>IF(B20="","",IF(D20="RECT",IF(OR(E20="",F20=""),"",2*(E20+F20)),SUMIFS(INPUT_Segments!$D:$D,INPUT_Segments!$A:$A,A20,INPUT_Segments!$B:$B,B20)))</f>
        <v/>
      </c>
      <c r="AD20" s="6">
        <f>IF(AC20="","", (AC20*G20)/144)</f>
        <v/>
      </c>
      <c r="AE20" s="6">
        <f>IF(B20="","",IF(D20="RECT",IF(OR(E20="",F20=""),"",(E20*F20)/144),IF(I20="", "", I20)))</f>
        <v/>
      </c>
      <c r="AF20" s="6">
        <f>IF(AC20="","",MAX(0,AC20 - SUMPRODUCT((INPUT_Openings!$A:$A=A20)*(INPUT_Openings!$B:$B=B20)*(XLOOKUP(INPUT_Openings!$C:$C,Constants!$A$30:$A$200,Constants!$C$30:$C$200,"",0))*(INPUT_Openings!$D:$D)*(XLOOKUP(INPUT_Openings!$C:$C,Constants!$A$30:$A$200,Constants!$B$30:$B$200,"",0)="Door")) - IF(D20="RECT",IF(J20="",0,J20),SUMIFS(INPUT_Segments!$E:$E,INPUT_Segments!$A:$A,A20,INPUT_Segments!$B:$B,B20)))/12)</f>
        <v/>
      </c>
      <c r="AG20" s="6">
        <f>IF(AC20="","",AC20/12)</f>
        <v/>
      </c>
      <c r="AH20" s="8" t="n"/>
      <c r="AI20" s="8" t="n"/>
    </row>
    <row r="21">
      <c r="A21" s="8" t="n"/>
      <c r="B21" s="8" t="n"/>
      <c r="C21" s="8" t="n"/>
      <c r="D21" s="8" t="n"/>
      <c r="E21" s="8" t="n"/>
      <c r="F21" s="8" t="n"/>
      <c r="G21" s="8" t="n"/>
      <c r="H21" s="8">
        <f>IF($B21="","",$G21)</f>
        <v/>
      </c>
      <c r="I21" s="8" t="n"/>
      <c r="J21" s="8" t="n"/>
      <c r="K21" s="8" t="n"/>
      <c r="L21" s="8" t="n"/>
      <c r="M21" s="8" t="n"/>
      <c r="N21" s="8" t="n"/>
      <c r="O21" s="8" t="n"/>
      <c r="P21" s="8" t="n"/>
      <c r="Q21" s="8" t="n"/>
      <c r="R21" s="8" t="n"/>
      <c r="S21" s="8" t="n"/>
      <c r="T21" s="8" t="n"/>
      <c r="U21" s="8" t="n"/>
      <c r="V21" s="8" t="n"/>
      <c r="W21" s="8" t="n"/>
      <c r="X21" s="8" t="n"/>
      <c r="Y21" s="8" t="n"/>
      <c r="Z21" s="8" t="n"/>
      <c r="AA21" s="8" t="n"/>
      <c r="AB21" s="8" t="n"/>
      <c r="AC21" s="6">
        <f>IF(B21="","",IF(D21="RECT",IF(OR(E21="",F21=""),"",2*(E21+F21)),SUMIFS(INPUT_Segments!$D:$D,INPUT_Segments!$A:$A,A21,INPUT_Segments!$B:$B,B21)))</f>
        <v/>
      </c>
      <c r="AD21" s="6">
        <f>IF(AC21="","", (AC21*G21)/144)</f>
        <v/>
      </c>
      <c r="AE21" s="6">
        <f>IF(B21="","",IF(D21="RECT",IF(OR(E21="",F21=""),"",(E21*F21)/144),IF(I21="", "", I21)))</f>
        <v/>
      </c>
      <c r="AF21" s="6">
        <f>IF(AC21="","",MAX(0,AC21 - SUMPRODUCT((INPUT_Openings!$A:$A=A21)*(INPUT_Openings!$B:$B=B21)*(XLOOKUP(INPUT_Openings!$C:$C,Constants!$A$30:$A$200,Constants!$C$30:$C$200,"",0))*(INPUT_Openings!$D:$D)*(XLOOKUP(INPUT_Openings!$C:$C,Constants!$A$30:$A$200,Constants!$B$30:$B$200,"",0)="Door")) - IF(D21="RECT",IF(J21="",0,J21),SUMIFS(INPUT_Segments!$E:$E,INPUT_Segments!$A:$A,A21,INPUT_Segments!$B:$B,B21)))/12)</f>
        <v/>
      </c>
      <c r="AG21" s="6">
        <f>IF(AC21="","",AC21/12)</f>
        <v/>
      </c>
      <c r="AH21" s="8" t="n"/>
      <c r="AI21" s="8" t="n"/>
    </row>
    <row r="22">
      <c r="A22" s="8" t="n"/>
      <c r="B22" s="8" t="n"/>
      <c r="C22" s="8" t="n"/>
      <c r="D22" s="8" t="n"/>
      <c r="E22" s="8" t="n"/>
      <c r="F22" s="8" t="n"/>
      <c r="G22" s="8" t="n"/>
      <c r="H22" s="8">
        <f>IF($B22="","",$G22)</f>
        <v/>
      </c>
      <c r="I22" s="8" t="n"/>
      <c r="J22" s="8" t="n"/>
      <c r="K22" s="8" t="n"/>
      <c r="L22" s="8" t="n"/>
      <c r="M22" s="8" t="n"/>
      <c r="N22" s="8" t="n"/>
      <c r="O22" s="8" t="n"/>
      <c r="P22" s="8" t="n"/>
      <c r="Q22" s="8" t="n"/>
      <c r="R22" s="8" t="n"/>
      <c r="S22" s="8" t="n"/>
      <c r="T22" s="8" t="n"/>
      <c r="U22" s="8" t="n"/>
      <c r="V22" s="8" t="n"/>
      <c r="W22" s="8" t="n"/>
      <c r="X22" s="8" t="n"/>
      <c r="Y22" s="8" t="n"/>
      <c r="Z22" s="8" t="n"/>
      <c r="AA22" s="8" t="n"/>
      <c r="AB22" s="8" t="n"/>
      <c r="AC22" s="6">
        <f>IF(B22="","",IF(D22="RECT",IF(OR(E22="",F22=""),"",2*(E22+F22)),SUMIFS(INPUT_Segments!$D:$D,INPUT_Segments!$A:$A,A22,INPUT_Segments!$B:$B,B22)))</f>
        <v/>
      </c>
      <c r="AD22" s="6">
        <f>IF(AC22="","", (AC22*G22)/144)</f>
        <v/>
      </c>
      <c r="AE22" s="6">
        <f>IF(B22="","",IF(D22="RECT",IF(OR(E22="",F22=""),"",(E22*F22)/144),IF(I22="", "", I22)))</f>
        <v/>
      </c>
      <c r="AF22" s="6">
        <f>IF(AC22="","",MAX(0,AC22 - SUMPRODUCT((INPUT_Openings!$A:$A=A22)*(INPUT_Openings!$B:$B=B22)*(XLOOKUP(INPUT_Openings!$C:$C,Constants!$A$30:$A$200,Constants!$C$30:$C$200,"",0))*(INPUT_Openings!$D:$D)*(XLOOKUP(INPUT_Openings!$C:$C,Constants!$A$30:$A$200,Constants!$B$30:$B$200,"",0)="Door")) - IF(D22="RECT",IF(J22="",0,J22),SUMIFS(INPUT_Segments!$E:$E,INPUT_Segments!$A:$A,A22,INPUT_Segments!$B:$B,B22)))/12)</f>
        <v/>
      </c>
      <c r="AG22" s="6">
        <f>IF(AC22="","",AC22/12)</f>
        <v/>
      </c>
      <c r="AH22" s="8" t="n"/>
      <c r="AI22" s="8" t="n"/>
    </row>
    <row r="23">
      <c r="A23" s="8" t="n"/>
      <c r="B23" s="8" t="n"/>
      <c r="C23" s="8" t="n"/>
      <c r="D23" s="8" t="n"/>
      <c r="E23" s="8" t="n"/>
      <c r="F23" s="8" t="n"/>
      <c r="G23" s="8" t="n"/>
      <c r="H23" s="8">
        <f>IF($B23="","",$G23)</f>
        <v/>
      </c>
      <c r="I23" s="8" t="n"/>
      <c r="J23" s="8" t="n"/>
      <c r="K23" s="8" t="n"/>
      <c r="L23" s="8" t="n"/>
      <c r="M23" s="8" t="n"/>
      <c r="N23" s="8" t="n"/>
      <c r="O23" s="8" t="n"/>
      <c r="P23" s="8" t="n"/>
      <c r="Q23" s="8" t="n"/>
      <c r="R23" s="8" t="n"/>
      <c r="S23" s="8" t="n"/>
      <c r="T23" s="8" t="n"/>
      <c r="U23" s="8" t="n"/>
      <c r="V23" s="8" t="n"/>
      <c r="W23" s="8" t="n"/>
      <c r="X23" s="8" t="n"/>
      <c r="Y23" s="8" t="n"/>
      <c r="Z23" s="8" t="n"/>
      <c r="AA23" s="8" t="n"/>
      <c r="AB23" s="8" t="n"/>
      <c r="AC23" s="6">
        <f>IF(B23="","",IF(D23="RECT",IF(OR(E23="",F23=""),"",2*(E23+F23)),SUMIFS(INPUT_Segments!$D:$D,INPUT_Segments!$A:$A,A23,INPUT_Segments!$B:$B,B23)))</f>
        <v/>
      </c>
      <c r="AD23" s="6">
        <f>IF(AC23="","", (AC23*G23)/144)</f>
        <v/>
      </c>
      <c r="AE23" s="6">
        <f>IF(B23="","",IF(D23="RECT",IF(OR(E23="",F23=""),"",(E23*F23)/144),IF(I23="", "", I23)))</f>
        <v/>
      </c>
      <c r="AF23" s="6">
        <f>IF(AC23="","",MAX(0,AC23 - SUMPRODUCT((INPUT_Openings!$A:$A=A23)*(INPUT_Openings!$B:$B=B23)*(XLOOKUP(INPUT_Openings!$C:$C,Constants!$A$30:$A$200,Constants!$C$30:$C$200,"",0))*(INPUT_Openings!$D:$D)*(XLOOKUP(INPUT_Openings!$C:$C,Constants!$A$30:$A$200,Constants!$B$30:$B$200,"",0)="Door")) - IF(D23="RECT",IF(J23="",0,J23),SUMIFS(INPUT_Segments!$E:$E,INPUT_Segments!$A:$A,A23,INPUT_Segments!$B:$B,B23)))/12)</f>
        <v/>
      </c>
      <c r="AG23" s="6">
        <f>IF(AC23="","",AC23/12)</f>
        <v/>
      </c>
      <c r="AH23" s="8" t="n"/>
      <c r="AI23" s="8" t="n"/>
    </row>
    <row r="24">
      <c r="A24" s="8" t="n"/>
      <c r="B24" s="8" t="n"/>
      <c r="C24" s="8" t="n"/>
      <c r="D24" s="8" t="n"/>
      <c r="E24" s="8" t="n"/>
      <c r="F24" s="8" t="n"/>
      <c r="G24" s="8" t="n"/>
      <c r="H24" s="8">
        <f>IF($B24="","",$G24)</f>
        <v/>
      </c>
      <c r="I24" s="8" t="n"/>
      <c r="J24" s="8" t="n"/>
      <c r="K24" s="8" t="n"/>
      <c r="L24" s="8" t="n"/>
      <c r="M24" s="8" t="n"/>
      <c r="N24" s="8" t="n"/>
      <c r="O24" s="8" t="n"/>
      <c r="P24" s="8" t="n"/>
      <c r="Q24" s="8" t="n"/>
      <c r="R24" s="8" t="n"/>
      <c r="S24" s="8" t="n"/>
      <c r="T24" s="8" t="n"/>
      <c r="U24" s="8" t="n"/>
      <c r="V24" s="8" t="n"/>
      <c r="W24" s="8" t="n"/>
      <c r="X24" s="8" t="n"/>
      <c r="Y24" s="8" t="n"/>
      <c r="Z24" s="8" t="n"/>
      <c r="AA24" s="8" t="n"/>
      <c r="AB24" s="8" t="n"/>
      <c r="AC24" s="6">
        <f>IF(B24="","",IF(D24="RECT",IF(OR(E24="",F24=""),"",2*(E24+F24)),SUMIFS(INPUT_Segments!$D:$D,INPUT_Segments!$A:$A,A24,INPUT_Segments!$B:$B,B24)))</f>
        <v/>
      </c>
      <c r="AD24" s="6">
        <f>IF(AC24="","", (AC24*G24)/144)</f>
        <v/>
      </c>
      <c r="AE24" s="6">
        <f>IF(B24="","",IF(D24="RECT",IF(OR(E24="",F24=""),"",(E24*F24)/144),IF(I24="", "", I24)))</f>
        <v/>
      </c>
      <c r="AF24" s="6">
        <f>IF(AC24="","",MAX(0,AC24 - SUMPRODUCT((INPUT_Openings!$A:$A=A24)*(INPUT_Openings!$B:$B=B24)*(XLOOKUP(INPUT_Openings!$C:$C,Constants!$A$30:$A$200,Constants!$C$30:$C$200,"",0))*(INPUT_Openings!$D:$D)*(XLOOKUP(INPUT_Openings!$C:$C,Constants!$A$30:$A$200,Constants!$B$30:$B$200,"",0)="Door")) - IF(D24="RECT",IF(J24="",0,J24),SUMIFS(INPUT_Segments!$E:$E,INPUT_Segments!$A:$A,A24,INPUT_Segments!$B:$B,B24)))/12)</f>
        <v/>
      </c>
      <c r="AG24" s="6">
        <f>IF(AC24="","",AC24/12)</f>
        <v/>
      </c>
      <c r="AH24" s="8" t="n"/>
      <c r="AI24" s="8" t="n"/>
    </row>
    <row r="25">
      <c r="A25" s="8" t="n"/>
      <c r="B25" s="8" t="n"/>
      <c r="C25" s="8" t="n"/>
      <c r="D25" s="8" t="n"/>
      <c r="E25" s="8" t="n"/>
      <c r="F25" s="8" t="n"/>
      <c r="G25" s="8" t="n"/>
      <c r="H25" s="8">
        <f>IF($B25="","",$G25)</f>
        <v/>
      </c>
      <c r="I25" s="8" t="n"/>
      <c r="J25" s="8" t="n"/>
      <c r="K25" s="8" t="n"/>
      <c r="L25" s="8" t="n"/>
      <c r="M25" s="8" t="n"/>
      <c r="N25" s="8" t="n"/>
      <c r="O25" s="8" t="n"/>
      <c r="P25" s="8" t="n"/>
      <c r="Q25" s="8" t="n"/>
      <c r="R25" s="8" t="n"/>
      <c r="S25" s="8" t="n"/>
      <c r="T25" s="8" t="n"/>
      <c r="U25" s="8" t="n"/>
      <c r="V25" s="8" t="n"/>
      <c r="W25" s="8" t="n"/>
      <c r="X25" s="8" t="n"/>
      <c r="Y25" s="8" t="n"/>
      <c r="Z25" s="8" t="n"/>
      <c r="AA25" s="8" t="n"/>
      <c r="AB25" s="8" t="n"/>
      <c r="AC25" s="6">
        <f>IF(B25="","",IF(D25="RECT",IF(OR(E25="",F25=""),"",2*(E25+F25)),SUMIFS(INPUT_Segments!$D:$D,INPUT_Segments!$A:$A,A25,INPUT_Segments!$B:$B,B25)))</f>
        <v/>
      </c>
      <c r="AD25" s="6">
        <f>IF(AC25="","", (AC25*G25)/144)</f>
        <v/>
      </c>
      <c r="AE25" s="6">
        <f>IF(B25="","",IF(D25="RECT",IF(OR(E25="",F25=""),"",(E25*F25)/144),IF(I25="", "", I25)))</f>
        <v/>
      </c>
      <c r="AF25" s="6">
        <f>IF(AC25="","",MAX(0,AC25 - SUMPRODUCT((INPUT_Openings!$A:$A=A25)*(INPUT_Openings!$B:$B=B25)*(XLOOKUP(INPUT_Openings!$C:$C,Constants!$A$30:$A$200,Constants!$C$30:$C$200,"",0))*(INPUT_Openings!$D:$D)*(XLOOKUP(INPUT_Openings!$C:$C,Constants!$A$30:$A$200,Constants!$B$30:$B$200,"",0)="Door")) - IF(D25="RECT",IF(J25="",0,J25),SUMIFS(INPUT_Segments!$E:$E,INPUT_Segments!$A:$A,A25,INPUT_Segments!$B:$B,B25)))/12)</f>
        <v/>
      </c>
      <c r="AG25" s="6">
        <f>IF(AC25="","",AC25/12)</f>
        <v/>
      </c>
      <c r="AH25" s="8" t="n"/>
      <c r="AI25" s="8" t="n"/>
    </row>
    <row r="26">
      <c r="A26" s="8" t="n"/>
      <c r="B26" s="8" t="n"/>
      <c r="C26" s="8" t="n"/>
      <c r="D26" s="8" t="n"/>
      <c r="E26" s="8" t="n"/>
      <c r="F26" s="8" t="n"/>
      <c r="G26" s="8" t="n"/>
      <c r="H26" s="8">
        <f>IF($B26="","",$G26)</f>
        <v/>
      </c>
      <c r="I26" s="8" t="n"/>
      <c r="J26" s="8" t="n"/>
      <c r="K26" s="8" t="n"/>
      <c r="L26" s="8" t="n"/>
      <c r="M26" s="8" t="n"/>
      <c r="N26" s="8" t="n"/>
      <c r="O26" s="8" t="n"/>
      <c r="P26" s="8" t="n"/>
      <c r="Q26" s="8" t="n"/>
      <c r="R26" s="8" t="n"/>
      <c r="S26" s="8" t="n"/>
      <c r="T26" s="8" t="n"/>
      <c r="U26" s="8" t="n"/>
      <c r="V26" s="8" t="n"/>
      <c r="W26" s="8" t="n"/>
      <c r="X26" s="8" t="n"/>
      <c r="Y26" s="8" t="n"/>
      <c r="Z26" s="8" t="n"/>
      <c r="AA26" s="8" t="n"/>
      <c r="AB26" s="8" t="n"/>
      <c r="AC26" s="6">
        <f>IF(B26="","",IF(D26="RECT",IF(OR(E26="",F26=""),"",2*(E26+F26)),SUMIFS(INPUT_Segments!$D:$D,INPUT_Segments!$A:$A,A26,INPUT_Segments!$B:$B,B26)))</f>
        <v/>
      </c>
      <c r="AD26" s="6">
        <f>IF(AC26="","", (AC26*G26)/144)</f>
        <v/>
      </c>
      <c r="AE26" s="6">
        <f>IF(B26="","",IF(D26="RECT",IF(OR(E26="",F26=""),"",(E26*F26)/144),IF(I26="", "", I26)))</f>
        <v/>
      </c>
      <c r="AF26" s="6">
        <f>IF(AC26="","",MAX(0,AC26 - SUMPRODUCT((INPUT_Openings!$A:$A=A26)*(INPUT_Openings!$B:$B=B26)*(XLOOKUP(INPUT_Openings!$C:$C,Constants!$A$30:$A$200,Constants!$C$30:$C$200,"",0))*(INPUT_Openings!$D:$D)*(XLOOKUP(INPUT_Openings!$C:$C,Constants!$A$30:$A$200,Constants!$B$30:$B$200,"",0)="Door")) - IF(D26="RECT",IF(J26="",0,J26),SUMIFS(INPUT_Segments!$E:$E,INPUT_Segments!$A:$A,A26,INPUT_Segments!$B:$B,B26)))/12)</f>
        <v/>
      </c>
      <c r="AG26" s="6">
        <f>IF(AC26="","",AC26/12)</f>
        <v/>
      </c>
      <c r="AH26" s="8" t="n"/>
      <c r="AI26" s="8" t="n"/>
    </row>
    <row r="27">
      <c r="A27" s="8" t="n"/>
      <c r="B27" s="8" t="n"/>
      <c r="C27" s="8" t="n"/>
      <c r="D27" s="8" t="n"/>
      <c r="E27" s="8" t="n"/>
      <c r="F27" s="8" t="n"/>
      <c r="G27" s="8" t="n"/>
      <c r="H27" s="8">
        <f>IF($B27="","",$G27)</f>
        <v/>
      </c>
      <c r="I27" s="8" t="n"/>
      <c r="J27" s="8" t="n"/>
      <c r="K27" s="8" t="n"/>
      <c r="L27" s="8" t="n"/>
      <c r="M27" s="8" t="n"/>
      <c r="N27" s="8" t="n"/>
      <c r="O27" s="8" t="n"/>
      <c r="P27" s="8" t="n"/>
      <c r="Q27" s="8" t="n"/>
      <c r="R27" s="8" t="n"/>
      <c r="S27" s="8" t="n"/>
      <c r="T27" s="8" t="n"/>
      <c r="U27" s="8" t="n"/>
      <c r="V27" s="8" t="n"/>
      <c r="W27" s="8" t="n"/>
      <c r="X27" s="8" t="n"/>
      <c r="Y27" s="8" t="n"/>
      <c r="Z27" s="8" t="n"/>
      <c r="AA27" s="8" t="n"/>
      <c r="AB27" s="8" t="n"/>
      <c r="AC27" s="6">
        <f>IF(B27="","",IF(D27="RECT",IF(OR(E27="",F27=""),"",2*(E27+F27)),SUMIFS(INPUT_Segments!$D:$D,INPUT_Segments!$A:$A,A27,INPUT_Segments!$B:$B,B27)))</f>
        <v/>
      </c>
      <c r="AD27" s="6">
        <f>IF(AC27="","", (AC27*G27)/144)</f>
        <v/>
      </c>
      <c r="AE27" s="6">
        <f>IF(B27="","",IF(D27="RECT",IF(OR(E27="",F27=""),"",(E27*F27)/144),IF(I27="", "", I27)))</f>
        <v/>
      </c>
      <c r="AF27" s="6">
        <f>IF(AC27="","",MAX(0,AC27 - SUMPRODUCT((INPUT_Openings!$A:$A=A27)*(INPUT_Openings!$B:$B=B27)*(XLOOKUP(INPUT_Openings!$C:$C,Constants!$A$30:$A$200,Constants!$C$30:$C$200,"",0))*(INPUT_Openings!$D:$D)*(XLOOKUP(INPUT_Openings!$C:$C,Constants!$A$30:$A$200,Constants!$B$30:$B$200,"",0)="Door")) - IF(D27="RECT",IF(J27="",0,J27),SUMIFS(INPUT_Segments!$E:$E,INPUT_Segments!$A:$A,A27,INPUT_Segments!$B:$B,B27)))/12)</f>
        <v/>
      </c>
      <c r="AG27" s="6">
        <f>IF(AC27="","",AC27/12)</f>
        <v/>
      </c>
      <c r="AH27" s="8" t="n"/>
      <c r="AI27" s="8" t="n"/>
    </row>
    <row r="28">
      <c r="A28" s="8" t="n"/>
      <c r="B28" s="8" t="n"/>
      <c r="C28" s="8" t="n"/>
      <c r="D28" s="8" t="n"/>
      <c r="E28" s="8" t="n"/>
      <c r="F28" s="8" t="n"/>
      <c r="G28" s="8" t="n"/>
      <c r="H28" s="8">
        <f>IF($B28="","",$G28)</f>
        <v/>
      </c>
      <c r="I28" s="8" t="n"/>
      <c r="J28" s="8" t="n"/>
      <c r="K28" s="8" t="n"/>
      <c r="L28" s="8" t="n"/>
      <c r="M28" s="8" t="n"/>
      <c r="N28" s="8" t="n"/>
      <c r="O28" s="8" t="n"/>
      <c r="P28" s="8" t="n"/>
      <c r="Q28" s="8" t="n"/>
      <c r="R28" s="8" t="n"/>
      <c r="S28" s="8" t="n"/>
      <c r="T28" s="8" t="n"/>
      <c r="U28" s="8" t="n"/>
      <c r="V28" s="8" t="n"/>
      <c r="W28" s="8" t="n"/>
      <c r="X28" s="8" t="n"/>
      <c r="Y28" s="8" t="n"/>
      <c r="Z28" s="8" t="n"/>
      <c r="AA28" s="8" t="n"/>
      <c r="AB28" s="8" t="n"/>
      <c r="AC28" s="6">
        <f>IF(B28="","",IF(D28="RECT",IF(OR(E28="",F28=""),"",2*(E28+F28)),SUMIFS(INPUT_Segments!$D:$D,INPUT_Segments!$A:$A,A28,INPUT_Segments!$B:$B,B28)))</f>
        <v/>
      </c>
      <c r="AD28" s="6">
        <f>IF(AC28="","", (AC28*G28)/144)</f>
        <v/>
      </c>
      <c r="AE28" s="6">
        <f>IF(B28="","",IF(D28="RECT",IF(OR(E28="",F28=""),"",(E28*F28)/144),IF(I28="", "", I28)))</f>
        <v/>
      </c>
      <c r="AF28" s="6">
        <f>IF(AC28="","",MAX(0,AC28 - SUMPRODUCT((INPUT_Openings!$A:$A=A28)*(INPUT_Openings!$B:$B=B28)*(XLOOKUP(INPUT_Openings!$C:$C,Constants!$A$30:$A$200,Constants!$C$30:$C$200,"",0))*(INPUT_Openings!$D:$D)*(XLOOKUP(INPUT_Openings!$C:$C,Constants!$A$30:$A$200,Constants!$B$30:$B$200,"",0)="Door")) - IF(D28="RECT",IF(J28="",0,J28),SUMIFS(INPUT_Segments!$E:$E,INPUT_Segments!$A:$A,A28,INPUT_Segments!$B:$B,B28)))/12)</f>
        <v/>
      </c>
      <c r="AG28" s="6">
        <f>IF(AC28="","",AC28/12)</f>
        <v/>
      </c>
      <c r="AH28" s="8" t="n"/>
      <c r="AI28" s="8" t="n"/>
    </row>
    <row r="29">
      <c r="A29" s="8" t="n"/>
      <c r="B29" s="8" t="n"/>
      <c r="C29" s="8" t="n"/>
      <c r="D29" s="8" t="n"/>
      <c r="E29" s="8" t="n"/>
      <c r="F29" s="8" t="n"/>
      <c r="G29" s="8" t="n"/>
      <c r="H29" s="8">
        <f>IF($B29="","",$G29)</f>
        <v/>
      </c>
      <c r="I29" s="8" t="n"/>
      <c r="J29" s="8" t="n"/>
      <c r="K29" s="8" t="n"/>
      <c r="L29" s="8" t="n"/>
      <c r="M29" s="8" t="n"/>
      <c r="N29" s="8" t="n"/>
      <c r="O29" s="8" t="n"/>
      <c r="P29" s="8" t="n"/>
      <c r="Q29" s="8" t="n"/>
      <c r="R29" s="8" t="n"/>
      <c r="S29" s="8" t="n"/>
      <c r="T29" s="8" t="n"/>
      <c r="U29" s="8" t="n"/>
      <c r="V29" s="8" t="n"/>
      <c r="W29" s="8" t="n"/>
      <c r="X29" s="8" t="n"/>
      <c r="Y29" s="8" t="n"/>
      <c r="Z29" s="8" t="n"/>
      <c r="AA29" s="8" t="n"/>
      <c r="AB29" s="8" t="n"/>
      <c r="AC29" s="6">
        <f>IF(B29="","",IF(D29="RECT",IF(OR(E29="",F29=""),"",2*(E29+F29)),SUMIFS(INPUT_Segments!$D:$D,INPUT_Segments!$A:$A,A29,INPUT_Segments!$B:$B,B29)))</f>
        <v/>
      </c>
      <c r="AD29" s="6">
        <f>IF(AC29="","", (AC29*G29)/144)</f>
        <v/>
      </c>
      <c r="AE29" s="6">
        <f>IF(B29="","",IF(D29="RECT",IF(OR(E29="",F29=""),"",(E29*F29)/144),IF(I29="", "", I29)))</f>
        <v/>
      </c>
      <c r="AF29" s="6">
        <f>IF(AC29="","",MAX(0,AC29 - SUMPRODUCT((INPUT_Openings!$A:$A=A29)*(INPUT_Openings!$B:$B=B29)*(XLOOKUP(INPUT_Openings!$C:$C,Constants!$A$30:$A$200,Constants!$C$30:$C$200,"",0))*(INPUT_Openings!$D:$D)*(XLOOKUP(INPUT_Openings!$C:$C,Constants!$A$30:$A$200,Constants!$B$30:$B$200,"",0)="Door")) - IF(D29="RECT",IF(J29="",0,J29),SUMIFS(INPUT_Segments!$E:$E,INPUT_Segments!$A:$A,A29,INPUT_Segments!$B:$B,B29)))/12)</f>
        <v/>
      </c>
      <c r="AG29" s="6">
        <f>IF(AC29="","",AC29/12)</f>
        <v/>
      </c>
      <c r="AH29" s="8" t="n"/>
      <c r="AI29" s="8" t="n"/>
    </row>
    <row r="30">
      <c r="A30" s="8" t="n"/>
      <c r="B30" s="8" t="n"/>
      <c r="C30" s="8" t="n"/>
      <c r="D30" s="8" t="n"/>
      <c r="E30" s="8" t="n"/>
      <c r="F30" s="8" t="n"/>
      <c r="G30" s="8" t="n"/>
      <c r="H30" s="8">
        <f>IF($B30="","",$G30)</f>
        <v/>
      </c>
      <c r="I30" s="8" t="n"/>
      <c r="J30" s="8" t="n"/>
      <c r="K30" s="8" t="n"/>
      <c r="L30" s="8" t="n"/>
      <c r="M30" s="8" t="n"/>
      <c r="N30" s="8" t="n"/>
      <c r="O30" s="8" t="n"/>
      <c r="P30" s="8" t="n"/>
      <c r="Q30" s="8" t="n"/>
      <c r="R30" s="8" t="n"/>
      <c r="S30" s="8" t="n"/>
      <c r="T30" s="8" t="n"/>
      <c r="U30" s="8" t="n"/>
      <c r="V30" s="8" t="n"/>
      <c r="W30" s="8" t="n"/>
      <c r="X30" s="8" t="n"/>
      <c r="Y30" s="8" t="n"/>
      <c r="Z30" s="8" t="n"/>
      <c r="AA30" s="8" t="n"/>
      <c r="AB30" s="8" t="n"/>
      <c r="AC30" s="6">
        <f>IF(B30="","",IF(D30="RECT",IF(OR(E30="",F30=""),"",2*(E30+F30)),SUMIFS(INPUT_Segments!$D:$D,INPUT_Segments!$A:$A,A30,INPUT_Segments!$B:$B,B30)))</f>
        <v/>
      </c>
      <c r="AD30" s="6">
        <f>IF(AC30="","", (AC30*G30)/144)</f>
        <v/>
      </c>
      <c r="AE30" s="6">
        <f>IF(B30="","",IF(D30="RECT",IF(OR(E30="",F30=""),"",(E30*F30)/144),IF(I30="", "", I30)))</f>
        <v/>
      </c>
      <c r="AF30" s="6">
        <f>IF(AC30="","",MAX(0,AC30 - SUMPRODUCT((INPUT_Openings!$A:$A=A30)*(INPUT_Openings!$B:$B=B30)*(XLOOKUP(INPUT_Openings!$C:$C,Constants!$A$30:$A$200,Constants!$C$30:$C$200,"",0))*(INPUT_Openings!$D:$D)*(XLOOKUP(INPUT_Openings!$C:$C,Constants!$A$30:$A$200,Constants!$B$30:$B$200,"",0)="Door")) - IF(D30="RECT",IF(J30="",0,J30),SUMIFS(INPUT_Segments!$E:$E,INPUT_Segments!$A:$A,A30,INPUT_Segments!$B:$B,B30)))/12)</f>
        <v/>
      </c>
      <c r="AG30" s="6">
        <f>IF(AC30="","",AC30/12)</f>
        <v/>
      </c>
      <c r="AH30" s="8" t="n"/>
      <c r="AI30" s="8" t="n"/>
    </row>
    <row r="31">
      <c r="A31" s="8" t="n"/>
      <c r="B31" s="8" t="n"/>
      <c r="C31" s="8" t="n"/>
      <c r="D31" s="8" t="n"/>
      <c r="E31" s="8" t="n"/>
      <c r="F31" s="8" t="n"/>
      <c r="G31" s="8" t="n"/>
      <c r="H31" s="8">
        <f>IF($B31="","",$G31)</f>
        <v/>
      </c>
      <c r="I31" s="8" t="n"/>
      <c r="J31" s="8" t="n"/>
      <c r="K31" s="8" t="n"/>
      <c r="L31" s="8" t="n"/>
      <c r="M31" s="8" t="n"/>
      <c r="N31" s="8" t="n"/>
      <c r="O31" s="8" t="n"/>
      <c r="P31" s="8" t="n"/>
      <c r="Q31" s="8" t="n"/>
      <c r="R31" s="8" t="n"/>
      <c r="S31" s="8" t="n"/>
      <c r="T31" s="8" t="n"/>
      <c r="U31" s="8" t="n"/>
      <c r="V31" s="8" t="n"/>
      <c r="W31" s="8" t="n"/>
      <c r="X31" s="8" t="n"/>
      <c r="Y31" s="8" t="n"/>
      <c r="Z31" s="8" t="n"/>
      <c r="AA31" s="8" t="n"/>
      <c r="AB31" s="8" t="n"/>
      <c r="AC31" s="6">
        <f>IF(B31="","",IF(D31="RECT",IF(OR(E31="",F31=""),"",2*(E31+F31)),SUMIFS(INPUT_Segments!$D:$D,INPUT_Segments!$A:$A,A31,INPUT_Segments!$B:$B,B31)))</f>
        <v/>
      </c>
      <c r="AD31" s="6">
        <f>IF(AC31="","", (AC31*G31)/144)</f>
        <v/>
      </c>
      <c r="AE31" s="6">
        <f>IF(B31="","",IF(D31="RECT",IF(OR(E31="",F31=""),"",(E31*F31)/144),IF(I31="", "", I31)))</f>
        <v/>
      </c>
      <c r="AF31" s="6">
        <f>IF(AC31="","",MAX(0,AC31 - SUMPRODUCT((INPUT_Openings!$A:$A=A31)*(INPUT_Openings!$B:$B=B31)*(XLOOKUP(INPUT_Openings!$C:$C,Constants!$A$30:$A$200,Constants!$C$30:$C$200,"",0))*(INPUT_Openings!$D:$D)*(XLOOKUP(INPUT_Openings!$C:$C,Constants!$A$30:$A$200,Constants!$B$30:$B$200,"",0)="Door")) - IF(D31="RECT",IF(J31="",0,J31),SUMIFS(INPUT_Segments!$E:$E,INPUT_Segments!$A:$A,A31,INPUT_Segments!$B:$B,B31)))/12)</f>
        <v/>
      </c>
      <c r="AG31" s="6">
        <f>IF(AC31="","",AC31/12)</f>
        <v/>
      </c>
      <c r="AH31" s="8" t="n"/>
      <c r="AI31" s="8" t="n"/>
    </row>
    <row r="32">
      <c r="A32" s="8" t="n"/>
      <c r="B32" s="8" t="n"/>
      <c r="C32" s="8" t="n"/>
      <c r="D32" s="8" t="n"/>
      <c r="E32" s="8" t="n"/>
      <c r="F32" s="8" t="n"/>
      <c r="G32" s="8" t="n"/>
      <c r="H32" s="8">
        <f>IF($B32="","",$G32)</f>
        <v/>
      </c>
      <c r="I32" s="8" t="n"/>
      <c r="J32" s="8" t="n"/>
      <c r="K32" s="8" t="n"/>
      <c r="L32" s="8" t="n"/>
      <c r="M32" s="8" t="n"/>
      <c r="N32" s="8" t="n"/>
      <c r="O32" s="8" t="n"/>
      <c r="P32" s="8" t="n"/>
      <c r="Q32" s="8" t="n"/>
      <c r="R32" s="8" t="n"/>
      <c r="S32" s="8" t="n"/>
      <c r="T32" s="8" t="n"/>
      <c r="U32" s="8" t="n"/>
      <c r="V32" s="8" t="n"/>
      <c r="W32" s="8" t="n"/>
      <c r="X32" s="8" t="n"/>
      <c r="Y32" s="8" t="n"/>
      <c r="Z32" s="8" t="n"/>
      <c r="AA32" s="8" t="n"/>
      <c r="AB32" s="8" t="n"/>
      <c r="AC32" s="6">
        <f>IF(B32="","",IF(D32="RECT",IF(OR(E32="",F32=""),"",2*(E32+F32)),SUMIFS(INPUT_Segments!$D:$D,INPUT_Segments!$A:$A,A32,INPUT_Segments!$B:$B,B32)))</f>
        <v/>
      </c>
      <c r="AD32" s="6">
        <f>IF(AC32="","", (AC32*G32)/144)</f>
        <v/>
      </c>
      <c r="AE32" s="6">
        <f>IF(B32="","",IF(D32="RECT",IF(OR(E32="",F32=""),"",(E32*F32)/144),IF(I32="", "", I32)))</f>
        <v/>
      </c>
      <c r="AF32" s="6">
        <f>IF(AC32="","",MAX(0,AC32 - SUMPRODUCT((INPUT_Openings!$A:$A=A32)*(INPUT_Openings!$B:$B=B32)*(XLOOKUP(INPUT_Openings!$C:$C,Constants!$A$30:$A$200,Constants!$C$30:$C$200,"",0))*(INPUT_Openings!$D:$D)*(XLOOKUP(INPUT_Openings!$C:$C,Constants!$A$30:$A$200,Constants!$B$30:$B$200,"",0)="Door")) - IF(D32="RECT",IF(J32="",0,J32),SUMIFS(INPUT_Segments!$E:$E,INPUT_Segments!$A:$A,A32,INPUT_Segments!$B:$B,B32)))/12)</f>
        <v/>
      </c>
      <c r="AG32" s="6">
        <f>IF(AC32="","",AC32/12)</f>
        <v/>
      </c>
      <c r="AH32" s="8" t="n"/>
      <c r="AI32" s="8" t="n"/>
    </row>
    <row r="33">
      <c r="A33" s="8" t="n"/>
      <c r="B33" s="8" t="n"/>
      <c r="C33" s="8" t="n"/>
      <c r="D33" s="8" t="n"/>
      <c r="E33" s="8" t="n"/>
      <c r="F33" s="8" t="n"/>
      <c r="G33" s="8" t="n"/>
      <c r="H33" s="8">
        <f>IF($B33="","",$G33)</f>
        <v/>
      </c>
      <c r="I33" s="8" t="n"/>
      <c r="J33" s="8" t="n"/>
      <c r="K33" s="8" t="n"/>
      <c r="L33" s="8" t="n"/>
      <c r="M33" s="8" t="n"/>
      <c r="N33" s="8" t="n"/>
      <c r="O33" s="8" t="n"/>
      <c r="P33" s="8" t="n"/>
      <c r="Q33" s="8" t="n"/>
      <c r="R33" s="8" t="n"/>
      <c r="S33" s="8" t="n"/>
      <c r="T33" s="8" t="n"/>
      <c r="U33" s="8" t="n"/>
      <c r="V33" s="8" t="n"/>
      <c r="W33" s="8" t="n"/>
      <c r="X33" s="8" t="n"/>
      <c r="Y33" s="8" t="n"/>
      <c r="Z33" s="8" t="n"/>
      <c r="AA33" s="8" t="n"/>
      <c r="AB33" s="8" t="n"/>
      <c r="AC33" s="6">
        <f>IF(B33="","",IF(D33="RECT",IF(OR(E33="",F33=""),"",2*(E33+F33)),SUMIFS(INPUT_Segments!$D:$D,INPUT_Segments!$A:$A,A33,INPUT_Segments!$B:$B,B33)))</f>
        <v/>
      </c>
      <c r="AD33" s="6">
        <f>IF(AC33="","", (AC33*G33)/144)</f>
        <v/>
      </c>
      <c r="AE33" s="6">
        <f>IF(B33="","",IF(D33="RECT",IF(OR(E33="",F33=""),"",(E33*F33)/144),IF(I33="", "", I33)))</f>
        <v/>
      </c>
      <c r="AF33" s="6">
        <f>IF(AC33="","",MAX(0,AC33 - SUMPRODUCT((INPUT_Openings!$A:$A=A33)*(INPUT_Openings!$B:$B=B33)*(XLOOKUP(INPUT_Openings!$C:$C,Constants!$A$30:$A$200,Constants!$C$30:$C$200,"",0))*(INPUT_Openings!$D:$D)*(XLOOKUP(INPUT_Openings!$C:$C,Constants!$A$30:$A$200,Constants!$B$30:$B$200,"",0)="Door")) - IF(D33="RECT",IF(J33="",0,J33),SUMIFS(INPUT_Segments!$E:$E,INPUT_Segments!$A:$A,A33,INPUT_Segments!$B:$B,B33)))/12)</f>
        <v/>
      </c>
      <c r="AG33" s="6">
        <f>IF(AC33="","",AC33/12)</f>
        <v/>
      </c>
      <c r="AH33" s="8" t="n"/>
      <c r="AI33" s="8" t="n"/>
    </row>
    <row r="34">
      <c r="A34" s="8" t="n"/>
      <c r="B34" s="8" t="n"/>
      <c r="C34" s="8" t="n"/>
      <c r="D34" s="8" t="n"/>
      <c r="E34" s="8" t="n"/>
      <c r="F34" s="8" t="n"/>
      <c r="G34" s="8" t="n"/>
      <c r="H34" s="8">
        <f>IF($B34="","",$G34)</f>
        <v/>
      </c>
      <c r="I34" s="8" t="n"/>
      <c r="J34" s="8" t="n"/>
      <c r="K34" s="8" t="n"/>
      <c r="L34" s="8" t="n"/>
      <c r="M34" s="8" t="n"/>
      <c r="N34" s="8" t="n"/>
      <c r="O34" s="8" t="n"/>
      <c r="P34" s="8" t="n"/>
      <c r="Q34" s="8" t="n"/>
      <c r="R34" s="8" t="n"/>
      <c r="S34" s="8" t="n"/>
      <c r="T34" s="8" t="n"/>
      <c r="U34" s="8" t="n"/>
      <c r="V34" s="8" t="n"/>
      <c r="W34" s="8" t="n"/>
      <c r="X34" s="8" t="n"/>
      <c r="Y34" s="8" t="n"/>
      <c r="Z34" s="8" t="n"/>
      <c r="AA34" s="8" t="n"/>
      <c r="AB34" s="8" t="n"/>
      <c r="AC34" s="6">
        <f>IF(B34="","",IF(D34="RECT",IF(OR(E34="",F34=""),"",2*(E34+F34)),SUMIFS(INPUT_Segments!$D:$D,INPUT_Segments!$A:$A,A34,INPUT_Segments!$B:$B,B34)))</f>
        <v/>
      </c>
      <c r="AD34" s="6">
        <f>IF(AC34="","", (AC34*G34)/144)</f>
        <v/>
      </c>
      <c r="AE34" s="6">
        <f>IF(B34="","",IF(D34="RECT",IF(OR(E34="",F34=""),"",(E34*F34)/144),IF(I34="", "", I34)))</f>
        <v/>
      </c>
      <c r="AF34" s="6">
        <f>IF(AC34="","",MAX(0,AC34 - SUMPRODUCT((INPUT_Openings!$A:$A=A34)*(INPUT_Openings!$B:$B=B34)*(XLOOKUP(INPUT_Openings!$C:$C,Constants!$A$30:$A$200,Constants!$C$30:$C$200,"",0))*(INPUT_Openings!$D:$D)*(XLOOKUP(INPUT_Openings!$C:$C,Constants!$A$30:$A$200,Constants!$B$30:$B$200,"",0)="Door")) - IF(D34="RECT",IF(J34="",0,J34),SUMIFS(INPUT_Segments!$E:$E,INPUT_Segments!$A:$A,A34,INPUT_Segments!$B:$B,B34)))/12)</f>
        <v/>
      </c>
      <c r="AG34" s="6">
        <f>IF(AC34="","",AC34/12)</f>
        <v/>
      </c>
      <c r="AH34" s="8" t="n"/>
      <c r="AI34" s="8" t="n"/>
    </row>
    <row r="35">
      <c r="A35" s="8" t="n"/>
      <c r="B35" s="8" t="n"/>
      <c r="C35" s="8" t="n"/>
      <c r="D35" s="8" t="n"/>
      <c r="E35" s="8" t="n"/>
      <c r="F35" s="8" t="n"/>
      <c r="G35" s="8" t="n"/>
      <c r="H35" s="8">
        <f>IF($B35="","",$G35)</f>
        <v/>
      </c>
      <c r="I35" s="8" t="n"/>
      <c r="J35" s="8" t="n"/>
      <c r="K35" s="8" t="n"/>
      <c r="L35" s="8" t="n"/>
      <c r="M35" s="8" t="n"/>
      <c r="N35" s="8" t="n"/>
      <c r="O35" s="8" t="n"/>
      <c r="P35" s="8" t="n"/>
      <c r="Q35" s="8" t="n"/>
      <c r="R35" s="8" t="n"/>
      <c r="S35" s="8" t="n"/>
      <c r="T35" s="8" t="n"/>
      <c r="U35" s="8" t="n"/>
      <c r="V35" s="8" t="n"/>
      <c r="W35" s="8" t="n"/>
      <c r="X35" s="8" t="n"/>
      <c r="Y35" s="8" t="n"/>
      <c r="Z35" s="8" t="n"/>
      <c r="AA35" s="8" t="n"/>
      <c r="AB35" s="8" t="n"/>
      <c r="AC35" s="6">
        <f>IF(B35="","",IF(D35="RECT",IF(OR(E35="",F35=""),"",2*(E35+F35)),SUMIFS(INPUT_Segments!$D:$D,INPUT_Segments!$A:$A,A35,INPUT_Segments!$B:$B,B35)))</f>
        <v/>
      </c>
      <c r="AD35" s="6">
        <f>IF(AC35="","", (AC35*G35)/144)</f>
        <v/>
      </c>
      <c r="AE35" s="6">
        <f>IF(B35="","",IF(D35="RECT",IF(OR(E35="",F35=""),"",(E35*F35)/144),IF(I35="", "", I35)))</f>
        <v/>
      </c>
      <c r="AF35" s="6">
        <f>IF(AC35="","",MAX(0,AC35 - SUMPRODUCT((INPUT_Openings!$A:$A=A35)*(INPUT_Openings!$B:$B=B35)*(XLOOKUP(INPUT_Openings!$C:$C,Constants!$A$30:$A$200,Constants!$C$30:$C$200,"",0))*(INPUT_Openings!$D:$D)*(XLOOKUP(INPUT_Openings!$C:$C,Constants!$A$30:$A$200,Constants!$B$30:$B$200,"",0)="Door")) - IF(D35="RECT",IF(J35="",0,J35),SUMIFS(INPUT_Segments!$E:$E,INPUT_Segments!$A:$A,A35,INPUT_Segments!$B:$B,B35)))/12)</f>
        <v/>
      </c>
      <c r="AG35" s="6">
        <f>IF(AC35="","",AC35/12)</f>
        <v/>
      </c>
      <c r="AH35" s="8" t="n"/>
      <c r="AI35" s="8" t="n"/>
    </row>
    <row r="36">
      <c r="A36" s="8" t="n"/>
      <c r="B36" s="8" t="n"/>
      <c r="C36" s="8" t="n"/>
      <c r="D36" s="8" t="n"/>
      <c r="E36" s="8" t="n"/>
      <c r="F36" s="8" t="n"/>
      <c r="G36" s="8" t="n"/>
      <c r="H36" s="8">
        <f>IF($B36="","",$G36)</f>
        <v/>
      </c>
      <c r="I36" s="8" t="n"/>
      <c r="J36" s="8" t="n"/>
      <c r="K36" s="8" t="n"/>
      <c r="L36" s="8" t="n"/>
      <c r="M36" s="8" t="n"/>
      <c r="N36" s="8" t="n"/>
      <c r="O36" s="8" t="n"/>
      <c r="P36" s="8" t="n"/>
      <c r="Q36" s="8" t="n"/>
      <c r="R36" s="8" t="n"/>
      <c r="S36" s="8" t="n"/>
      <c r="T36" s="8" t="n"/>
      <c r="U36" s="8" t="n"/>
      <c r="V36" s="8" t="n"/>
      <c r="W36" s="8" t="n"/>
      <c r="X36" s="8" t="n"/>
      <c r="Y36" s="8" t="n"/>
      <c r="Z36" s="8" t="n"/>
      <c r="AA36" s="8" t="n"/>
      <c r="AB36" s="8" t="n"/>
      <c r="AC36" s="6">
        <f>IF(B36="","",IF(D36="RECT",IF(OR(E36="",F36=""),"",2*(E36+F36)),SUMIFS(INPUT_Segments!$D:$D,INPUT_Segments!$A:$A,A36,INPUT_Segments!$B:$B,B36)))</f>
        <v/>
      </c>
      <c r="AD36" s="6">
        <f>IF(AC36="","", (AC36*G36)/144)</f>
        <v/>
      </c>
      <c r="AE36" s="6">
        <f>IF(B36="","",IF(D36="RECT",IF(OR(E36="",F36=""),"",(E36*F36)/144),IF(I36="", "", I36)))</f>
        <v/>
      </c>
      <c r="AF36" s="6">
        <f>IF(AC36="","",MAX(0,AC36 - SUMPRODUCT((INPUT_Openings!$A:$A=A36)*(INPUT_Openings!$B:$B=B36)*(XLOOKUP(INPUT_Openings!$C:$C,Constants!$A$30:$A$200,Constants!$C$30:$C$200,"",0))*(INPUT_Openings!$D:$D)*(XLOOKUP(INPUT_Openings!$C:$C,Constants!$A$30:$A$200,Constants!$B$30:$B$200,"",0)="Door")) - IF(D36="RECT",IF(J36="",0,J36),SUMIFS(INPUT_Segments!$E:$E,INPUT_Segments!$A:$A,A36,INPUT_Segments!$B:$B,B36)))/12)</f>
        <v/>
      </c>
      <c r="AG36" s="6">
        <f>IF(AC36="","",AC36/12)</f>
        <v/>
      </c>
      <c r="AH36" s="8" t="n"/>
      <c r="AI36" s="8" t="n"/>
    </row>
    <row r="37">
      <c r="A37" s="8" t="n"/>
      <c r="B37" s="8" t="n"/>
      <c r="C37" s="8" t="n"/>
      <c r="D37" s="8" t="n"/>
      <c r="E37" s="8" t="n"/>
      <c r="F37" s="8" t="n"/>
      <c r="G37" s="8" t="n"/>
      <c r="H37" s="8">
        <f>IF($B37="","",$G37)</f>
        <v/>
      </c>
      <c r="I37" s="8" t="n"/>
      <c r="J37" s="8" t="n"/>
      <c r="K37" s="8" t="n"/>
      <c r="L37" s="8" t="n"/>
      <c r="M37" s="8" t="n"/>
      <c r="N37" s="8" t="n"/>
      <c r="O37" s="8" t="n"/>
      <c r="P37" s="8" t="n"/>
      <c r="Q37" s="8" t="n"/>
      <c r="R37" s="8" t="n"/>
      <c r="S37" s="8" t="n"/>
      <c r="T37" s="8" t="n"/>
      <c r="U37" s="8" t="n"/>
      <c r="V37" s="8" t="n"/>
      <c r="W37" s="8" t="n"/>
      <c r="X37" s="8" t="n"/>
      <c r="Y37" s="8" t="n"/>
      <c r="Z37" s="8" t="n"/>
      <c r="AA37" s="8" t="n"/>
      <c r="AB37" s="8" t="n"/>
      <c r="AC37" s="6">
        <f>IF(B37="","",IF(D37="RECT",IF(OR(E37="",F37=""),"",2*(E37+F37)),SUMIFS(INPUT_Segments!$D:$D,INPUT_Segments!$A:$A,A37,INPUT_Segments!$B:$B,B37)))</f>
        <v/>
      </c>
      <c r="AD37" s="6">
        <f>IF(AC37="","", (AC37*G37)/144)</f>
        <v/>
      </c>
      <c r="AE37" s="6">
        <f>IF(B37="","",IF(D37="RECT",IF(OR(E37="",F37=""),"",(E37*F37)/144),IF(I37="", "", I37)))</f>
        <v/>
      </c>
      <c r="AF37" s="6">
        <f>IF(AC37="","",MAX(0,AC37 - SUMPRODUCT((INPUT_Openings!$A:$A=A37)*(INPUT_Openings!$B:$B=B37)*(XLOOKUP(INPUT_Openings!$C:$C,Constants!$A$30:$A$200,Constants!$C$30:$C$200,"",0))*(INPUT_Openings!$D:$D)*(XLOOKUP(INPUT_Openings!$C:$C,Constants!$A$30:$A$200,Constants!$B$30:$B$200,"",0)="Door")) - IF(D37="RECT",IF(J37="",0,J37),SUMIFS(INPUT_Segments!$E:$E,INPUT_Segments!$A:$A,A37,INPUT_Segments!$B:$B,B37)))/12)</f>
        <v/>
      </c>
      <c r="AG37" s="6">
        <f>IF(AC37="","",AC37/12)</f>
        <v/>
      </c>
      <c r="AH37" s="8" t="n"/>
      <c r="AI37" s="8" t="n"/>
    </row>
    <row r="38">
      <c r="A38" s="8" t="n"/>
      <c r="B38" s="8" t="n"/>
      <c r="C38" s="8" t="n"/>
      <c r="D38" s="8" t="n"/>
      <c r="E38" s="8" t="n"/>
      <c r="F38" s="8" t="n"/>
      <c r="G38" s="8" t="n"/>
      <c r="H38" s="8">
        <f>IF($B38="","",$G38)</f>
        <v/>
      </c>
      <c r="I38" s="8" t="n"/>
      <c r="J38" s="8" t="n"/>
      <c r="K38" s="8" t="n"/>
      <c r="L38" s="8" t="n"/>
      <c r="M38" s="8" t="n"/>
      <c r="N38" s="8" t="n"/>
      <c r="O38" s="8" t="n"/>
      <c r="P38" s="8" t="n"/>
      <c r="Q38" s="8" t="n"/>
      <c r="R38" s="8" t="n"/>
      <c r="S38" s="8" t="n"/>
      <c r="T38" s="8" t="n"/>
      <c r="U38" s="8" t="n"/>
      <c r="V38" s="8" t="n"/>
      <c r="W38" s="8" t="n"/>
      <c r="X38" s="8" t="n"/>
      <c r="Y38" s="8" t="n"/>
      <c r="Z38" s="8" t="n"/>
      <c r="AA38" s="8" t="n"/>
      <c r="AB38" s="8" t="n"/>
      <c r="AC38" s="6">
        <f>IF(B38="","",IF(D38="RECT",IF(OR(E38="",F38=""),"",2*(E38+F38)),SUMIFS(INPUT_Segments!$D:$D,INPUT_Segments!$A:$A,A38,INPUT_Segments!$B:$B,B38)))</f>
        <v/>
      </c>
      <c r="AD38" s="6">
        <f>IF(AC38="","", (AC38*G38)/144)</f>
        <v/>
      </c>
      <c r="AE38" s="6">
        <f>IF(B38="","",IF(D38="RECT",IF(OR(E38="",F38=""),"",(E38*F38)/144),IF(I38="", "", I38)))</f>
        <v/>
      </c>
      <c r="AF38" s="6">
        <f>IF(AC38="","",MAX(0,AC38 - SUMPRODUCT((INPUT_Openings!$A:$A=A38)*(INPUT_Openings!$B:$B=B38)*(XLOOKUP(INPUT_Openings!$C:$C,Constants!$A$30:$A$200,Constants!$C$30:$C$200,"",0))*(INPUT_Openings!$D:$D)*(XLOOKUP(INPUT_Openings!$C:$C,Constants!$A$30:$A$200,Constants!$B$30:$B$200,"",0)="Door")) - IF(D38="RECT",IF(J38="",0,J38),SUMIFS(INPUT_Segments!$E:$E,INPUT_Segments!$A:$A,A38,INPUT_Segments!$B:$B,B38)))/12)</f>
        <v/>
      </c>
      <c r="AG38" s="6">
        <f>IF(AC38="","",AC38/12)</f>
        <v/>
      </c>
      <c r="AH38" s="8" t="n"/>
      <c r="AI38" s="8" t="n"/>
    </row>
    <row r="39">
      <c r="A39" s="8" t="n"/>
      <c r="B39" s="8" t="n"/>
      <c r="C39" s="8" t="n"/>
      <c r="D39" s="8" t="n"/>
      <c r="E39" s="8" t="n"/>
      <c r="F39" s="8" t="n"/>
      <c r="G39" s="8" t="n"/>
      <c r="H39" s="8">
        <f>IF($B39="","",$G39)</f>
        <v/>
      </c>
      <c r="I39" s="8" t="n"/>
      <c r="J39" s="8" t="n"/>
      <c r="K39" s="8" t="n"/>
      <c r="L39" s="8" t="n"/>
      <c r="M39" s="8" t="n"/>
      <c r="N39" s="8" t="n"/>
      <c r="O39" s="8" t="n"/>
      <c r="P39" s="8" t="n"/>
      <c r="Q39" s="8" t="n"/>
      <c r="R39" s="8" t="n"/>
      <c r="S39" s="8" t="n"/>
      <c r="T39" s="8" t="n"/>
      <c r="U39" s="8" t="n"/>
      <c r="V39" s="8" t="n"/>
      <c r="W39" s="8" t="n"/>
      <c r="X39" s="8" t="n"/>
      <c r="Y39" s="8" t="n"/>
      <c r="Z39" s="8" t="n"/>
      <c r="AA39" s="8" t="n"/>
      <c r="AB39" s="8" t="n"/>
      <c r="AC39" s="6">
        <f>IF(B39="","",IF(D39="RECT",IF(OR(E39="",F39=""),"",2*(E39+F39)),SUMIFS(INPUT_Segments!$D:$D,INPUT_Segments!$A:$A,A39,INPUT_Segments!$B:$B,B39)))</f>
        <v/>
      </c>
      <c r="AD39" s="6">
        <f>IF(AC39="","", (AC39*G39)/144)</f>
        <v/>
      </c>
      <c r="AE39" s="6">
        <f>IF(B39="","",IF(D39="RECT",IF(OR(E39="",F39=""),"",(E39*F39)/144),IF(I39="", "", I39)))</f>
        <v/>
      </c>
      <c r="AF39" s="6">
        <f>IF(AC39="","",MAX(0,AC39 - SUMPRODUCT((INPUT_Openings!$A:$A=A39)*(INPUT_Openings!$B:$B=B39)*(XLOOKUP(INPUT_Openings!$C:$C,Constants!$A$30:$A$200,Constants!$C$30:$C$200,"",0))*(INPUT_Openings!$D:$D)*(XLOOKUP(INPUT_Openings!$C:$C,Constants!$A$30:$A$200,Constants!$B$30:$B$200,"",0)="Door")) - IF(D39="RECT",IF(J39="",0,J39),SUMIFS(INPUT_Segments!$E:$E,INPUT_Segments!$A:$A,A39,INPUT_Segments!$B:$B,B39)))/12)</f>
        <v/>
      </c>
      <c r="AG39" s="6">
        <f>IF(AC39="","",AC39/12)</f>
        <v/>
      </c>
      <c r="AH39" s="8" t="n"/>
      <c r="AI39" s="8" t="n"/>
    </row>
    <row r="40">
      <c r="A40" s="8" t="n"/>
      <c r="B40" s="8" t="n"/>
      <c r="C40" s="8" t="n"/>
      <c r="D40" s="8" t="n"/>
      <c r="E40" s="8" t="n"/>
      <c r="F40" s="8" t="n"/>
      <c r="G40" s="8" t="n"/>
      <c r="H40" s="8">
        <f>IF($B40="","",$G40)</f>
        <v/>
      </c>
      <c r="I40" s="8" t="n"/>
      <c r="J40" s="8" t="n"/>
      <c r="K40" s="8" t="n"/>
      <c r="L40" s="8" t="n"/>
      <c r="M40" s="8" t="n"/>
      <c r="N40" s="8" t="n"/>
      <c r="O40" s="8" t="n"/>
      <c r="P40" s="8" t="n"/>
      <c r="Q40" s="8" t="n"/>
      <c r="R40" s="8" t="n"/>
      <c r="S40" s="8" t="n"/>
      <c r="T40" s="8" t="n"/>
      <c r="U40" s="8" t="n"/>
      <c r="V40" s="8" t="n"/>
      <c r="W40" s="8" t="n"/>
      <c r="X40" s="8" t="n"/>
      <c r="Y40" s="8" t="n"/>
      <c r="Z40" s="8" t="n"/>
      <c r="AA40" s="8" t="n"/>
      <c r="AB40" s="8" t="n"/>
      <c r="AC40" s="6">
        <f>IF(B40="","",IF(D40="RECT",IF(OR(E40="",F40=""),"",2*(E40+F40)),SUMIFS(INPUT_Segments!$D:$D,INPUT_Segments!$A:$A,A40,INPUT_Segments!$B:$B,B40)))</f>
        <v/>
      </c>
      <c r="AD40" s="6">
        <f>IF(AC40="","", (AC40*G40)/144)</f>
        <v/>
      </c>
      <c r="AE40" s="6">
        <f>IF(B40="","",IF(D40="RECT",IF(OR(E40="",F40=""),"",(E40*F40)/144),IF(I40="", "", I40)))</f>
        <v/>
      </c>
      <c r="AF40" s="6">
        <f>IF(AC40="","",MAX(0,AC40 - SUMPRODUCT((INPUT_Openings!$A:$A=A40)*(INPUT_Openings!$B:$B=B40)*(XLOOKUP(INPUT_Openings!$C:$C,Constants!$A$30:$A$200,Constants!$C$30:$C$200,"",0))*(INPUT_Openings!$D:$D)*(XLOOKUP(INPUT_Openings!$C:$C,Constants!$A$30:$A$200,Constants!$B$30:$B$200,"",0)="Door")) - IF(D40="RECT",IF(J40="",0,J40),SUMIFS(INPUT_Segments!$E:$E,INPUT_Segments!$A:$A,A40,INPUT_Segments!$B:$B,B40)))/12)</f>
        <v/>
      </c>
      <c r="AG40" s="6">
        <f>IF(AC40="","",AC40/12)</f>
        <v/>
      </c>
      <c r="AH40" s="8" t="n"/>
      <c r="AI40" s="8" t="n"/>
    </row>
    <row r="41">
      <c r="A41" s="8" t="n"/>
      <c r="B41" s="8" t="n"/>
      <c r="C41" s="8" t="n"/>
      <c r="D41" s="8" t="n"/>
      <c r="E41" s="8" t="n"/>
      <c r="F41" s="8" t="n"/>
      <c r="G41" s="8" t="n"/>
      <c r="H41" s="8">
        <f>IF($B41="","",$G41)</f>
        <v/>
      </c>
      <c r="I41" s="8" t="n"/>
      <c r="J41" s="8" t="n"/>
      <c r="K41" s="8" t="n"/>
      <c r="L41" s="8" t="n"/>
      <c r="M41" s="8" t="n"/>
      <c r="N41" s="8" t="n"/>
      <c r="O41" s="8" t="n"/>
      <c r="P41" s="8" t="n"/>
      <c r="Q41" s="8" t="n"/>
      <c r="R41" s="8" t="n"/>
      <c r="S41" s="8" t="n"/>
      <c r="T41" s="8" t="n"/>
      <c r="U41" s="8" t="n"/>
      <c r="V41" s="8" t="n"/>
      <c r="W41" s="8" t="n"/>
      <c r="X41" s="8" t="n"/>
      <c r="Y41" s="8" t="n"/>
      <c r="Z41" s="8" t="n"/>
      <c r="AA41" s="8" t="n"/>
      <c r="AB41" s="8" t="n"/>
      <c r="AC41" s="6">
        <f>IF(B41="","",IF(D41="RECT",IF(OR(E41="",F41=""),"",2*(E41+F41)),SUMIFS(INPUT_Segments!$D:$D,INPUT_Segments!$A:$A,A41,INPUT_Segments!$B:$B,B41)))</f>
        <v/>
      </c>
      <c r="AD41" s="6">
        <f>IF(AC41="","", (AC41*G41)/144)</f>
        <v/>
      </c>
      <c r="AE41" s="6">
        <f>IF(B41="","",IF(D41="RECT",IF(OR(E41="",F41=""),"",(E41*F41)/144),IF(I41="", "", I41)))</f>
        <v/>
      </c>
      <c r="AF41" s="6">
        <f>IF(AC41="","",MAX(0,AC41 - SUMPRODUCT((INPUT_Openings!$A:$A=A41)*(INPUT_Openings!$B:$B=B41)*(XLOOKUP(INPUT_Openings!$C:$C,Constants!$A$30:$A$200,Constants!$C$30:$C$200,"",0))*(INPUT_Openings!$D:$D)*(XLOOKUP(INPUT_Openings!$C:$C,Constants!$A$30:$A$200,Constants!$B$30:$B$200,"",0)="Door")) - IF(D41="RECT",IF(J41="",0,J41),SUMIFS(INPUT_Segments!$E:$E,INPUT_Segments!$A:$A,A41,INPUT_Segments!$B:$B,B41)))/12)</f>
        <v/>
      </c>
      <c r="AG41" s="6">
        <f>IF(AC41="","",AC41/12)</f>
        <v/>
      </c>
      <c r="AH41" s="8" t="n"/>
      <c r="AI41" s="8" t="n"/>
    </row>
    <row r="42">
      <c r="A42" s="8" t="n"/>
      <c r="B42" s="8" t="n"/>
      <c r="C42" s="8" t="n"/>
      <c r="D42" s="8" t="n"/>
      <c r="E42" s="8" t="n"/>
      <c r="F42" s="8" t="n"/>
      <c r="G42" s="8" t="n"/>
      <c r="H42" s="8">
        <f>IF($B42="","",$G42)</f>
        <v/>
      </c>
      <c r="I42" s="8" t="n"/>
      <c r="J42" s="8" t="n"/>
      <c r="K42" s="8" t="n"/>
      <c r="L42" s="8" t="n"/>
      <c r="M42" s="8" t="n"/>
      <c r="N42" s="8" t="n"/>
      <c r="O42" s="8" t="n"/>
      <c r="P42" s="8" t="n"/>
      <c r="Q42" s="8" t="n"/>
      <c r="R42" s="8" t="n"/>
      <c r="S42" s="8" t="n"/>
      <c r="T42" s="8" t="n"/>
      <c r="U42" s="8" t="n"/>
      <c r="V42" s="8" t="n"/>
      <c r="W42" s="8" t="n"/>
      <c r="X42" s="8" t="n"/>
      <c r="Y42" s="8" t="n"/>
      <c r="Z42" s="8" t="n"/>
      <c r="AA42" s="8" t="n"/>
      <c r="AB42" s="8" t="n"/>
      <c r="AC42" s="6">
        <f>IF(B42="","",IF(D42="RECT",IF(OR(E42="",F42=""),"",2*(E42+F42)),SUMIFS(INPUT_Segments!$D:$D,INPUT_Segments!$A:$A,A42,INPUT_Segments!$B:$B,B42)))</f>
        <v/>
      </c>
      <c r="AD42" s="6">
        <f>IF(AC42="","", (AC42*G42)/144)</f>
        <v/>
      </c>
      <c r="AE42" s="6">
        <f>IF(B42="","",IF(D42="RECT",IF(OR(E42="",F42=""),"",(E42*F42)/144),IF(I42="", "", I42)))</f>
        <v/>
      </c>
      <c r="AF42" s="6">
        <f>IF(AC42="","",MAX(0,AC42 - SUMPRODUCT((INPUT_Openings!$A:$A=A42)*(INPUT_Openings!$B:$B=B42)*(XLOOKUP(INPUT_Openings!$C:$C,Constants!$A$30:$A$200,Constants!$C$30:$C$200,"",0))*(INPUT_Openings!$D:$D)*(XLOOKUP(INPUT_Openings!$C:$C,Constants!$A$30:$A$200,Constants!$B$30:$B$200,"",0)="Door")) - IF(D42="RECT",IF(J42="",0,J42),SUMIFS(INPUT_Segments!$E:$E,INPUT_Segments!$A:$A,A42,INPUT_Segments!$B:$B,B42)))/12)</f>
        <v/>
      </c>
      <c r="AG42" s="6">
        <f>IF(AC42="","",AC42/12)</f>
        <v/>
      </c>
      <c r="AH42" s="8" t="n"/>
      <c r="AI42" s="8" t="n"/>
    </row>
    <row r="43">
      <c r="A43" s="8" t="n"/>
      <c r="B43" s="8" t="n"/>
      <c r="C43" s="8" t="n"/>
      <c r="D43" s="8" t="n"/>
      <c r="E43" s="8" t="n"/>
      <c r="F43" s="8" t="n"/>
      <c r="G43" s="8" t="n"/>
      <c r="H43" s="8">
        <f>IF($B43="","",$G43)</f>
        <v/>
      </c>
      <c r="I43" s="8" t="n"/>
      <c r="J43" s="8" t="n"/>
      <c r="K43" s="8" t="n"/>
      <c r="L43" s="8" t="n"/>
      <c r="M43" s="8" t="n"/>
      <c r="N43" s="8" t="n"/>
      <c r="O43" s="8" t="n"/>
      <c r="P43" s="8" t="n"/>
      <c r="Q43" s="8" t="n"/>
      <c r="R43" s="8" t="n"/>
      <c r="S43" s="8" t="n"/>
      <c r="T43" s="8" t="n"/>
      <c r="U43" s="8" t="n"/>
      <c r="V43" s="8" t="n"/>
      <c r="W43" s="8" t="n"/>
      <c r="X43" s="8" t="n"/>
      <c r="Y43" s="8" t="n"/>
      <c r="Z43" s="8" t="n"/>
      <c r="AA43" s="8" t="n"/>
      <c r="AB43" s="8" t="n"/>
      <c r="AC43" s="6">
        <f>IF(B43="","",IF(D43="RECT",IF(OR(E43="",F43=""),"",2*(E43+F43)),SUMIFS(INPUT_Segments!$D:$D,INPUT_Segments!$A:$A,A43,INPUT_Segments!$B:$B,B43)))</f>
        <v/>
      </c>
      <c r="AD43" s="6">
        <f>IF(AC43="","", (AC43*G43)/144)</f>
        <v/>
      </c>
      <c r="AE43" s="6">
        <f>IF(B43="","",IF(D43="RECT",IF(OR(E43="",F43=""),"",(E43*F43)/144),IF(I43="", "", I43)))</f>
        <v/>
      </c>
      <c r="AF43" s="6">
        <f>IF(AC43="","",MAX(0,AC43 - SUMPRODUCT((INPUT_Openings!$A:$A=A43)*(INPUT_Openings!$B:$B=B43)*(XLOOKUP(INPUT_Openings!$C:$C,Constants!$A$30:$A$200,Constants!$C$30:$C$200,"",0))*(INPUT_Openings!$D:$D)*(XLOOKUP(INPUT_Openings!$C:$C,Constants!$A$30:$A$200,Constants!$B$30:$B$200,"",0)="Door")) - IF(D43="RECT",IF(J43="",0,J43),SUMIFS(INPUT_Segments!$E:$E,INPUT_Segments!$A:$A,A43,INPUT_Segments!$B:$B,B43)))/12)</f>
        <v/>
      </c>
      <c r="AG43" s="6">
        <f>IF(AC43="","",AC43/12)</f>
        <v/>
      </c>
      <c r="AH43" s="8" t="n"/>
      <c r="AI43" s="8" t="n"/>
    </row>
    <row r="44">
      <c r="A44" s="8" t="n"/>
      <c r="B44" s="8" t="n"/>
      <c r="C44" s="8" t="n"/>
      <c r="D44" s="8" t="n"/>
      <c r="E44" s="8" t="n"/>
      <c r="F44" s="8" t="n"/>
      <c r="G44" s="8" t="n"/>
      <c r="H44" s="8">
        <f>IF($B44="","",$G44)</f>
        <v/>
      </c>
      <c r="I44" s="8" t="n"/>
      <c r="J44" s="8" t="n"/>
      <c r="K44" s="8" t="n"/>
      <c r="L44" s="8" t="n"/>
      <c r="M44" s="8" t="n"/>
      <c r="N44" s="8" t="n"/>
      <c r="O44" s="8" t="n"/>
      <c r="P44" s="8" t="n"/>
      <c r="Q44" s="8" t="n"/>
      <c r="R44" s="8" t="n"/>
      <c r="S44" s="8" t="n"/>
      <c r="T44" s="8" t="n"/>
      <c r="U44" s="8" t="n"/>
      <c r="V44" s="8" t="n"/>
      <c r="W44" s="8" t="n"/>
      <c r="X44" s="8" t="n"/>
      <c r="Y44" s="8" t="n"/>
      <c r="Z44" s="8" t="n"/>
      <c r="AA44" s="8" t="n"/>
      <c r="AB44" s="8" t="n"/>
      <c r="AC44" s="6">
        <f>IF(B44="","",IF(D44="RECT",IF(OR(E44="",F44=""),"",2*(E44+F44)),SUMIFS(INPUT_Segments!$D:$D,INPUT_Segments!$A:$A,A44,INPUT_Segments!$B:$B,B44)))</f>
        <v/>
      </c>
      <c r="AD44" s="6">
        <f>IF(AC44="","", (AC44*G44)/144)</f>
        <v/>
      </c>
      <c r="AE44" s="6">
        <f>IF(B44="","",IF(D44="RECT",IF(OR(E44="",F44=""),"",(E44*F44)/144),IF(I44="", "", I44)))</f>
        <v/>
      </c>
      <c r="AF44" s="6">
        <f>IF(AC44="","",MAX(0,AC44 - SUMPRODUCT((INPUT_Openings!$A:$A=A44)*(INPUT_Openings!$B:$B=B44)*(XLOOKUP(INPUT_Openings!$C:$C,Constants!$A$30:$A$200,Constants!$C$30:$C$200,"",0))*(INPUT_Openings!$D:$D)*(XLOOKUP(INPUT_Openings!$C:$C,Constants!$A$30:$A$200,Constants!$B$30:$B$200,"",0)="Door")) - IF(D44="RECT",IF(J44="",0,J44),SUMIFS(INPUT_Segments!$E:$E,INPUT_Segments!$A:$A,A44,INPUT_Segments!$B:$B,B44)))/12)</f>
        <v/>
      </c>
      <c r="AG44" s="6">
        <f>IF(AC44="","",AC44/12)</f>
        <v/>
      </c>
      <c r="AH44" s="8" t="n"/>
      <c r="AI44" s="8" t="n"/>
    </row>
    <row r="45">
      <c r="A45" s="8" t="n"/>
      <c r="B45" s="8" t="n"/>
      <c r="C45" s="8" t="n"/>
      <c r="D45" s="8" t="n"/>
      <c r="E45" s="8" t="n"/>
      <c r="F45" s="8" t="n"/>
      <c r="G45" s="8" t="n"/>
      <c r="H45" s="8">
        <f>IF($B45="","",$G45)</f>
        <v/>
      </c>
      <c r="I45" s="8" t="n"/>
      <c r="J45" s="8" t="n"/>
      <c r="K45" s="8" t="n"/>
      <c r="L45" s="8" t="n"/>
      <c r="M45" s="8" t="n"/>
      <c r="N45" s="8" t="n"/>
      <c r="O45" s="8" t="n"/>
      <c r="P45" s="8" t="n"/>
      <c r="Q45" s="8" t="n"/>
      <c r="R45" s="8" t="n"/>
      <c r="S45" s="8" t="n"/>
      <c r="T45" s="8" t="n"/>
      <c r="U45" s="8" t="n"/>
      <c r="V45" s="8" t="n"/>
      <c r="W45" s="8" t="n"/>
      <c r="X45" s="8" t="n"/>
      <c r="Y45" s="8" t="n"/>
      <c r="Z45" s="8" t="n"/>
      <c r="AA45" s="8" t="n"/>
      <c r="AB45" s="8" t="n"/>
      <c r="AC45" s="6">
        <f>IF(B45="","",IF(D45="RECT",IF(OR(E45="",F45=""),"",2*(E45+F45)),SUMIFS(INPUT_Segments!$D:$D,INPUT_Segments!$A:$A,A45,INPUT_Segments!$B:$B,B45)))</f>
        <v/>
      </c>
      <c r="AD45" s="6">
        <f>IF(AC45="","", (AC45*G45)/144)</f>
        <v/>
      </c>
      <c r="AE45" s="6">
        <f>IF(B45="","",IF(D45="RECT",IF(OR(E45="",F45=""),"",(E45*F45)/144),IF(I45="", "", I45)))</f>
        <v/>
      </c>
      <c r="AF45" s="6">
        <f>IF(AC45="","",MAX(0,AC45 - SUMPRODUCT((INPUT_Openings!$A:$A=A45)*(INPUT_Openings!$B:$B=B45)*(XLOOKUP(INPUT_Openings!$C:$C,Constants!$A$30:$A$200,Constants!$C$30:$C$200,"",0))*(INPUT_Openings!$D:$D)*(XLOOKUP(INPUT_Openings!$C:$C,Constants!$A$30:$A$200,Constants!$B$30:$B$200,"",0)="Door")) - IF(D45="RECT",IF(J45="",0,J45),SUMIFS(INPUT_Segments!$E:$E,INPUT_Segments!$A:$A,A45,INPUT_Segments!$B:$B,B45)))/12)</f>
        <v/>
      </c>
      <c r="AG45" s="6">
        <f>IF(AC45="","",AC45/12)</f>
        <v/>
      </c>
      <c r="AH45" s="8" t="n"/>
      <c r="AI45" s="8" t="n"/>
    </row>
    <row r="46">
      <c r="A46" s="8" t="n"/>
      <c r="B46" s="8" t="n"/>
      <c r="C46" s="8" t="n"/>
      <c r="D46" s="8" t="n"/>
      <c r="E46" s="8" t="n"/>
      <c r="F46" s="8" t="n"/>
      <c r="G46" s="8" t="n"/>
      <c r="H46" s="8">
        <f>IF($B46="","",$G46)</f>
        <v/>
      </c>
      <c r="I46" s="8" t="n"/>
      <c r="J46" s="8" t="n"/>
      <c r="K46" s="8" t="n"/>
      <c r="L46" s="8" t="n"/>
      <c r="M46" s="8" t="n"/>
      <c r="N46" s="8" t="n"/>
      <c r="O46" s="8" t="n"/>
      <c r="P46" s="8" t="n"/>
      <c r="Q46" s="8" t="n"/>
      <c r="R46" s="8" t="n"/>
      <c r="S46" s="8" t="n"/>
      <c r="T46" s="8" t="n"/>
      <c r="U46" s="8" t="n"/>
      <c r="V46" s="8" t="n"/>
      <c r="W46" s="8" t="n"/>
      <c r="X46" s="8" t="n"/>
      <c r="Y46" s="8" t="n"/>
      <c r="Z46" s="8" t="n"/>
      <c r="AA46" s="8" t="n"/>
      <c r="AB46" s="8" t="n"/>
      <c r="AC46" s="6">
        <f>IF(B46="","",IF(D46="RECT",IF(OR(E46="",F46=""),"",2*(E46+F46)),SUMIFS(INPUT_Segments!$D:$D,INPUT_Segments!$A:$A,A46,INPUT_Segments!$B:$B,B46)))</f>
        <v/>
      </c>
      <c r="AD46" s="6">
        <f>IF(AC46="","", (AC46*G46)/144)</f>
        <v/>
      </c>
      <c r="AE46" s="6">
        <f>IF(B46="","",IF(D46="RECT",IF(OR(E46="",F46=""),"",(E46*F46)/144),IF(I46="", "", I46)))</f>
        <v/>
      </c>
      <c r="AF46" s="6">
        <f>IF(AC46="","",MAX(0,AC46 - SUMPRODUCT((INPUT_Openings!$A:$A=A46)*(INPUT_Openings!$B:$B=B46)*(XLOOKUP(INPUT_Openings!$C:$C,Constants!$A$30:$A$200,Constants!$C$30:$C$200,"",0))*(INPUT_Openings!$D:$D)*(XLOOKUP(INPUT_Openings!$C:$C,Constants!$A$30:$A$200,Constants!$B$30:$B$200,"",0)="Door")) - IF(D46="RECT",IF(J46="",0,J46),SUMIFS(INPUT_Segments!$E:$E,INPUT_Segments!$A:$A,A46,INPUT_Segments!$B:$B,B46)))/12)</f>
        <v/>
      </c>
      <c r="AG46" s="6">
        <f>IF(AC46="","",AC46/12)</f>
        <v/>
      </c>
      <c r="AH46" s="8" t="n"/>
      <c r="AI46" s="8" t="n"/>
    </row>
    <row r="47">
      <c r="A47" s="8" t="n"/>
      <c r="B47" s="8" t="n"/>
      <c r="C47" s="8" t="n"/>
      <c r="D47" s="8" t="n"/>
      <c r="E47" s="8" t="n"/>
      <c r="F47" s="8" t="n"/>
      <c r="G47" s="8" t="n"/>
      <c r="H47" s="8">
        <f>IF($B47="","",$G47)</f>
        <v/>
      </c>
      <c r="I47" s="8" t="n"/>
      <c r="J47" s="8" t="n"/>
      <c r="K47" s="8" t="n"/>
      <c r="L47" s="8" t="n"/>
      <c r="M47" s="8" t="n"/>
      <c r="N47" s="8" t="n"/>
      <c r="O47" s="8" t="n"/>
      <c r="P47" s="8" t="n"/>
      <c r="Q47" s="8" t="n"/>
      <c r="R47" s="8" t="n"/>
      <c r="S47" s="8" t="n"/>
      <c r="T47" s="8" t="n"/>
      <c r="U47" s="8" t="n"/>
      <c r="V47" s="8" t="n"/>
      <c r="W47" s="8" t="n"/>
      <c r="X47" s="8" t="n"/>
      <c r="Y47" s="8" t="n"/>
      <c r="Z47" s="8" t="n"/>
      <c r="AA47" s="8" t="n"/>
      <c r="AB47" s="8" t="n"/>
      <c r="AC47" s="6">
        <f>IF(B47="","",IF(D47="RECT",IF(OR(E47="",F47=""),"",2*(E47+F47)),SUMIFS(INPUT_Segments!$D:$D,INPUT_Segments!$A:$A,A47,INPUT_Segments!$B:$B,B47)))</f>
        <v/>
      </c>
      <c r="AD47" s="6">
        <f>IF(AC47="","", (AC47*G47)/144)</f>
        <v/>
      </c>
      <c r="AE47" s="6">
        <f>IF(B47="","",IF(D47="RECT",IF(OR(E47="",F47=""),"",(E47*F47)/144),IF(I47="", "", I47)))</f>
        <v/>
      </c>
      <c r="AF47" s="6">
        <f>IF(AC47="","",MAX(0,AC47 - SUMPRODUCT((INPUT_Openings!$A:$A=A47)*(INPUT_Openings!$B:$B=B47)*(XLOOKUP(INPUT_Openings!$C:$C,Constants!$A$30:$A$200,Constants!$C$30:$C$200,"",0))*(INPUT_Openings!$D:$D)*(XLOOKUP(INPUT_Openings!$C:$C,Constants!$A$30:$A$200,Constants!$B$30:$B$200,"",0)="Door")) - IF(D47="RECT",IF(J47="",0,J47),SUMIFS(INPUT_Segments!$E:$E,INPUT_Segments!$A:$A,A47,INPUT_Segments!$B:$B,B47)))/12)</f>
        <v/>
      </c>
      <c r="AG47" s="6">
        <f>IF(AC47="","",AC47/12)</f>
        <v/>
      </c>
      <c r="AH47" s="8" t="n"/>
      <c r="AI47" s="8" t="n"/>
    </row>
    <row r="48">
      <c r="A48" s="8" t="n"/>
      <c r="B48" s="8" t="n"/>
      <c r="C48" s="8" t="n"/>
      <c r="D48" s="8" t="n"/>
      <c r="E48" s="8" t="n"/>
      <c r="F48" s="8" t="n"/>
      <c r="G48" s="8" t="n"/>
      <c r="H48" s="8">
        <f>IF($B48="","",$G48)</f>
        <v/>
      </c>
      <c r="I48" s="8" t="n"/>
      <c r="J48" s="8" t="n"/>
      <c r="K48" s="8" t="n"/>
      <c r="L48" s="8" t="n"/>
      <c r="M48" s="8" t="n"/>
      <c r="N48" s="8" t="n"/>
      <c r="O48" s="8" t="n"/>
      <c r="P48" s="8" t="n"/>
      <c r="Q48" s="8" t="n"/>
      <c r="R48" s="8" t="n"/>
      <c r="S48" s="8" t="n"/>
      <c r="T48" s="8" t="n"/>
      <c r="U48" s="8" t="n"/>
      <c r="V48" s="8" t="n"/>
      <c r="W48" s="8" t="n"/>
      <c r="X48" s="8" t="n"/>
      <c r="Y48" s="8" t="n"/>
      <c r="Z48" s="8" t="n"/>
      <c r="AA48" s="8" t="n"/>
      <c r="AB48" s="8" t="n"/>
      <c r="AC48" s="6">
        <f>IF(B48="","",IF(D48="RECT",IF(OR(E48="",F48=""),"",2*(E48+F48)),SUMIFS(INPUT_Segments!$D:$D,INPUT_Segments!$A:$A,A48,INPUT_Segments!$B:$B,B48)))</f>
        <v/>
      </c>
      <c r="AD48" s="6">
        <f>IF(AC48="","", (AC48*G48)/144)</f>
        <v/>
      </c>
      <c r="AE48" s="6">
        <f>IF(B48="","",IF(D48="RECT",IF(OR(E48="",F48=""),"",(E48*F48)/144),IF(I48="", "", I48)))</f>
        <v/>
      </c>
      <c r="AF48" s="6">
        <f>IF(AC48="","",MAX(0,AC48 - SUMPRODUCT((INPUT_Openings!$A:$A=A48)*(INPUT_Openings!$B:$B=B48)*(XLOOKUP(INPUT_Openings!$C:$C,Constants!$A$30:$A$200,Constants!$C$30:$C$200,"",0))*(INPUT_Openings!$D:$D)*(XLOOKUP(INPUT_Openings!$C:$C,Constants!$A$30:$A$200,Constants!$B$30:$B$200,"",0)="Door")) - IF(D48="RECT",IF(J48="",0,J48),SUMIFS(INPUT_Segments!$E:$E,INPUT_Segments!$A:$A,A48,INPUT_Segments!$B:$B,B48)))/12)</f>
        <v/>
      </c>
      <c r="AG48" s="6">
        <f>IF(AC48="","",AC48/12)</f>
        <v/>
      </c>
      <c r="AH48" s="8" t="n"/>
      <c r="AI48" s="8" t="n"/>
    </row>
    <row r="49">
      <c r="A49" s="8" t="n"/>
      <c r="B49" s="8" t="n"/>
      <c r="C49" s="8" t="n"/>
      <c r="D49" s="8" t="n"/>
      <c r="E49" s="8" t="n"/>
      <c r="F49" s="8" t="n"/>
      <c r="G49" s="8" t="n"/>
      <c r="H49" s="8">
        <f>IF($B49="","",$G49)</f>
        <v/>
      </c>
      <c r="I49" s="8" t="n"/>
      <c r="J49" s="8" t="n"/>
      <c r="K49" s="8" t="n"/>
      <c r="L49" s="8" t="n"/>
      <c r="M49" s="8" t="n"/>
      <c r="N49" s="8" t="n"/>
      <c r="O49" s="8" t="n"/>
      <c r="P49" s="8" t="n"/>
      <c r="Q49" s="8" t="n"/>
      <c r="R49" s="8" t="n"/>
      <c r="S49" s="8" t="n"/>
      <c r="T49" s="8" t="n"/>
      <c r="U49" s="8" t="n"/>
      <c r="V49" s="8" t="n"/>
      <c r="W49" s="8" t="n"/>
      <c r="X49" s="8" t="n"/>
      <c r="Y49" s="8" t="n"/>
      <c r="Z49" s="8" t="n"/>
      <c r="AA49" s="8" t="n"/>
      <c r="AB49" s="8" t="n"/>
      <c r="AC49" s="6">
        <f>IF(B49="","",IF(D49="RECT",IF(OR(E49="",F49=""),"",2*(E49+F49)),SUMIFS(INPUT_Segments!$D:$D,INPUT_Segments!$A:$A,A49,INPUT_Segments!$B:$B,B49)))</f>
        <v/>
      </c>
      <c r="AD49" s="6">
        <f>IF(AC49="","", (AC49*G49)/144)</f>
        <v/>
      </c>
      <c r="AE49" s="6">
        <f>IF(B49="","",IF(D49="RECT",IF(OR(E49="",F49=""),"",(E49*F49)/144),IF(I49="", "", I49)))</f>
        <v/>
      </c>
      <c r="AF49" s="6">
        <f>IF(AC49="","",MAX(0,AC49 - SUMPRODUCT((INPUT_Openings!$A:$A=A49)*(INPUT_Openings!$B:$B=B49)*(XLOOKUP(INPUT_Openings!$C:$C,Constants!$A$30:$A$200,Constants!$C$30:$C$200,"",0))*(INPUT_Openings!$D:$D)*(XLOOKUP(INPUT_Openings!$C:$C,Constants!$A$30:$A$200,Constants!$B$30:$B$200,"",0)="Door")) - IF(D49="RECT",IF(J49="",0,J49),SUMIFS(INPUT_Segments!$E:$E,INPUT_Segments!$A:$A,A49,INPUT_Segments!$B:$B,B49)))/12)</f>
        <v/>
      </c>
      <c r="AG49" s="6">
        <f>IF(AC49="","",AC49/12)</f>
        <v/>
      </c>
      <c r="AH49" s="8" t="n"/>
      <c r="AI49" s="8" t="n"/>
    </row>
    <row r="50">
      <c r="A50" s="8" t="n"/>
      <c r="B50" s="8" t="n"/>
      <c r="C50" s="8" t="n"/>
      <c r="D50" s="8" t="n"/>
      <c r="E50" s="8" t="n"/>
      <c r="F50" s="8" t="n"/>
      <c r="G50" s="8" t="n"/>
      <c r="H50" s="8">
        <f>IF($B50="","",$G50)</f>
        <v/>
      </c>
      <c r="I50" s="8" t="n"/>
      <c r="J50" s="8" t="n"/>
      <c r="K50" s="8" t="n"/>
      <c r="L50" s="8" t="n"/>
      <c r="M50" s="8" t="n"/>
      <c r="N50" s="8" t="n"/>
      <c r="O50" s="8" t="n"/>
      <c r="P50" s="8" t="n"/>
      <c r="Q50" s="8" t="n"/>
      <c r="R50" s="8" t="n"/>
      <c r="S50" s="8" t="n"/>
      <c r="T50" s="8" t="n"/>
      <c r="U50" s="8" t="n"/>
      <c r="V50" s="8" t="n"/>
      <c r="W50" s="8" t="n"/>
      <c r="X50" s="8" t="n"/>
      <c r="Y50" s="8" t="n"/>
      <c r="Z50" s="8" t="n"/>
      <c r="AA50" s="8" t="n"/>
      <c r="AB50" s="8" t="n"/>
      <c r="AC50" s="6">
        <f>IF(B50="","",IF(D50="RECT",IF(OR(E50="",F50=""),"",2*(E50+F50)),SUMIFS(INPUT_Segments!$D:$D,INPUT_Segments!$A:$A,A50,INPUT_Segments!$B:$B,B50)))</f>
        <v/>
      </c>
      <c r="AD50" s="6">
        <f>IF(AC50="","", (AC50*G50)/144)</f>
        <v/>
      </c>
      <c r="AE50" s="6">
        <f>IF(B50="","",IF(D50="RECT",IF(OR(E50="",F50=""),"",(E50*F50)/144),IF(I50="", "", I50)))</f>
        <v/>
      </c>
      <c r="AF50" s="6">
        <f>IF(AC50="","",MAX(0,AC50 - SUMPRODUCT((INPUT_Openings!$A:$A=A50)*(INPUT_Openings!$B:$B=B50)*(XLOOKUP(INPUT_Openings!$C:$C,Constants!$A$30:$A$200,Constants!$C$30:$C$200,"",0))*(INPUT_Openings!$D:$D)*(XLOOKUP(INPUT_Openings!$C:$C,Constants!$A$30:$A$200,Constants!$B$30:$B$200,"",0)="Door")) - IF(D50="RECT",IF(J50="",0,J50),SUMIFS(INPUT_Segments!$E:$E,INPUT_Segments!$A:$A,A50,INPUT_Segments!$B:$B,B50)))/12)</f>
        <v/>
      </c>
      <c r="AG50" s="6">
        <f>IF(AC50="","",AC50/12)</f>
        <v/>
      </c>
      <c r="AH50" s="8" t="n"/>
      <c r="AI50" s="8" t="n"/>
    </row>
    <row r="51">
      <c r="A51" s="8" t="n"/>
      <c r="B51" s="8" t="n"/>
      <c r="C51" s="8" t="n"/>
      <c r="D51" s="8" t="n"/>
      <c r="E51" s="8" t="n"/>
      <c r="F51" s="8" t="n"/>
      <c r="G51" s="8" t="n"/>
      <c r="H51" s="8">
        <f>IF($B51="","",$G51)</f>
        <v/>
      </c>
      <c r="I51" s="8" t="n"/>
      <c r="J51" s="8" t="n"/>
      <c r="K51" s="8" t="n"/>
      <c r="L51" s="8" t="n"/>
      <c r="M51" s="8" t="n"/>
      <c r="N51" s="8" t="n"/>
      <c r="O51" s="8" t="n"/>
      <c r="P51" s="8" t="n"/>
      <c r="Q51" s="8" t="n"/>
      <c r="R51" s="8" t="n"/>
      <c r="S51" s="8" t="n"/>
      <c r="T51" s="8" t="n"/>
      <c r="U51" s="8" t="n"/>
      <c r="V51" s="8" t="n"/>
      <c r="W51" s="8" t="n"/>
      <c r="X51" s="8" t="n"/>
      <c r="Y51" s="8" t="n"/>
      <c r="Z51" s="8" t="n"/>
      <c r="AA51" s="8" t="n"/>
      <c r="AB51" s="8" t="n"/>
      <c r="AC51" s="6">
        <f>IF(B51="","",IF(D51="RECT",IF(OR(E51="",F51=""),"",2*(E51+F51)),SUMIFS(INPUT_Segments!$D:$D,INPUT_Segments!$A:$A,A51,INPUT_Segments!$B:$B,B51)))</f>
        <v/>
      </c>
      <c r="AD51" s="6">
        <f>IF(AC51="","", (AC51*G51)/144)</f>
        <v/>
      </c>
      <c r="AE51" s="6">
        <f>IF(B51="","",IF(D51="RECT",IF(OR(E51="",F51=""),"",(E51*F51)/144),IF(I51="", "", I51)))</f>
        <v/>
      </c>
      <c r="AF51" s="6">
        <f>IF(AC51="","",MAX(0,AC51 - SUMPRODUCT((INPUT_Openings!$A:$A=A51)*(INPUT_Openings!$B:$B=B51)*(XLOOKUP(INPUT_Openings!$C:$C,Constants!$A$30:$A$200,Constants!$C$30:$C$200,"",0))*(INPUT_Openings!$D:$D)*(XLOOKUP(INPUT_Openings!$C:$C,Constants!$A$30:$A$200,Constants!$B$30:$B$200,"",0)="Door")) - IF(D51="RECT",IF(J51="",0,J51),SUMIFS(INPUT_Segments!$E:$E,INPUT_Segments!$A:$A,A51,INPUT_Segments!$B:$B,B51)))/12)</f>
        <v/>
      </c>
      <c r="AG51" s="6">
        <f>IF(AC51="","",AC51/12)</f>
        <v/>
      </c>
      <c r="AH51" s="8" t="n"/>
      <c r="AI51" s="8" t="n"/>
    </row>
    <row r="52">
      <c r="A52" s="8" t="n"/>
      <c r="B52" s="8" t="n"/>
      <c r="C52" s="8" t="n"/>
      <c r="D52" s="8" t="n"/>
      <c r="E52" s="8" t="n"/>
      <c r="F52" s="8" t="n"/>
      <c r="G52" s="8" t="n"/>
      <c r="H52" s="8">
        <f>IF($B52="","",$G52)</f>
        <v/>
      </c>
      <c r="I52" s="8" t="n"/>
      <c r="J52" s="8" t="n"/>
      <c r="K52" s="8" t="n"/>
      <c r="L52" s="8" t="n"/>
      <c r="M52" s="8" t="n"/>
      <c r="N52" s="8" t="n"/>
      <c r="O52" s="8" t="n"/>
      <c r="P52" s="8" t="n"/>
      <c r="Q52" s="8" t="n"/>
      <c r="R52" s="8" t="n"/>
      <c r="S52" s="8" t="n"/>
      <c r="T52" s="8" t="n"/>
      <c r="U52" s="8" t="n"/>
      <c r="V52" s="8" t="n"/>
      <c r="W52" s="8" t="n"/>
      <c r="X52" s="8" t="n"/>
      <c r="Y52" s="8" t="n"/>
      <c r="Z52" s="8" t="n"/>
      <c r="AA52" s="8" t="n"/>
      <c r="AB52" s="8" t="n"/>
      <c r="AC52" s="6">
        <f>IF(B52="","",IF(D52="RECT",IF(OR(E52="",F52=""),"",2*(E52+F52)),SUMIFS(INPUT_Segments!$D:$D,INPUT_Segments!$A:$A,A52,INPUT_Segments!$B:$B,B52)))</f>
        <v/>
      </c>
      <c r="AD52" s="6">
        <f>IF(AC52="","", (AC52*G52)/144)</f>
        <v/>
      </c>
      <c r="AE52" s="6">
        <f>IF(B52="","",IF(D52="RECT",IF(OR(E52="",F52=""),"",(E52*F52)/144),IF(I52="", "", I52)))</f>
        <v/>
      </c>
      <c r="AF52" s="6">
        <f>IF(AC52="","",MAX(0,AC52 - SUMPRODUCT((INPUT_Openings!$A:$A=A52)*(INPUT_Openings!$B:$B=B52)*(XLOOKUP(INPUT_Openings!$C:$C,Constants!$A$30:$A$200,Constants!$C$30:$C$200,"",0))*(INPUT_Openings!$D:$D)*(XLOOKUP(INPUT_Openings!$C:$C,Constants!$A$30:$A$200,Constants!$B$30:$B$200,"",0)="Door")) - IF(D52="RECT",IF(J52="",0,J52),SUMIFS(INPUT_Segments!$E:$E,INPUT_Segments!$A:$A,A52,INPUT_Segments!$B:$B,B52)))/12)</f>
        <v/>
      </c>
      <c r="AG52" s="6">
        <f>IF(AC52="","",AC52/12)</f>
        <v/>
      </c>
      <c r="AH52" s="8" t="n"/>
      <c r="AI52" s="8" t="n"/>
    </row>
    <row r="53">
      <c r="A53" s="8" t="n"/>
      <c r="B53" s="8" t="n"/>
      <c r="C53" s="8" t="n"/>
      <c r="D53" s="8" t="n"/>
      <c r="E53" s="8" t="n"/>
      <c r="F53" s="8" t="n"/>
      <c r="G53" s="8" t="n"/>
      <c r="H53" s="8">
        <f>IF($B53="","",$G53)</f>
        <v/>
      </c>
      <c r="I53" s="8" t="n"/>
      <c r="J53" s="8" t="n"/>
      <c r="K53" s="8" t="n"/>
      <c r="L53" s="8" t="n"/>
      <c r="M53" s="8" t="n"/>
      <c r="N53" s="8" t="n"/>
      <c r="O53" s="8" t="n"/>
      <c r="P53" s="8" t="n"/>
      <c r="Q53" s="8" t="n"/>
      <c r="R53" s="8" t="n"/>
      <c r="S53" s="8" t="n"/>
      <c r="T53" s="8" t="n"/>
      <c r="U53" s="8" t="n"/>
      <c r="V53" s="8" t="n"/>
      <c r="W53" s="8" t="n"/>
      <c r="X53" s="8" t="n"/>
      <c r="Y53" s="8" t="n"/>
      <c r="Z53" s="8" t="n"/>
      <c r="AA53" s="8" t="n"/>
      <c r="AB53" s="8" t="n"/>
      <c r="AC53" s="6">
        <f>IF(B53="","",IF(D53="RECT",IF(OR(E53="",F53=""),"",2*(E53+F53)),SUMIFS(INPUT_Segments!$D:$D,INPUT_Segments!$A:$A,A53,INPUT_Segments!$B:$B,B53)))</f>
        <v/>
      </c>
      <c r="AD53" s="6">
        <f>IF(AC53="","", (AC53*G53)/144)</f>
        <v/>
      </c>
      <c r="AE53" s="6">
        <f>IF(B53="","",IF(D53="RECT",IF(OR(E53="",F53=""),"",(E53*F53)/144),IF(I53="", "", I53)))</f>
        <v/>
      </c>
      <c r="AF53" s="6">
        <f>IF(AC53="","",MAX(0,AC53 - SUMPRODUCT((INPUT_Openings!$A:$A=A53)*(INPUT_Openings!$B:$B=B53)*(XLOOKUP(INPUT_Openings!$C:$C,Constants!$A$30:$A$200,Constants!$C$30:$C$200,"",0))*(INPUT_Openings!$D:$D)*(XLOOKUP(INPUT_Openings!$C:$C,Constants!$A$30:$A$200,Constants!$B$30:$B$200,"",0)="Door")) - IF(D53="RECT",IF(J53="",0,J53),SUMIFS(INPUT_Segments!$E:$E,INPUT_Segments!$A:$A,A53,INPUT_Segments!$B:$B,B53)))/12)</f>
        <v/>
      </c>
      <c r="AG53" s="6">
        <f>IF(AC53="","",AC53/12)</f>
        <v/>
      </c>
      <c r="AH53" s="8" t="n"/>
      <c r="AI53" s="8" t="n"/>
    </row>
    <row r="54">
      <c r="A54" s="8" t="n"/>
      <c r="B54" s="8" t="n"/>
      <c r="C54" s="8" t="n"/>
      <c r="D54" s="8" t="n"/>
      <c r="E54" s="8" t="n"/>
      <c r="F54" s="8" t="n"/>
      <c r="G54" s="8" t="n"/>
      <c r="H54" s="8">
        <f>IF($B54="","",$G54)</f>
        <v/>
      </c>
      <c r="I54" s="8" t="n"/>
      <c r="J54" s="8" t="n"/>
      <c r="K54" s="8" t="n"/>
      <c r="L54" s="8" t="n"/>
      <c r="M54" s="8" t="n"/>
      <c r="N54" s="8" t="n"/>
      <c r="O54" s="8" t="n"/>
      <c r="P54" s="8" t="n"/>
      <c r="Q54" s="8" t="n"/>
      <c r="R54" s="8" t="n"/>
      <c r="S54" s="8" t="n"/>
      <c r="T54" s="8" t="n"/>
      <c r="U54" s="8" t="n"/>
      <c r="V54" s="8" t="n"/>
      <c r="W54" s="8" t="n"/>
      <c r="X54" s="8" t="n"/>
      <c r="Y54" s="8" t="n"/>
      <c r="Z54" s="8" t="n"/>
      <c r="AA54" s="8" t="n"/>
      <c r="AB54" s="8" t="n"/>
      <c r="AC54" s="6">
        <f>IF(B54="","",IF(D54="RECT",IF(OR(E54="",F54=""),"",2*(E54+F54)),SUMIFS(INPUT_Segments!$D:$D,INPUT_Segments!$A:$A,A54,INPUT_Segments!$B:$B,B54)))</f>
        <v/>
      </c>
      <c r="AD54" s="6">
        <f>IF(AC54="","", (AC54*G54)/144)</f>
        <v/>
      </c>
      <c r="AE54" s="6">
        <f>IF(B54="","",IF(D54="RECT",IF(OR(E54="",F54=""),"",(E54*F54)/144),IF(I54="", "", I54)))</f>
        <v/>
      </c>
      <c r="AF54" s="6">
        <f>IF(AC54="","",MAX(0,AC54 - SUMPRODUCT((INPUT_Openings!$A:$A=A54)*(INPUT_Openings!$B:$B=B54)*(XLOOKUP(INPUT_Openings!$C:$C,Constants!$A$30:$A$200,Constants!$C$30:$C$200,"",0))*(INPUT_Openings!$D:$D)*(XLOOKUP(INPUT_Openings!$C:$C,Constants!$A$30:$A$200,Constants!$B$30:$B$200,"",0)="Door")) - IF(D54="RECT",IF(J54="",0,J54),SUMIFS(INPUT_Segments!$E:$E,INPUT_Segments!$A:$A,A54,INPUT_Segments!$B:$B,B54)))/12)</f>
        <v/>
      </c>
      <c r="AG54" s="6">
        <f>IF(AC54="","",AC54/12)</f>
        <v/>
      </c>
      <c r="AH54" s="8" t="n"/>
      <c r="AI54" s="8" t="n"/>
    </row>
    <row r="55">
      <c r="A55" s="8" t="n"/>
      <c r="B55" s="8" t="n"/>
      <c r="C55" s="8" t="n"/>
      <c r="D55" s="8" t="n"/>
      <c r="E55" s="8" t="n"/>
      <c r="F55" s="8" t="n"/>
      <c r="G55" s="8" t="n"/>
      <c r="H55" s="8">
        <f>IF($B55="","",$G55)</f>
        <v/>
      </c>
      <c r="I55" s="8" t="n"/>
      <c r="J55" s="8" t="n"/>
      <c r="K55" s="8" t="n"/>
      <c r="L55" s="8" t="n"/>
      <c r="M55" s="8" t="n"/>
      <c r="N55" s="8" t="n"/>
      <c r="O55" s="8" t="n"/>
      <c r="P55" s="8" t="n"/>
      <c r="Q55" s="8" t="n"/>
      <c r="R55" s="8" t="n"/>
      <c r="S55" s="8" t="n"/>
      <c r="T55" s="8" t="n"/>
      <c r="U55" s="8" t="n"/>
      <c r="V55" s="8" t="n"/>
      <c r="W55" s="8" t="n"/>
      <c r="X55" s="8" t="n"/>
      <c r="Y55" s="8" t="n"/>
      <c r="Z55" s="8" t="n"/>
      <c r="AA55" s="8" t="n"/>
      <c r="AB55" s="8" t="n"/>
      <c r="AC55" s="6">
        <f>IF(B55="","",IF(D55="RECT",IF(OR(E55="",F55=""),"",2*(E55+F55)),SUMIFS(INPUT_Segments!$D:$D,INPUT_Segments!$A:$A,A55,INPUT_Segments!$B:$B,B55)))</f>
        <v/>
      </c>
      <c r="AD55" s="6">
        <f>IF(AC55="","", (AC55*G55)/144)</f>
        <v/>
      </c>
      <c r="AE55" s="6">
        <f>IF(B55="","",IF(D55="RECT",IF(OR(E55="",F55=""),"",(E55*F55)/144),IF(I55="", "", I55)))</f>
        <v/>
      </c>
      <c r="AF55" s="6">
        <f>IF(AC55="","",MAX(0,AC55 - SUMPRODUCT((INPUT_Openings!$A:$A=A55)*(INPUT_Openings!$B:$B=B55)*(XLOOKUP(INPUT_Openings!$C:$C,Constants!$A$30:$A$200,Constants!$C$30:$C$200,"",0))*(INPUT_Openings!$D:$D)*(XLOOKUP(INPUT_Openings!$C:$C,Constants!$A$30:$A$200,Constants!$B$30:$B$200,"",0)="Door")) - IF(D55="RECT",IF(J55="",0,J55),SUMIFS(INPUT_Segments!$E:$E,INPUT_Segments!$A:$A,A55,INPUT_Segments!$B:$B,B55)))/12)</f>
        <v/>
      </c>
      <c r="AG55" s="6">
        <f>IF(AC55="","",AC55/12)</f>
        <v/>
      </c>
      <c r="AH55" s="8" t="n"/>
      <c r="AI55" s="8" t="n"/>
    </row>
    <row r="56">
      <c r="A56" s="8" t="n"/>
      <c r="B56" s="8" t="n"/>
      <c r="C56" s="8" t="n"/>
      <c r="D56" s="8" t="n"/>
      <c r="E56" s="8" t="n"/>
      <c r="F56" s="8" t="n"/>
      <c r="G56" s="8" t="n"/>
      <c r="H56" s="8">
        <f>IF($B56="","",$G56)</f>
        <v/>
      </c>
      <c r="I56" s="8" t="n"/>
      <c r="J56" s="8" t="n"/>
      <c r="K56" s="8" t="n"/>
      <c r="L56" s="8" t="n"/>
      <c r="M56" s="8" t="n"/>
      <c r="N56" s="8" t="n"/>
      <c r="O56" s="8" t="n"/>
      <c r="P56" s="8" t="n"/>
      <c r="Q56" s="8" t="n"/>
      <c r="R56" s="8" t="n"/>
      <c r="S56" s="8" t="n"/>
      <c r="T56" s="8" t="n"/>
      <c r="U56" s="8" t="n"/>
      <c r="V56" s="8" t="n"/>
      <c r="W56" s="8" t="n"/>
      <c r="X56" s="8" t="n"/>
      <c r="Y56" s="8" t="n"/>
      <c r="Z56" s="8" t="n"/>
      <c r="AA56" s="8" t="n"/>
      <c r="AB56" s="8" t="n"/>
      <c r="AC56" s="6">
        <f>IF(B56="","",IF(D56="RECT",IF(OR(E56="",F56=""),"",2*(E56+F56)),SUMIFS(INPUT_Segments!$D:$D,INPUT_Segments!$A:$A,A56,INPUT_Segments!$B:$B,B56)))</f>
        <v/>
      </c>
      <c r="AD56" s="6">
        <f>IF(AC56="","", (AC56*G56)/144)</f>
        <v/>
      </c>
      <c r="AE56" s="6">
        <f>IF(B56="","",IF(D56="RECT",IF(OR(E56="",F56=""),"",(E56*F56)/144),IF(I56="", "", I56)))</f>
        <v/>
      </c>
      <c r="AF56" s="6">
        <f>IF(AC56="","",MAX(0,AC56 - SUMPRODUCT((INPUT_Openings!$A:$A=A56)*(INPUT_Openings!$B:$B=B56)*(XLOOKUP(INPUT_Openings!$C:$C,Constants!$A$30:$A$200,Constants!$C$30:$C$200,"",0))*(INPUT_Openings!$D:$D)*(XLOOKUP(INPUT_Openings!$C:$C,Constants!$A$30:$A$200,Constants!$B$30:$B$200,"",0)="Door")) - IF(D56="RECT",IF(J56="",0,J56),SUMIFS(INPUT_Segments!$E:$E,INPUT_Segments!$A:$A,A56,INPUT_Segments!$B:$B,B56)))/12)</f>
        <v/>
      </c>
      <c r="AG56" s="6">
        <f>IF(AC56="","",AC56/12)</f>
        <v/>
      </c>
      <c r="AH56" s="8" t="n"/>
      <c r="AI56" s="8" t="n"/>
    </row>
    <row r="57">
      <c r="A57" s="8" t="n"/>
      <c r="B57" s="8" t="n"/>
      <c r="C57" s="8" t="n"/>
      <c r="D57" s="8" t="n"/>
      <c r="E57" s="8" t="n"/>
      <c r="F57" s="8" t="n"/>
      <c r="G57" s="8" t="n"/>
      <c r="H57" s="8">
        <f>IF($B57="","",$G57)</f>
        <v/>
      </c>
      <c r="I57" s="8" t="n"/>
      <c r="J57" s="8" t="n"/>
      <c r="K57" s="8" t="n"/>
      <c r="L57" s="8" t="n"/>
      <c r="M57" s="8" t="n"/>
      <c r="N57" s="8" t="n"/>
      <c r="O57" s="8" t="n"/>
      <c r="P57" s="8" t="n"/>
      <c r="Q57" s="8" t="n"/>
      <c r="R57" s="8" t="n"/>
      <c r="S57" s="8" t="n"/>
      <c r="T57" s="8" t="n"/>
      <c r="U57" s="8" t="n"/>
      <c r="V57" s="8" t="n"/>
      <c r="W57" s="8" t="n"/>
      <c r="X57" s="8" t="n"/>
      <c r="Y57" s="8" t="n"/>
      <c r="Z57" s="8" t="n"/>
      <c r="AA57" s="8" t="n"/>
      <c r="AB57" s="8" t="n"/>
      <c r="AC57" s="6">
        <f>IF(B57="","",IF(D57="RECT",IF(OR(E57="",F57=""),"",2*(E57+F57)),SUMIFS(INPUT_Segments!$D:$D,INPUT_Segments!$A:$A,A57,INPUT_Segments!$B:$B,B57)))</f>
        <v/>
      </c>
      <c r="AD57" s="6">
        <f>IF(AC57="","", (AC57*G57)/144)</f>
        <v/>
      </c>
      <c r="AE57" s="6">
        <f>IF(B57="","",IF(D57="RECT",IF(OR(E57="",F57=""),"",(E57*F57)/144),IF(I57="", "", I57)))</f>
        <v/>
      </c>
      <c r="AF57" s="6">
        <f>IF(AC57="","",MAX(0,AC57 - SUMPRODUCT((INPUT_Openings!$A:$A=A57)*(INPUT_Openings!$B:$B=B57)*(XLOOKUP(INPUT_Openings!$C:$C,Constants!$A$30:$A$200,Constants!$C$30:$C$200,"",0))*(INPUT_Openings!$D:$D)*(XLOOKUP(INPUT_Openings!$C:$C,Constants!$A$30:$A$200,Constants!$B$30:$B$200,"",0)="Door")) - IF(D57="RECT",IF(J57="",0,J57),SUMIFS(INPUT_Segments!$E:$E,INPUT_Segments!$A:$A,A57,INPUT_Segments!$B:$B,B57)))/12)</f>
        <v/>
      </c>
      <c r="AG57" s="6">
        <f>IF(AC57="","",AC57/12)</f>
        <v/>
      </c>
      <c r="AH57" s="8" t="n"/>
      <c r="AI57" s="8" t="n"/>
    </row>
    <row r="58">
      <c r="A58" s="8" t="n"/>
      <c r="B58" s="8" t="n"/>
      <c r="C58" s="8" t="n"/>
      <c r="D58" s="8" t="n"/>
      <c r="E58" s="8" t="n"/>
      <c r="F58" s="8" t="n"/>
      <c r="G58" s="8" t="n"/>
      <c r="H58" s="8">
        <f>IF($B58="","",$G58)</f>
        <v/>
      </c>
      <c r="I58" s="8" t="n"/>
      <c r="J58" s="8" t="n"/>
      <c r="K58" s="8" t="n"/>
      <c r="L58" s="8" t="n"/>
      <c r="M58" s="8" t="n"/>
      <c r="N58" s="8" t="n"/>
      <c r="O58" s="8" t="n"/>
      <c r="P58" s="8" t="n"/>
      <c r="Q58" s="8" t="n"/>
      <c r="R58" s="8" t="n"/>
      <c r="S58" s="8" t="n"/>
      <c r="T58" s="8" t="n"/>
      <c r="U58" s="8" t="n"/>
      <c r="V58" s="8" t="n"/>
      <c r="W58" s="8" t="n"/>
      <c r="X58" s="8" t="n"/>
      <c r="Y58" s="8" t="n"/>
      <c r="Z58" s="8" t="n"/>
      <c r="AA58" s="8" t="n"/>
      <c r="AB58" s="8" t="n"/>
      <c r="AC58" s="6">
        <f>IF(B58="","",IF(D58="RECT",IF(OR(E58="",F58=""),"",2*(E58+F58)),SUMIFS(INPUT_Segments!$D:$D,INPUT_Segments!$A:$A,A58,INPUT_Segments!$B:$B,B58)))</f>
        <v/>
      </c>
      <c r="AD58" s="6">
        <f>IF(AC58="","", (AC58*G58)/144)</f>
        <v/>
      </c>
      <c r="AE58" s="6">
        <f>IF(B58="","",IF(D58="RECT",IF(OR(E58="",F58=""),"",(E58*F58)/144),IF(I58="", "", I58)))</f>
        <v/>
      </c>
      <c r="AF58" s="6">
        <f>IF(AC58="","",MAX(0,AC58 - SUMPRODUCT((INPUT_Openings!$A:$A=A58)*(INPUT_Openings!$B:$B=B58)*(XLOOKUP(INPUT_Openings!$C:$C,Constants!$A$30:$A$200,Constants!$C$30:$C$200,"",0))*(INPUT_Openings!$D:$D)*(XLOOKUP(INPUT_Openings!$C:$C,Constants!$A$30:$A$200,Constants!$B$30:$B$200,"",0)="Door")) - IF(D58="RECT",IF(J58="",0,J58),SUMIFS(INPUT_Segments!$E:$E,INPUT_Segments!$A:$A,A58,INPUT_Segments!$B:$B,B58)))/12)</f>
        <v/>
      </c>
      <c r="AG58" s="6">
        <f>IF(AC58="","",AC58/12)</f>
        <v/>
      </c>
      <c r="AH58" s="8" t="n"/>
      <c r="AI58" s="8" t="n"/>
    </row>
    <row r="59">
      <c r="A59" s="8" t="n"/>
      <c r="B59" s="8" t="n"/>
      <c r="C59" s="8" t="n"/>
      <c r="D59" s="8" t="n"/>
      <c r="E59" s="8" t="n"/>
      <c r="F59" s="8" t="n"/>
      <c r="G59" s="8" t="n"/>
      <c r="H59" s="8">
        <f>IF($B59="","",$G59)</f>
        <v/>
      </c>
      <c r="I59" s="8" t="n"/>
      <c r="J59" s="8" t="n"/>
      <c r="K59" s="8" t="n"/>
      <c r="L59" s="8" t="n"/>
      <c r="M59" s="8" t="n"/>
      <c r="N59" s="8" t="n"/>
      <c r="O59" s="8" t="n"/>
      <c r="P59" s="8" t="n"/>
      <c r="Q59" s="8" t="n"/>
      <c r="R59" s="8" t="n"/>
      <c r="S59" s="8" t="n"/>
      <c r="T59" s="8" t="n"/>
      <c r="U59" s="8" t="n"/>
      <c r="V59" s="8" t="n"/>
      <c r="W59" s="8" t="n"/>
      <c r="X59" s="8" t="n"/>
      <c r="Y59" s="8" t="n"/>
      <c r="Z59" s="8" t="n"/>
      <c r="AA59" s="8" t="n"/>
      <c r="AB59" s="8" t="n"/>
      <c r="AC59" s="6">
        <f>IF(B59="","",IF(D59="RECT",IF(OR(E59="",F59=""),"",2*(E59+F59)),SUMIFS(INPUT_Segments!$D:$D,INPUT_Segments!$A:$A,A59,INPUT_Segments!$B:$B,B59)))</f>
        <v/>
      </c>
      <c r="AD59" s="6">
        <f>IF(AC59="","", (AC59*G59)/144)</f>
        <v/>
      </c>
      <c r="AE59" s="6">
        <f>IF(B59="","",IF(D59="RECT",IF(OR(E59="",F59=""),"",(E59*F59)/144),IF(I59="", "", I59)))</f>
        <v/>
      </c>
      <c r="AF59" s="6">
        <f>IF(AC59="","",MAX(0,AC59 - SUMPRODUCT((INPUT_Openings!$A:$A=A59)*(INPUT_Openings!$B:$B=B59)*(XLOOKUP(INPUT_Openings!$C:$C,Constants!$A$30:$A$200,Constants!$C$30:$C$200,"",0))*(INPUT_Openings!$D:$D)*(XLOOKUP(INPUT_Openings!$C:$C,Constants!$A$30:$A$200,Constants!$B$30:$B$200,"",0)="Door")) - IF(D59="RECT",IF(J59="",0,J59),SUMIFS(INPUT_Segments!$E:$E,INPUT_Segments!$A:$A,A59,INPUT_Segments!$B:$B,B59)))/12)</f>
        <v/>
      </c>
      <c r="AG59" s="6">
        <f>IF(AC59="","",AC59/12)</f>
        <v/>
      </c>
      <c r="AH59" s="8" t="n"/>
      <c r="AI59" s="8" t="n"/>
    </row>
    <row r="60">
      <c r="A60" s="8" t="n"/>
      <c r="B60" s="8" t="n"/>
      <c r="C60" s="8" t="n"/>
      <c r="D60" s="8" t="n"/>
      <c r="E60" s="8" t="n"/>
      <c r="F60" s="8" t="n"/>
      <c r="G60" s="8" t="n"/>
      <c r="H60" s="8">
        <f>IF($B60="","",$G60)</f>
        <v/>
      </c>
      <c r="I60" s="8" t="n"/>
      <c r="J60" s="8" t="n"/>
      <c r="K60" s="8" t="n"/>
      <c r="L60" s="8" t="n"/>
      <c r="M60" s="8" t="n"/>
      <c r="N60" s="8" t="n"/>
      <c r="O60" s="8" t="n"/>
      <c r="P60" s="8" t="n"/>
      <c r="Q60" s="8" t="n"/>
      <c r="R60" s="8" t="n"/>
      <c r="S60" s="8" t="n"/>
      <c r="T60" s="8" t="n"/>
      <c r="U60" s="8" t="n"/>
      <c r="V60" s="8" t="n"/>
      <c r="W60" s="8" t="n"/>
      <c r="X60" s="8" t="n"/>
      <c r="Y60" s="8" t="n"/>
      <c r="Z60" s="8" t="n"/>
      <c r="AA60" s="8" t="n"/>
      <c r="AB60" s="8" t="n"/>
      <c r="AC60" s="6">
        <f>IF(B60="","",IF(D60="RECT",IF(OR(E60="",F60=""),"",2*(E60+F60)),SUMIFS(INPUT_Segments!$D:$D,INPUT_Segments!$A:$A,A60,INPUT_Segments!$B:$B,B60)))</f>
        <v/>
      </c>
      <c r="AD60" s="6">
        <f>IF(AC60="","", (AC60*G60)/144)</f>
        <v/>
      </c>
      <c r="AE60" s="6">
        <f>IF(B60="","",IF(D60="RECT",IF(OR(E60="",F60=""),"",(E60*F60)/144),IF(I60="", "", I60)))</f>
        <v/>
      </c>
      <c r="AF60" s="6">
        <f>IF(AC60="","",MAX(0,AC60 - SUMPRODUCT((INPUT_Openings!$A:$A=A60)*(INPUT_Openings!$B:$B=B60)*(XLOOKUP(INPUT_Openings!$C:$C,Constants!$A$30:$A$200,Constants!$C$30:$C$200,"",0))*(INPUT_Openings!$D:$D)*(XLOOKUP(INPUT_Openings!$C:$C,Constants!$A$30:$A$200,Constants!$B$30:$B$200,"",0)="Door")) - IF(D60="RECT",IF(J60="",0,J60),SUMIFS(INPUT_Segments!$E:$E,INPUT_Segments!$A:$A,A60,INPUT_Segments!$B:$B,B60)))/12)</f>
        <v/>
      </c>
      <c r="AG60" s="6">
        <f>IF(AC60="","",AC60/12)</f>
        <v/>
      </c>
      <c r="AH60" s="8" t="n"/>
      <c r="AI60" s="8" t="n"/>
    </row>
    <row r="61">
      <c r="A61" s="8" t="n"/>
      <c r="B61" s="8" t="n"/>
      <c r="C61" s="8" t="n"/>
      <c r="D61" s="8" t="n"/>
      <c r="E61" s="8" t="n"/>
      <c r="F61" s="8" t="n"/>
      <c r="G61" s="8" t="n"/>
      <c r="H61" s="8">
        <f>IF($B61="","",$G61)</f>
        <v/>
      </c>
      <c r="I61" s="8" t="n"/>
      <c r="J61" s="8" t="n"/>
      <c r="K61" s="8" t="n"/>
      <c r="L61" s="8" t="n"/>
      <c r="M61" s="8" t="n"/>
      <c r="N61" s="8" t="n"/>
      <c r="O61" s="8" t="n"/>
      <c r="P61" s="8" t="n"/>
      <c r="Q61" s="8" t="n"/>
      <c r="R61" s="8" t="n"/>
      <c r="S61" s="8" t="n"/>
      <c r="T61" s="8" t="n"/>
      <c r="U61" s="8" t="n"/>
      <c r="V61" s="8" t="n"/>
      <c r="W61" s="8" t="n"/>
      <c r="X61" s="8" t="n"/>
      <c r="Y61" s="8" t="n"/>
      <c r="Z61" s="8" t="n"/>
      <c r="AA61" s="8" t="n"/>
      <c r="AB61" s="8" t="n"/>
      <c r="AC61" s="6">
        <f>IF(B61="","",IF(D61="RECT",IF(OR(E61="",F61=""),"",2*(E61+F61)),SUMIFS(INPUT_Segments!$D:$D,INPUT_Segments!$A:$A,A61,INPUT_Segments!$B:$B,B61)))</f>
        <v/>
      </c>
      <c r="AD61" s="6">
        <f>IF(AC61="","", (AC61*G61)/144)</f>
        <v/>
      </c>
      <c r="AE61" s="6">
        <f>IF(B61="","",IF(D61="RECT",IF(OR(E61="",F61=""),"",(E61*F61)/144),IF(I61="", "", I61)))</f>
        <v/>
      </c>
      <c r="AF61" s="6">
        <f>IF(AC61="","",MAX(0,AC61 - SUMPRODUCT((INPUT_Openings!$A:$A=A61)*(INPUT_Openings!$B:$B=B61)*(XLOOKUP(INPUT_Openings!$C:$C,Constants!$A$30:$A$200,Constants!$C$30:$C$200,"",0))*(INPUT_Openings!$D:$D)*(XLOOKUP(INPUT_Openings!$C:$C,Constants!$A$30:$A$200,Constants!$B$30:$B$200,"",0)="Door")) - IF(D61="RECT",IF(J61="",0,J61),SUMIFS(INPUT_Segments!$E:$E,INPUT_Segments!$A:$A,A61,INPUT_Segments!$B:$B,B61)))/12)</f>
        <v/>
      </c>
      <c r="AG61" s="6">
        <f>IF(AC61="","",AC61/12)</f>
        <v/>
      </c>
      <c r="AH61" s="8" t="n"/>
      <c r="AI61" s="8" t="n"/>
    </row>
    <row r="62">
      <c r="A62" s="8" t="n"/>
      <c r="B62" s="8" t="n"/>
      <c r="C62" s="8" t="n"/>
      <c r="D62" s="8" t="n"/>
      <c r="E62" s="8" t="n"/>
      <c r="F62" s="8" t="n"/>
      <c r="G62" s="8" t="n"/>
      <c r="H62" s="8">
        <f>IF($B62="","",$G62)</f>
        <v/>
      </c>
      <c r="I62" s="8" t="n"/>
      <c r="J62" s="8" t="n"/>
      <c r="K62" s="8" t="n"/>
      <c r="L62" s="8" t="n"/>
      <c r="M62" s="8" t="n"/>
      <c r="N62" s="8" t="n"/>
      <c r="O62" s="8" t="n"/>
      <c r="P62" s="8" t="n"/>
      <c r="Q62" s="8" t="n"/>
      <c r="R62" s="8" t="n"/>
      <c r="S62" s="8" t="n"/>
      <c r="T62" s="8" t="n"/>
      <c r="U62" s="8" t="n"/>
      <c r="V62" s="8" t="n"/>
      <c r="W62" s="8" t="n"/>
      <c r="X62" s="8" t="n"/>
      <c r="Y62" s="8" t="n"/>
      <c r="Z62" s="8" t="n"/>
      <c r="AA62" s="8" t="n"/>
      <c r="AB62" s="8" t="n"/>
      <c r="AC62" s="6">
        <f>IF(B62="","",IF(D62="RECT",IF(OR(E62="",F62=""),"",2*(E62+F62)),SUMIFS(INPUT_Segments!$D:$D,INPUT_Segments!$A:$A,A62,INPUT_Segments!$B:$B,B62)))</f>
        <v/>
      </c>
      <c r="AD62" s="6">
        <f>IF(AC62="","", (AC62*G62)/144)</f>
        <v/>
      </c>
      <c r="AE62" s="6">
        <f>IF(B62="","",IF(D62="RECT",IF(OR(E62="",F62=""),"",(E62*F62)/144),IF(I62="", "", I62)))</f>
        <v/>
      </c>
      <c r="AF62" s="6">
        <f>IF(AC62="","",MAX(0,AC62 - SUMPRODUCT((INPUT_Openings!$A:$A=A62)*(INPUT_Openings!$B:$B=B62)*(XLOOKUP(INPUT_Openings!$C:$C,Constants!$A$30:$A$200,Constants!$C$30:$C$200,"",0))*(INPUT_Openings!$D:$D)*(XLOOKUP(INPUT_Openings!$C:$C,Constants!$A$30:$A$200,Constants!$B$30:$B$200,"",0)="Door")) - IF(D62="RECT",IF(J62="",0,J62),SUMIFS(INPUT_Segments!$E:$E,INPUT_Segments!$A:$A,A62,INPUT_Segments!$B:$B,B62)))/12)</f>
        <v/>
      </c>
      <c r="AG62" s="6">
        <f>IF(AC62="","",AC62/12)</f>
        <v/>
      </c>
      <c r="AH62" s="8" t="n"/>
      <c r="AI62" s="8" t="n"/>
    </row>
    <row r="63">
      <c r="A63" s="8" t="n"/>
      <c r="B63" s="8" t="n"/>
      <c r="C63" s="8" t="n"/>
      <c r="D63" s="8" t="n"/>
      <c r="E63" s="8" t="n"/>
      <c r="F63" s="8" t="n"/>
      <c r="G63" s="8" t="n"/>
      <c r="H63" s="8">
        <f>IF($B63="","",$G63)</f>
        <v/>
      </c>
      <c r="I63" s="8" t="n"/>
      <c r="J63" s="8" t="n"/>
      <c r="K63" s="8" t="n"/>
      <c r="L63" s="8" t="n"/>
      <c r="M63" s="8" t="n"/>
      <c r="N63" s="8" t="n"/>
      <c r="O63" s="8" t="n"/>
      <c r="P63" s="8" t="n"/>
      <c r="Q63" s="8" t="n"/>
      <c r="R63" s="8" t="n"/>
      <c r="S63" s="8" t="n"/>
      <c r="T63" s="8" t="n"/>
      <c r="U63" s="8" t="n"/>
      <c r="V63" s="8" t="n"/>
      <c r="W63" s="8" t="n"/>
      <c r="X63" s="8" t="n"/>
      <c r="Y63" s="8" t="n"/>
      <c r="Z63" s="8" t="n"/>
      <c r="AA63" s="8" t="n"/>
      <c r="AB63" s="8" t="n"/>
      <c r="AC63" s="6">
        <f>IF(B63="","",IF(D63="RECT",IF(OR(E63="",F63=""),"",2*(E63+F63)),SUMIFS(INPUT_Segments!$D:$D,INPUT_Segments!$A:$A,A63,INPUT_Segments!$B:$B,B63)))</f>
        <v/>
      </c>
      <c r="AD63" s="6">
        <f>IF(AC63="","", (AC63*G63)/144)</f>
        <v/>
      </c>
      <c r="AE63" s="6">
        <f>IF(B63="","",IF(D63="RECT",IF(OR(E63="",F63=""),"",(E63*F63)/144),IF(I63="", "", I63)))</f>
        <v/>
      </c>
      <c r="AF63" s="6">
        <f>IF(AC63="","",MAX(0,AC63 - SUMPRODUCT((INPUT_Openings!$A:$A=A63)*(INPUT_Openings!$B:$B=B63)*(XLOOKUP(INPUT_Openings!$C:$C,Constants!$A$30:$A$200,Constants!$C$30:$C$200,"",0))*(INPUT_Openings!$D:$D)*(XLOOKUP(INPUT_Openings!$C:$C,Constants!$A$30:$A$200,Constants!$B$30:$B$200,"",0)="Door")) - IF(D63="RECT",IF(J63="",0,J63),SUMIFS(INPUT_Segments!$E:$E,INPUT_Segments!$A:$A,A63,INPUT_Segments!$B:$B,B63)))/12)</f>
        <v/>
      </c>
      <c r="AG63" s="6">
        <f>IF(AC63="","",AC63/12)</f>
        <v/>
      </c>
      <c r="AH63" s="8" t="n"/>
      <c r="AI63" s="8" t="n"/>
    </row>
    <row r="64">
      <c r="A64" s="8" t="n"/>
      <c r="B64" s="8" t="n"/>
      <c r="C64" s="8" t="n"/>
      <c r="D64" s="8" t="n"/>
      <c r="E64" s="8" t="n"/>
      <c r="F64" s="8" t="n"/>
      <c r="G64" s="8" t="n"/>
      <c r="H64" s="8">
        <f>IF($B64="","",$G64)</f>
        <v/>
      </c>
      <c r="I64" s="8" t="n"/>
      <c r="J64" s="8" t="n"/>
      <c r="K64" s="8" t="n"/>
      <c r="L64" s="8" t="n"/>
      <c r="M64" s="8" t="n"/>
      <c r="N64" s="8" t="n"/>
      <c r="O64" s="8" t="n"/>
      <c r="P64" s="8" t="n"/>
      <c r="Q64" s="8" t="n"/>
      <c r="R64" s="8" t="n"/>
      <c r="S64" s="8" t="n"/>
      <c r="T64" s="8" t="n"/>
      <c r="U64" s="8" t="n"/>
      <c r="V64" s="8" t="n"/>
      <c r="W64" s="8" t="n"/>
      <c r="X64" s="8" t="n"/>
      <c r="Y64" s="8" t="n"/>
      <c r="Z64" s="8" t="n"/>
      <c r="AA64" s="8" t="n"/>
      <c r="AB64" s="8" t="n"/>
      <c r="AC64" s="6">
        <f>IF(B64="","",IF(D64="RECT",IF(OR(E64="",F64=""),"",2*(E64+F64)),SUMIFS(INPUT_Segments!$D:$D,INPUT_Segments!$A:$A,A64,INPUT_Segments!$B:$B,B64)))</f>
        <v/>
      </c>
      <c r="AD64" s="6">
        <f>IF(AC64="","", (AC64*G64)/144)</f>
        <v/>
      </c>
      <c r="AE64" s="6">
        <f>IF(B64="","",IF(D64="RECT",IF(OR(E64="",F64=""),"",(E64*F64)/144),IF(I64="", "", I64)))</f>
        <v/>
      </c>
      <c r="AF64" s="6">
        <f>IF(AC64="","",MAX(0,AC64 - SUMPRODUCT((INPUT_Openings!$A:$A=A64)*(INPUT_Openings!$B:$B=B64)*(XLOOKUP(INPUT_Openings!$C:$C,Constants!$A$30:$A$200,Constants!$C$30:$C$200,"",0))*(INPUT_Openings!$D:$D)*(XLOOKUP(INPUT_Openings!$C:$C,Constants!$A$30:$A$200,Constants!$B$30:$B$200,"",0)="Door")) - IF(D64="RECT",IF(J64="",0,J64),SUMIFS(INPUT_Segments!$E:$E,INPUT_Segments!$A:$A,A64,INPUT_Segments!$B:$B,B64)))/12)</f>
        <v/>
      </c>
      <c r="AG64" s="6">
        <f>IF(AC64="","",AC64/12)</f>
        <v/>
      </c>
      <c r="AH64" s="8" t="n"/>
      <c r="AI64" s="8" t="n"/>
    </row>
    <row r="65">
      <c r="A65" s="8" t="n"/>
      <c r="B65" s="8" t="n"/>
      <c r="C65" s="8" t="n"/>
      <c r="D65" s="8" t="n"/>
      <c r="E65" s="8" t="n"/>
      <c r="F65" s="8" t="n"/>
      <c r="G65" s="8" t="n"/>
      <c r="H65" s="8">
        <f>IF($B65="","",$G65)</f>
        <v/>
      </c>
      <c r="I65" s="8" t="n"/>
      <c r="J65" s="8" t="n"/>
      <c r="K65" s="8" t="n"/>
      <c r="L65" s="8" t="n"/>
      <c r="M65" s="8" t="n"/>
      <c r="N65" s="8" t="n"/>
      <c r="O65" s="8" t="n"/>
      <c r="P65" s="8" t="n"/>
      <c r="Q65" s="8" t="n"/>
      <c r="R65" s="8" t="n"/>
      <c r="S65" s="8" t="n"/>
      <c r="T65" s="8" t="n"/>
      <c r="U65" s="8" t="n"/>
      <c r="V65" s="8" t="n"/>
      <c r="W65" s="8" t="n"/>
      <c r="X65" s="8" t="n"/>
      <c r="Y65" s="8" t="n"/>
      <c r="Z65" s="8" t="n"/>
      <c r="AA65" s="8" t="n"/>
      <c r="AB65" s="8" t="n"/>
      <c r="AC65" s="6">
        <f>IF(B65="","",IF(D65="RECT",IF(OR(E65="",F65=""),"",2*(E65+F65)),SUMIFS(INPUT_Segments!$D:$D,INPUT_Segments!$A:$A,A65,INPUT_Segments!$B:$B,B65)))</f>
        <v/>
      </c>
      <c r="AD65" s="6">
        <f>IF(AC65="","", (AC65*G65)/144)</f>
        <v/>
      </c>
      <c r="AE65" s="6">
        <f>IF(B65="","",IF(D65="RECT",IF(OR(E65="",F65=""),"",(E65*F65)/144),IF(I65="", "", I65)))</f>
        <v/>
      </c>
      <c r="AF65" s="6">
        <f>IF(AC65="","",MAX(0,AC65 - SUMPRODUCT((INPUT_Openings!$A:$A=A65)*(INPUT_Openings!$B:$B=B65)*(XLOOKUP(INPUT_Openings!$C:$C,Constants!$A$30:$A$200,Constants!$C$30:$C$200,"",0))*(INPUT_Openings!$D:$D)*(XLOOKUP(INPUT_Openings!$C:$C,Constants!$A$30:$A$200,Constants!$B$30:$B$200,"",0)="Door")) - IF(D65="RECT",IF(J65="",0,J65),SUMIFS(INPUT_Segments!$E:$E,INPUT_Segments!$A:$A,A65,INPUT_Segments!$B:$B,B65)))/12)</f>
        <v/>
      </c>
      <c r="AG65" s="6">
        <f>IF(AC65="","",AC65/12)</f>
        <v/>
      </c>
      <c r="AH65" s="8" t="n"/>
      <c r="AI65" s="8" t="n"/>
    </row>
    <row r="66">
      <c r="A66" s="8" t="n"/>
      <c r="B66" s="8" t="n"/>
      <c r="C66" s="8" t="n"/>
      <c r="D66" s="8" t="n"/>
      <c r="E66" s="8" t="n"/>
      <c r="F66" s="8" t="n"/>
      <c r="G66" s="8" t="n"/>
      <c r="H66" s="8">
        <f>IF($B66="","",$G66)</f>
        <v/>
      </c>
      <c r="I66" s="8" t="n"/>
      <c r="J66" s="8" t="n"/>
      <c r="K66" s="8" t="n"/>
      <c r="L66" s="8" t="n"/>
      <c r="M66" s="8" t="n"/>
      <c r="N66" s="8" t="n"/>
      <c r="O66" s="8" t="n"/>
      <c r="P66" s="8" t="n"/>
      <c r="Q66" s="8" t="n"/>
      <c r="R66" s="8" t="n"/>
      <c r="S66" s="8" t="n"/>
      <c r="T66" s="8" t="n"/>
      <c r="U66" s="8" t="n"/>
      <c r="V66" s="8" t="n"/>
      <c r="W66" s="8" t="n"/>
      <c r="X66" s="8" t="n"/>
      <c r="Y66" s="8" t="n"/>
      <c r="Z66" s="8" t="n"/>
      <c r="AA66" s="8" t="n"/>
      <c r="AB66" s="8" t="n"/>
      <c r="AC66" s="6">
        <f>IF(B66="","",IF(D66="RECT",IF(OR(E66="",F66=""),"",2*(E66+F66)),SUMIFS(INPUT_Segments!$D:$D,INPUT_Segments!$A:$A,A66,INPUT_Segments!$B:$B,B66)))</f>
        <v/>
      </c>
      <c r="AD66" s="6">
        <f>IF(AC66="","", (AC66*G66)/144)</f>
        <v/>
      </c>
      <c r="AE66" s="6">
        <f>IF(B66="","",IF(D66="RECT",IF(OR(E66="",F66=""),"",(E66*F66)/144),IF(I66="", "", I66)))</f>
        <v/>
      </c>
      <c r="AF66" s="6">
        <f>IF(AC66="","",MAX(0,AC66 - SUMPRODUCT((INPUT_Openings!$A:$A=A66)*(INPUT_Openings!$B:$B=B66)*(XLOOKUP(INPUT_Openings!$C:$C,Constants!$A$30:$A$200,Constants!$C$30:$C$200,"",0))*(INPUT_Openings!$D:$D)*(XLOOKUP(INPUT_Openings!$C:$C,Constants!$A$30:$A$200,Constants!$B$30:$B$200,"",0)="Door")) - IF(D66="RECT",IF(J66="",0,J66),SUMIFS(INPUT_Segments!$E:$E,INPUT_Segments!$A:$A,A66,INPUT_Segments!$B:$B,B66)))/12)</f>
        <v/>
      </c>
      <c r="AG66" s="6">
        <f>IF(AC66="","",AC66/12)</f>
        <v/>
      </c>
      <c r="AH66" s="8" t="n"/>
      <c r="AI66" s="8" t="n"/>
    </row>
    <row r="67">
      <c r="A67" s="8" t="n"/>
      <c r="B67" s="8" t="n"/>
      <c r="C67" s="8" t="n"/>
      <c r="D67" s="8" t="n"/>
      <c r="E67" s="8" t="n"/>
      <c r="F67" s="8" t="n"/>
      <c r="G67" s="8" t="n"/>
      <c r="H67" s="8">
        <f>IF($B67="","",$G67)</f>
        <v/>
      </c>
      <c r="I67" s="8" t="n"/>
      <c r="J67" s="8" t="n"/>
      <c r="K67" s="8" t="n"/>
      <c r="L67" s="8" t="n"/>
      <c r="M67" s="8" t="n"/>
      <c r="N67" s="8" t="n"/>
      <c r="O67" s="8" t="n"/>
      <c r="P67" s="8" t="n"/>
      <c r="Q67" s="8" t="n"/>
      <c r="R67" s="8" t="n"/>
      <c r="S67" s="8" t="n"/>
      <c r="T67" s="8" t="n"/>
      <c r="U67" s="8" t="n"/>
      <c r="V67" s="8" t="n"/>
      <c r="W67" s="8" t="n"/>
      <c r="X67" s="8" t="n"/>
      <c r="Y67" s="8" t="n"/>
      <c r="Z67" s="8" t="n"/>
      <c r="AA67" s="8" t="n"/>
      <c r="AB67" s="8" t="n"/>
      <c r="AC67" s="6">
        <f>IF(B67="","",IF(D67="RECT",IF(OR(E67="",F67=""),"",2*(E67+F67)),SUMIFS(INPUT_Segments!$D:$D,INPUT_Segments!$A:$A,A67,INPUT_Segments!$B:$B,B67)))</f>
        <v/>
      </c>
      <c r="AD67" s="6">
        <f>IF(AC67="","", (AC67*G67)/144)</f>
        <v/>
      </c>
      <c r="AE67" s="6">
        <f>IF(B67="","",IF(D67="RECT",IF(OR(E67="",F67=""),"",(E67*F67)/144),IF(I67="", "", I67)))</f>
        <v/>
      </c>
      <c r="AF67" s="6">
        <f>IF(AC67="","",MAX(0,AC67 - SUMPRODUCT((INPUT_Openings!$A:$A=A67)*(INPUT_Openings!$B:$B=B67)*(XLOOKUP(INPUT_Openings!$C:$C,Constants!$A$30:$A$200,Constants!$C$30:$C$200,"",0))*(INPUT_Openings!$D:$D)*(XLOOKUP(INPUT_Openings!$C:$C,Constants!$A$30:$A$200,Constants!$B$30:$B$200,"",0)="Door")) - IF(D67="RECT",IF(J67="",0,J67),SUMIFS(INPUT_Segments!$E:$E,INPUT_Segments!$A:$A,A67,INPUT_Segments!$B:$B,B67)))/12)</f>
        <v/>
      </c>
      <c r="AG67" s="6">
        <f>IF(AC67="","",AC67/12)</f>
        <v/>
      </c>
      <c r="AH67" s="8" t="n"/>
      <c r="AI67" s="8" t="n"/>
    </row>
    <row r="68">
      <c r="A68" s="8" t="n"/>
      <c r="B68" s="8" t="n"/>
      <c r="C68" s="8" t="n"/>
      <c r="D68" s="8" t="n"/>
      <c r="E68" s="8" t="n"/>
      <c r="F68" s="8" t="n"/>
      <c r="G68" s="8" t="n"/>
      <c r="H68" s="8">
        <f>IF($B68="","",$G68)</f>
        <v/>
      </c>
      <c r="I68" s="8" t="n"/>
      <c r="J68" s="8" t="n"/>
      <c r="K68" s="8" t="n"/>
      <c r="L68" s="8" t="n"/>
      <c r="M68" s="8" t="n"/>
      <c r="N68" s="8" t="n"/>
      <c r="O68" s="8" t="n"/>
      <c r="P68" s="8" t="n"/>
      <c r="Q68" s="8" t="n"/>
      <c r="R68" s="8" t="n"/>
      <c r="S68" s="8" t="n"/>
      <c r="T68" s="8" t="n"/>
      <c r="U68" s="8" t="n"/>
      <c r="V68" s="8" t="n"/>
      <c r="W68" s="8" t="n"/>
      <c r="X68" s="8" t="n"/>
      <c r="Y68" s="8" t="n"/>
      <c r="Z68" s="8" t="n"/>
      <c r="AA68" s="8" t="n"/>
      <c r="AB68" s="8" t="n"/>
      <c r="AC68" s="6">
        <f>IF(B68="","",IF(D68="RECT",IF(OR(E68="",F68=""),"",2*(E68+F68)),SUMIFS(INPUT_Segments!$D:$D,INPUT_Segments!$A:$A,A68,INPUT_Segments!$B:$B,B68)))</f>
        <v/>
      </c>
      <c r="AD68" s="6">
        <f>IF(AC68="","", (AC68*G68)/144)</f>
        <v/>
      </c>
      <c r="AE68" s="6">
        <f>IF(B68="","",IF(D68="RECT",IF(OR(E68="",F68=""),"",(E68*F68)/144),IF(I68="", "", I68)))</f>
        <v/>
      </c>
      <c r="AF68" s="6">
        <f>IF(AC68="","",MAX(0,AC68 - SUMPRODUCT((INPUT_Openings!$A:$A=A68)*(INPUT_Openings!$B:$B=B68)*(XLOOKUP(INPUT_Openings!$C:$C,Constants!$A$30:$A$200,Constants!$C$30:$C$200,"",0))*(INPUT_Openings!$D:$D)*(XLOOKUP(INPUT_Openings!$C:$C,Constants!$A$30:$A$200,Constants!$B$30:$B$200,"",0)="Door")) - IF(D68="RECT",IF(J68="",0,J68),SUMIFS(INPUT_Segments!$E:$E,INPUT_Segments!$A:$A,A68,INPUT_Segments!$B:$B,B68)))/12)</f>
        <v/>
      </c>
      <c r="AG68" s="6">
        <f>IF(AC68="","",AC68/12)</f>
        <v/>
      </c>
      <c r="AH68" s="8" t="n"/>
      <c r="AI68" s="8" t="n"/>
    </row>
    <row r="69">
      <c r="A69" s="8" t="n"/>
      <c r="B69" s="8" t="n"/>
      <c r="C69" s="8" t="n"/>
      <c r="D69" s="8" t="n"/>
      <c r="E69" s="8" t="n"/>
      <c r="F69" s="8" t="n"/>
      <c r="G69" s="8" t="n"/>
      <c r="H69" s="8">
        <f>IF($B69="","",$G69)</f>
        <v/>
      </c>
      <c r="I69" s="8" t="n"/>
      <c r="J69" s="8" t="n"/>
      <c r="K69" s="8" t="n"/>
      <c r="L69" s="8" t="n"/>
      <c r="M69" s="8" t="n"/>
      <c r="N69" s="8" t="n"/>
      <c r="O69" s="8" t="n"/>
      <c r="P69" s="8" t="n"/>
      <c r="Q69" s="8" t="n"/>
      <c r="R69" s="8" t="n"/>
      <c r="S69" s="8" t="n"/>
      <c r="T69" s="8" t="n"/>
      <c r="U69" s="8" t="n"/>
      <c r="V69" s="8" t="n"/>
      <c r="W69" s="8" t="n"/>
      <c r="X69" s="8" t="n"/>
      <c r="Y69" s="8" t="n"/>
      <c r="Z69" s="8" t="n"/>
      <c r="AA69" s="8" t="n"/>
      <c r="AB69" s="8" t="n"/>
      <c r="AC69" s="6">
        <f>IF(B69="","",IF(D69="RECT",IF(OR(E69="",F69=""),"",2*(E69+F69)),SUMIFS(INPUT_Segments!$D:$D,INPUT_Segments!$A:$A,A69,INPUT_Segments!$B:$B,B69)))</f>
        <v/>
      </c>
      <c r="AD69" s="6">
        <f>IF(AC69="","", (AC69*G69)/144)</f>
        <v/>
      </c>
      <c r="AE69" s="6">
        <f>IF(B69="","",IF(D69="RECT",IF(OR(E69="",F69=""),"",(E69*F69)/144),IF(I69="", "", I69)))</f>
        <v/>
      </c>
      <c r="AF69" s="6">
        <f>IF(AC69="","",MAX(0,AC69 - SUMPRODUCT((INPUT_Openings!$A:$A=A69)*(INPUT_Openings!$B:$B=B69)*(XLOOKUP(INPUT_Openings!$C:$C,Constants!$A$30:$A$200,Constants!$C$30:$C$200,"",0))*(INPUT_Openings!$D:$D)*(XLOOKUP(INPUT_Openings!$C:$C,Constants!$A$30:$A$200,Constants!$B$30:$B$200,"",0)="Door")) - IF(D69="RECT",IF(J69="",0,J69),SUMIFS(INPUT_Segments!$E:$E,INPUT_Segments!$A:$A,A69,INPUT_Segments!$B:$B,B69)))/12)</f>
        <v/>
      </c>
      <c r="AG69" s="6">
        <f>IF(AC69="","",AC69/12)</f>
        <v/>
      </c>
      <c r="AH69" s="8" t="n"/>
      <c r="AI69" s="8" t="n"/>
    </row>
    <row r="70">
      <c r="A70" s="8" t="n"/>
      <c r="B70" s="8" t="n"/>
      <c r="C70" s="8" t="n"/>
      <c r="D70" s="8" t="n"/>
      <c r="E70" s="8" t="n"/>
      <c r="F70" s="8" t="n"/>
      <c r="G70" s="8" t="n"/>
      <c r="H70" s="8">
        <f>IF($B70="","",$G70)</f>
        <v/>
      </c>
      <c r="I70" s="8" t="n"/>
      <c r="J70" s="8" t="n"/>
      <c r="K70" s="8" t="n"/>
      <c r="L70" s="8" t="n"/>
      <c r="M70" s="8" t="n"/>
      <c r="N70" s="8" t="n"/>
      <c r="O70" s="8" t="n"/>
      <c r="P70" s="8" t="n"/>
      <c r="Q70" s="8" t="n"/>
      <c r="R70" s="8" t="n"/>
      <c r="S70" s="8" t="n"/>
      <c r="T70" s="8" t="n"/>
      <c r="U70" s="8" t="n"/>
      <c r="V70" s="8" t="n"/>
      <c r="W70" s="8" t="n"/>
      <c r="X70" s="8" t="n"/>
      <c r="Y70" s="8" t="n"/>
      <c r="Z70" s="8" t="n"/>
      <c r="AA70" s="8" t="n"/>
      <c r="AB70" s="8" t="n"/>
      <c r="AC70" s="6">
        <f>IF(B70="","",IF(D70="RECT",IF(OR(E70="",F70=""),"",2*(E70+F70)),SUMIFS(INPUT_Segments!$D:$D,INPUT_Segments!$A:$A,A70,INPUT_Segments!$B:$B,B70)))</f>
        <v/>
      </c>
      <c r="AD70" s="6">
        <f>IF(AC70="","", (AC70*G70)/144)</f>
        <v/>
      </c>
      <c r="AE70" s="6">
        <f>IF(B70="","",IF(D70="RECT",IF(OR(E70="",F70=""),"",(E70*F70)/144),IF(I70="", "", I70)))</f>
        <v/>
      </c>
      <c r="AF70" s="6">
        <f>IF(AC70="","",MAX(0,AC70 - SUMPRODUCT((INPUT_Openings!$A:$A=A70)*(INPUT_Openings!$B:$B=B70)*(XLOOKUP(INPUT_Openings!$C:$C,Constants!$A$30:$A$200,Constants!$C$30:$C$200,"",0))*(INPUT_Openings!$D:$D)*(XLOOKUP(INPUT_Openings!$C:$C,Constants!$A$30:$A$200,Constants!$B$30:$B$200,"",0)="Door")) - IF(D70="RECT",IF(J70="",0,J70),SUMIFS(INPUT_Segments!$E:$E,INPUT_Segments!$A:$A,A70,INPUT_Segments!$B:$B,B70)))/12)</f>
        <v/>
      </c>
      <c r="AG70" s="6">
        <f>IF(AC70="","",AC70/12)</f>
        <v/>
      </c>
      <c r="AH70" s="8" t="n"/>
      <c r="AI70" s="8" t="n"/>
    </row>
    <row r="71">
      <c r="A71" s="8" t="n"/>
      <c r="B71" s="8" t="n"/>
      <c r="C71" s="8" t="n"/>
      <c r="D71" s="8" t="n"/>
      <c r="E71" s="8" t="n"/>
      <c r="F71" s="8" t="n"/>
      <c r="G71" s="8" t="n"/>
      <c r="H71" s="8">
        <f>IF($B71="","",$G71)</f>
        <v/>
      </c>
      <c r="I71" s="8" t="n"/>
      <c r="J71" s="8" t="n"/>
      <c r="K71" s="8" t="n"/>
      <c r="L71" s="8" t="n"/>
      <c r="M71" s="8" t="n"/>
      <c r="N71" s="8" t="n"/>
      <c r="O71" s="8" t="n"/>
      <c r="P71" s="8" t="n"/>
      <c r="Q71" s="8" t="n"/>
      <c r="R71" s="8" t="n"/>
      <c r="S71" s="8" t="n"/>
      <c r="T71" s="8" t="n"/>
      <c r="U71" s="8" t="n"/>
      <c r="V71" s="8" t="n"/>
      <c r="W71" s="8" t="n"/>
      <c r="X71" s="8" t="n"/>
      <c r="Y71" s="8" t="n"/>
      <c r="Z71" s="8" t="n"/>
      <c r="AA71" s="8" t="n"/>
      <c r="AB71" s="8" t="n"/>
      <c r="AC71" s="6">
        <f>IF(B71="","",IF(D71="RECT",IF(OR(E71="",F71=""),"",2*(E71+F71)),SUMIFS(INPUT_Segments!$D:$D,INPUT_Segments!$A:$A,A71,INPUT_Segments!$B:$B,B71)))</f>
        <v/>
      </c>
      <c r="AD71" s="6">
        <f>IF(AC71="","", (AC71*G71)/144)</f>
        <v/>
      </c>
      <c r="AE71" s="6">
        <f>IF(B71="","",IF(D71="RECT",IF(OR(E71="",F71=""),"",(E71*F71)/144),IF(I71="", "", I71)))</f>
        <v/>
      </c>
      <c r="AF71" s="6">
        <f>IF(AC71="","",MAX(0,AC71 - SUMPRODUCT((INPUT_Openings!$A:$A=A71)*(INPUT_Openings!$B:$B=B71)*(XLOOKUP(INPUT_Openings!$C:$C,Constants!$A$30:$A$200,Constants!$C$30:$C$200,"",0))*(INPUT_Openings!$D:$D)*(XLOOKUP(INPUT_Openings!$C:$C,Constants!$A$30:$A$200,Constants!$B$30:$B$200,"",0)="Door")) - IF(D71="RECT",IF(J71="",0,J71),SUMIFS(INPUT_Segments!$E:$E,INPUT_Segments!$A:$A,A71,INPUT_Segments!$B:$B,B71)))/12)</f>
        <v/>
      </c>
      <c r="AG71" s="6">
        <f>IF(AC71="","",AC71/12)</f>
        <v/>
      </c>
      <c r="AH71" s="8" t="n"/>
      <c r="AI71" s="8" t="n"/>
    </row>
    <row r="72">
      <c r="A72" s="8" t="n"/>
      <c r="B72" s="8" t="n"/>
      <c r="C72" s="8" t="n"/>
      <c r="D72" s="8" t="n"/>
      <c r="E72" s="8" t="n"/>
      <c r="F72" s="8" t="n"/>
      <c r="G72" s="8" t="n"/>
      <c r="H72" s="8">
        <f>IF($B72="","",$G72)</f>
        <v/>
      </c>
      <c r="I72" s="8" t="n"/>
      <c r="J72" s="8" t="n"/>
      <c r="K72" s="8" t="n"/>
      <c r="L72" s="8" t="n"/>
      <c r="M72" s="8" t="n"/>
      <c r="N72" s="8" t="n"/>
      <c r="O72" s="8" t="n"/>
      <c r="P72" s="8" t="n"/>
      <c r="Q72" s="8" t="n"/>
      <c r="R72" s="8" t="n"/>
      <c r="S72" s="8" t="n"/>
      <c r="T72" s="8" t="n"/>
      <c r="U72" s="8" t="n"/>
      <c r="V72" s="8" t="n"/>
      <c r="W72" s="8" t="n"/>
      <c r="X72" s="8" t="n"/>
      <c r="Y72" s="8" t="n"/>
      <c r="Z72" s="8" t="n"/>
      <c r="AA72" s="8" t="n"/>
      <c r="AB72" s="8" t="n"/>
      <c r="AC72" s="6">
        <f>IF(B72="","",IF(D72="RECT",IF(OR(E72="",F72=""),"",2*(E72+F72)),SUMIFS(INPUT_Segments!$D:$D,INPUT_Segments!$A:$A,A72,INPUT_Segments!$B:$B,B72)))</f>
        <v/>
      </c>
      <c r="AD72" s="6">
        <f>IF(AC72="","", (AC72*G72)/144)</f>
        <v/>
      </c>
      <c r="AE72" s="6">
        <f>IF(B72="","",IF(D72="RECT",IF(OR(E72="",F72=""),"",(E72*F72)/144),IF(I72="", "", I72)))</f>
        <v/>
      </c>
      <c r="AF72" s="6">
        <f>IF(AC72="","",MAX(0,AC72 - SUMPRODUCT((INPUT_Openings!$A:$A=A72)*(INPUT_Openings!$B:$B=B72)*(XLOOKUP(INPUT_Openings!$C:$C,Constants!$A$30:$A$200,Constants!$C$30:$C$200,"",0))*(INPUT_Openings!$D:$D)*(XLOOKUP(INPUT_Openings!$C:$C,Constants!$A$30:$A$200,Constants!$B$30:$B$200,"",0)="Door")) - IF(D72="RECT",IF(J72="",0,J72),SUMIFS(INPUT_Segments!$E:$E,INPUT_Segments!$A:$A,A72,INPUT_Segments!$B:$B,B72)))/12)</f>
        <v/>
      </c>
      <c r="AG72" s="6">
        <f>IF(AC72="","",AC72/12)</f>
        <v/>
      </c>
      <c r="AH72" s="8" t="n"/>
      <c r="AI72" s="8" t="n"/>
    </row>
    <row r="73">
      <c r="A73" s="8" t="n"/>
      <c r="B73" s="8" t="n"/>
      <c r="C73" s="8" t="n"/>
      <c r="D73" s="8" t="n"/>
      <c r="E73" s="8" t="n"/>
      <c r="F73" s="8" t="n"/>
      <c r="G73" s="8" t="n"/>
      <c r="H73" s="8">
        <f>IF($B73="","",$G73)</f>
        <v/>
      </c>
      <c r="I73" s="8" t="n"/>
      <c r="J73" s="8" t="n"/>
      <c r="K73" s="8" t="n"/>
      <c r="L73" s="8" t="n"/>
      <c r="M73" s="8" t="n"/>
      <c r="N73" s="8" t="n"/>
      <c r="O73" s="8" t="n"/>
      <c r="P73" s="8" t="n"/>
      <c r="Q73" s="8" t="n"/>
      <c r="R73" s="8" t="n"/>
      <c r="S73" s="8" t="n"/>
      <c r="T73" s="8" t="n"/>
      <c r="U73" s="8" t="n"/>
      <c r="V73" s="8" t="n"/>
      <c r="W73" s="8" t="n"/>
      <c r="X73" s="8" t="n"/>
      <c r="Y73" s="8" t="n"/>
      <c r="Z73" s="8" t="n"/>
      <c r="AA73" s="8" t="n"/>
      <c r="AB73" s="8" t="n"/>
      <c r="AC73" s="6">
        <f>IF(B73="","",IF(D73="RECT",IF(OR(E73="",F73=""),"",2*(E73+F73)),SUMIFS(INPUT_Segments!$D:$D,INPUT_Segments!$A:$A,A73,INPUT_Segments!$B:$B,B73)))</f>
        <v/>
      </c>
      <c r="AD73" s="6">
        <f>IF(AC73="","", (AC73*G73)/144)</f>
        <v/>
      </c>
      <c r="AE73" s="6">
        <f>IF(B73="","",IF(D73="RECT",IF(OR(E73="",F73=""),"",(E73*F73)/144),IF(I73="", "", I73)))</f>
        <v/>
      </c>
      <c r="AF73" s="6">
        <f>IF(AC73="","",MAX(0,AC73 - SUMPRODUCT((INPUT_Openings!$A:$A=A73)*(INPUT_Openings!$B:$B=B73)*(XLOOKUP(INPUT_Openings!$C:$C,Constants!$A$30:$A$200,Constants!$C$30:$C$200,"",0))*(INPUT_Openings!$D:$D)*(XLOOKUP(INPUT_Openings!$C:$C,Constants!$A$30:$A$200,Constants!$B$30:$B$200,"",0)="Door")) - IF(D73="RECT",IF(J73="",0,J73),SUMIFS(INPUT_Segments!$E:$E,INPUT_Segments!$A:$A,A73,INPUT_Segments!$B:$B,B73)))/12)</f>
        <v/>
      </c>
      <c r="AG73" s="6">
        <f>IF(AC73="","",AC73/12)</f>
        <v/>
      </c>
      <c r="AH73" s="8" t="n"/>
      <c r="AI73" s="8" t="n"/>
    </row>
    <row r="74">
      <c r="A74" s="8" t="n"/>
      <c r="B74" s="8" t="n"/>
      <c r="C74" s="8" t="n"/>
      <c r="D74" s="8" t="n"/>
      <c r="E74" s="8" t="n"/>
      <c r="F74" s="8" t="n"/>
      <c r="G74" s="8" t="n"/>
      <c r="H74" s="8">
        <f>IF($B74="","",$G74)</f>
        <v/>
      </c>
      <c r="I74" s="8" t="n"/>
      <c r="J74" s="8" t="n"/>
      <c r="K74" s="8" t="n"/>
      <c r="L74" s="8" t="n"/>
      <c r="M74" s="8" t="n"/>
      <c r="N74" s="8" t="n"/>
      <c r="O74" s="8" t="n"/>
      <c r="P74" s="8" t="n"/>
      <c r="Q74" s="8" t="n"/>
      <c r="R74" s="8" t="n"/>
      <c r="S74" s="8" t="n"/>
      <c r="T74" s="8" t="n"/>
      <c r="U74" s="8" t="n"/>
      <c r="V74" s="8" t="n"/>
      <c r="W74" s="8" t="n"/>
      <c r="X74" s="8" t="n"/>
      <c r="Y74" s="8" t="n"/>
      <c r="Z74" s="8" t="n"/>
      <c r="AA74" s="8" t="n"/>
      <c r="AB74" s="8" t="n"/>
      <c r="AC74" s="6">
        <f>IF(B74="","",IF(D74="RECT",IF(OR(E74="",F74=""),"",2*(E74+F74)),SUMIFS(INPUT_Segments!$D:$D,INPUT_Segments!$A:$A,A74,INPUT_Segments!$B:$B,B74)))</f>
        <v/>
      </c>
      <c r="AD74" s="6">
        <f>IF(AC74="","", (AC74*G74)/144)</f>
        <v/>
      </c>
      <c r="AE74" s="6">
        <f>IF(B74="","",IF(D74="RECT",IF(OR(E74="",F74=""),"",(E74*F74)/144),IF(I74="", "", I74)))</f>
        <v/>
      </c>
      <c r="AF74" s="6">
        <f>IF(AC74="","",MAX(0,AC74 - SUMPRODUCT((INPUT_Openings!$A:$A=A74)*(INPUT_Openings!$B:$B=B74)*(XLOOKUP(INPUT_Openings!$C:$C,Constants!$A$30:$A$200,Constants!$C$30:$C$200,"",0))*(INPUT_Openings!$D:$D)*(XLOOKUP(INPUT_Openings!$C:$C,Constants!$A$30:$A$200,Constants!$B$30:$B$200,"",0)="Door")) - IF(D74="RECT",IF(J74="",0,J74),SUMIFS(INPUT_Segments!$E:$E,INPUT_Segments!$A:$A,A74,INPUT_Segments!$B:$B,B74)))/12)</f>
        <v/>
      </c>
      <c r="AG74" s="6">
        <f>IF(AC74="","",AC74/12)</f>
        <v/>
      </c>
      <c r="AH74" s="8" t="n"/>
      <c r="AI74" s="8" t="n"/>
    </row>
    <row r="75">
      <c r="A75" s="8" t="n"/>
      <c r="B75" s="8" t="n"/>
      <c r="C75" s="8" t="n"/>
      <c r="D75" s="8" t="n"/>
      <c r="E75" s="8" t="n"/>
      <c r="F75" s="8" t="n"/>
      <c r="G75" s="8" t="n"/>
      <c r="H75" s="8">
        <f>IF($B75="","",$G75)</f>
        <v/>
      </c>
      <c r="I75" s="8" t="n"/>
      <c r="J75" s="8" t="n"/>
      <c r="K75" s="8" t="n"/>
      <c r="L75" s="8" t="n"/>
      <c r="M75" s="8" t="n"/>
      <c r="N75" s="8" t="n"/>
      <c r="O75" s="8" t="n"/>
      <c r="P75" s="8" t="n"/>
      <c r="Q75" s="8" t="n"/>
      <c r="R75" s="8" t="n"/>
      <c r="S75" s="8" t="n"/>
      <c r="T75" s="8" t="n"/>
      <c r="U75" s="8" t="n"/>
      <c r="V75" s="8" t="n"/>
      <c r="W75" s="8" t="n"/>
      <c r="X75" s="8" t="n"/>
      <c r="Y75" s="8" t="n"/>
      <c r="Z75" s="8" t="n"/>
      <c r="AA75" s="8" t="n"/>
      <c r="AB75" s="8" t="n"/>
      <c r="AC75" s="6">
        <f>IF(B75="","",IF(D75="RECT",IF(OR(E75="",F75=""),"",2*(E75+F75)),SUMIFS(INPUT_Segments!$D:$D,INPUT_Segments!$A:$A,A75,INPUT_Segments!$B:$B,B75)))</f>
        <v/>
      </c>
      <c r="AD75" s="6">
        <f>IF(AC75="","", (AC75*G75)/144)</f>
        <v/>
      </c>
      <c r="AE75" s="6">
        <f>IF(B75="","",IF(D75="RECT",IF(OR(E75="",F75=""),"",(E75*F75)/144),IF(I75="", "", I75)))</f>
        <v/>
      </c>
      <c r="AF75" s="6">
        <f>IF(AC75="","",MAX(0,AC75 - SUMPRODUCT((INPUT_Openings!$A:$A=A75)*(INPUT_Openings!$B:$B=B75)*(XLOOKUP(INPUT_Openings!$C:$C,Constants!$A$30:$A$200,Constants!$C$30:$C$200,"",0))*(INPUT_Openings!$D:$D)*(XLOOKUP(INPUT_Openings!$C:$C,Constants!$A$30:$A$200,Constants!$B$30:$B$200,"",0)="Door")) - IF(D75="RECT",IF(J75="",0,J75),SUMIFS(INPUT_Segments!$E:$E,INPUT_Segments!$A:$A,A75,INPUT_Segments!$B:$B,B75)))/12)</f>
        <v/>
      </c>
      <c r="AG75" s="6">
        <f>IF(AC75="","",AC75/12)</f>
        <v/>
      </c>
      <c r="AH75" s="8" t="n"/>
      <c r="AI75" s="8" t="n"/>
    </row>
    <row r="76">
      <c r="A76" s="8" t="n"/>
      <c r="B76" s="8" t="n"/>
      <c r="C76" s="8" t="n"/>
      <c r="D76" s="8" t="n"/>
      <c r="E76" s="8" t="n"/>
      <c r="F76" s="8" t="n"/>
      <c r="G76" s="8" t="n"/>
      <c r="H76" s="8">
        <f>IF($B76="","",$G76)</f>
        <v/>
      </c>
      <c r="I76" s="8" t="n"/>
      <c r="J76" s="8" t="n"/>
      <c r="K76" s="8" t="n"/>
      <c r="L76" s="8" t="n"/>
      <c r="M76" s="8" t="n"/>
      <c r="N76" s="8" t="n"/>
      <c r="O76" s="8" t="n"/>
      <c r="P76" s="8" t="n"/>
      <c r="Q76" s="8" t="n"/>
      <c r="R76" s="8" t="n"/>
      <c r="S76" s="8" t="n"/>
      <c r="T76" s="8" t="n"/>
      <c r="U76" s="8" t="n"/>
      <c r="V76" s="8" t="n"/>
      <c r="W76" s="8" t="n"/>
      <c r="X76" s="8" t="n"/>
      <c r="Y76" s="8" t="n"/>
      <c r="Z76" s="8" t="n"/>
      <c r="AA76" s="8" t="n"/>
      <c r="AB76" s="8" t="n"/>
      <c r="AC76" s="6">
        <f>IF(B76="","",IF(D76="RECT",IF(OR(E76="",F76=""),"",2*(E76+F76)),SUMIFS(INPUT_Segments!$D:$D,INPUT_Segments!$A:$A,A76,INPUT_Segments!$B:$B,B76)))</f>
        <v/>
      </c>
      <c r="AD76" s="6">
        <f>IF(AC76="","", (AC76*G76)/144)</f>
        <v/>
      </c>
      <c r="AE76" s="6">
        <f>IF(B76="","",IF(D76="RECT",IF(OR(E76="",F76=""),"",(E76*F76)/144),IF(I76="", "", I76)))</f>
        <v/>
      </c>
      <c r="AF76" s="6">
        <f>IF(AC76="","",MAX(0,AC76 - SUMPRODUCT((INPUT_Openings!$A:$A=A76)*(INPUT_Openings!$B:$B=B76)*(XLOOKUP(INPUT_Openings!$C:$C,Constants!$A$30:$A$200,Constants!$C$30:$C$200,"",0))*(INPUT_Openings!$D:$D)*(XLOOKUP(INPUT_Openings!$C:$C,Constants!$A$30:$A$200,Constants!$B$30:$B$200,"",0)="Door")) - IF(D76="RECT",IF(J76="",0,J76),SUMIFS(INPUT_Segments!$E:$E,INPUT_Segments!$A:$A,A76,INPUT_Segments!$B:$B,B76)))/12)</f>
        <v/>
      </c>
      <c r="AG76" s="6">
        <f>IF(AC76="","",AC76/12)</f>
        <v/>
      </c>
      <c r="AH76" s="8" t="n"/>
      <c r="AI76" s="8" t="n"/>
    </row>
    <row r="77">
      <c r="A77" s="8" t="n"/>
      <c r="B77" s="8" t="n"/>
      <c r="C77" s="8" t="n"/>
      <c r="D77" s="8" t="n"/>
      <c r="E77" s="8" t="n"/>
      <c r="F77" s="8" t="n"/>
      <c r="G77" s="8" t="n"/>
      <c r="H77" s="8">
        <f>IF($B77="","",$G77)</f>
        <v/>
      </c>
      <c r="I77" s="8" t="n"/>
      <c r="J77" s="8" t="n"/>
      <c r="K77" s="8" t="n"/>
      <c r="L77" s="8" t="n"/>
      <c r="M77" s="8" t="n"/>
      <c r="N77" s="8" t="n"/>
      <c r="O77" s="8" t="n"/>
      <c r="P77" s="8" t="n"/>
      <c r="Q77" s="8" t="n"/>
      <c r="R77" s="8" t="n"/>
      <c r="S77" s="8" t="n"/>
      <c r="T77" s="8" t="n"/>
      <c r="U77" s="8" t="n"/>
      <c r="V77" s="8" t="n"/>
      <c r="W77" s="8" t="n"/>
      <c r="X77" s="8" t="n"/>
      <c r="Y77" s="8" t="n"/>
      <c r="Z77" s="8" t="n"/>
      <c r="AA77" s="8" t="n"/>
      <c r="AB77" s="8" t="n"/>
      <c r="AC77" s="6">
        <f>IF(B77="","",IF(D77="RECT",IF(OR(E77="",F77=""),"",2*(E77+F77)),SUMIFS(INPUT_Segments!$D:$D,INPUT_Segments!$A:$A,A77,INPUT_Segments!$B:$B,B77)))</f>
        <v/>
      </c>
      <c r="AD77" s="6">
        <f>IF(AC77="","", (AC77*G77)/144)</f>
        <v/>
      </c>
      <c r="AE77" s="6">
        <f>IF(B77="","",IF(D77="RECT",IF(OR(E77="",F77=""),"",(E77*F77)/144),IF(I77="", "", I77)))</f>
        <v/>
      </c>
      <c r="AF77" s="6">
        <f>IF(AC77="","",MAX(0,AC77 - SUMPRODUCT((INPUT_Openings!$A:$A=A77)*(INPUT_Openings!$B:$B=B77)*(XLOOKUP(INPUT_Openings!$C:$C,Constants!$A$30:$A$200,Constants!$C$30:$C$200,"",0))*(INPUT_Openings!$D:$D)*(XLOOKUP(INPUT_Openings!$C:$C,Constants!$A$30:$A$200,Constants!$B$30:$B$200,"",0)="Door")) - IF(D77="RECT",IF(J77="",0,J77),SUMIFS(INPUT_Segments!$E:$E,INPUT_Segments!$A:$A,A77,INPUT_Segments!$B:$B,B77)))/12)</f>
        <v/>
      </c>
      <c r="AG77" s="6">
        <f>IF(AC77="","",AC77/12)</f>
        <v/>
      </c>
      <c r="AH77" s="8" t="n"/>
      <c r="AI77" s="8" t="n"/>
    </row>
    <row r="78">
      <c r="A78" s="8" t="n"/>
      <c r="B78" s="8" t="n"/>
      <c r="C78" s="8" t="n"/>
      <c r="D78" s="8" t="n"/>
      <c r="E78" s="8" t="n"/>
      <c r="F78" s="8" t="n"/>
      <c r="G78" s="8" t="n"/>
      <c r="H78" s="8">
        <f>IF($B78="","",$G78)</f>
        <v/>
      </c>
      <c r="I78" s="8" t="n"/>
      <c r="J78" s="8" t="n"/>
      <c r="K78" s="8" t="n"/>
      <c r="L78" s="8" t="n"/>
      <c r="M78" s="8" t="n"/>
      <c r="N78" s="8" t="n"/>
      <c r="O78" s="8" t="n"/>
      <c r="P78" s="8" t="n"/>
      <c r="Q78" s="8" t="n"/>
      <c r="R78" s="8" t="n"/>
      <c r="S78" s="8" t="n"/>
      <c r="T78" s="8" t="n"/>
      <c r="U78" s="8" t="n"/>
      <c r="V78" s="8" t="n"/>
      <c r="W78" s="8" t="n"/>
      <c r="X78" s="8" t="n"/>
      <c r="Y78" s="8" t="n"/>
      <c r="Z78" s="8" t="n"/>
      <c r="AA78" s="8" t="n"/>
      <c r="AB78" s="8" t="n"/>
      <c r="AC78" s="6">
        <f>IF(B78="","",IF(D78="RECT",IF(OR(E78="",F78=""),"",2*(E78+F78)),SUMIFS(INPUT_Segments!$D:$D,INPUT_Segments!$A:$A,A78,INPUT_Segments!$B:$B,B78)))</f>
        <v/>
      </c>
      <c r="AD78" s="6">
        <f>IF(AC78="","", (AC78*G78)/144)</f>
        <v/>
      </c>
      <c r="AE78" s="6">
        <f>IF(B78="","",IF(D78="RECT",IF(OR(E78="",F78=""),"",(E78*F78)/144),IF(I78="", "", I78)))</f>
        <v/>
      </c>
      <c r="AF78" s="6">
        <f>IF(AC78="","",MAX(0,AC78 - SUMPRODUCT((INPUT_Openings!$A:$A=A78)*(INPUT_Openings!$B:$B=B78)*(XLOOKUP(INPUT_Openings!$C:$C,Constants!$A$30:$A$200,Constants!$C$30:$C$200,"",0))*(INPUT_Openings!$D:$D)*(XLOOKUP(INPUT_Openings!$C:$C,Constants!$A$30:$A$200,Constants!$B$30:$B$200,"",0)="Door")) - IF(D78="RECT",IF(J78="",0,J78),SUMIFS(INPUT_Segments!$E:$E,INPUT_Segments!$A:$A,A78,INPUT_Segments!$B:$B,B78)))/12)</f>
        <v/>
      </c>
      <c r="AG78" s="6">
        <f>IF(AC78="","",AC78/12)</f>
        <v/>
      </c>
      <c r="AH78" s="8" t="n"/>
      <c r="AI78" s="8" t="n"/>
    </row>
    <row r="79">
      <c r="A79" s="8" t="n"/>
      <c r="B79" s="8" t="n"/>
      <c r="C79" s="8" t="n"/>
      <c r="D79" s="8" t="n"/>
      <c r="E79" s="8" t="n"/>
      <c r="F79" s="8" t="n"/>
      <c r="G79" s="8" t="n"/>
      <c r="H79" s="8">
        <f>IF($B79="","",$G79)</f>
        <v/>
      </c>
      <c r="I79" s="8" t="n"/>
      <c r="J79" s="8" t="n"/>
      <c r="K79" s="8" t="n"/>
      <c r="L79" s="8" t="n"/>
      <c r="M79" s="8" t="n"/>
      <c r="N79" s="8" t="n"/>
      <c r="O79" s="8" t="n"/>
      <c r="P79" s="8" t="n"/>
      <c r="Q79" s="8" t="n"/>
      <c r="R79" s="8" t="n"/>
      <c r="S79" s="8" t="n"/>
      <c r="T79" s="8" t="n"/>
      <c r="U79" s="8" t="n"/>
      <c r="V79" s="8" t="n"/>
      <c r="W79" s="8" t="n"/>
      <c r="X79" s="8" t="n"/>
      <c r="Y79" s="8" t="n"/>
      <c r="Z79" s="8" t="n"/>
      <c r="AA79" s="8" t="n"/>
      <c r="AB79" s="8" t="n"/>
      <c r="AC79" s="6">
        <f>IF(B79="","",IF(D79="RECT",IF(OR(E79="",F79=""),"",2*(E79+F79)),SUMIFS(INPUT_Segments!$D:$D,INPUT_Segments!$A:$A,A79,INPUT_Segments!$B:$B,B79)))</f>
        <v/>
      </c>
      <c r="AD79" s="6">
        <f>IF(AC79="","", (AC79*G79)/144)</f>
        <v/>
      </c>
      <c r="AE79" s="6">
        <f>IF(B79="","",IF(D79="RECT",IF(OR(E79="",F79=""),"",(E79*F79)/144),IF(I79="", "", I79)))</f>
        <v/>
      </c>
      <c r="AF79" s="6">
        <f>IF(AC79="","",MAX(0,AC79 - SUMPRODUCT((INPUT_Openings!$A:$A=A79)*(INPUT_Openings!$B:$B=B79)*(XLOOKUP(INPUT_Openings!$C:$C,Constants!$A$30:$A$200,Constants!$C$30:$C$200,"",0))*(INPUT_Openings!$D:$D)*(XLOOKUP(INPUT_Openings!$C:$C,Constants!$A$30:$A$200,Constants!$B$30:$B$200,"",0)="Door")) - IF(D79="RECT",IF(J79="",0,J79),SUMIFS(INPUT_Segments!$E:$E,INPUT_Segments!$A:$A,A79,INPUT_Segments!$B:$B,B79)))/12)</f>
        <v/>
      </c>
      <c r="AG79" s="6">
        <f>IF(AC79="","",AC79/12)</f>
        <v/>
      </c>
      <c r="AH79" s="8" t="n"/>
      <c r="AI79" s="8" t="n"/>
    </row>
    <row r="80">
      <c r="A80" s="8" t="n"/>
      <c r="B80" s="8" t="n"/>
      <c r="C80" s="8" t="n"/>
      <c r="D80" s="8" t="n"/>
      <c r="E80" s="8" t="n"/>
      <c r="F80" s="8" t="n"/>
      <c r="G80" s="8" t="n"/>
      <c r="H80" s="8">
        <f>IF($B80="","",$G80)</f>
        <v/>
      </c>
      <c r="I80" s="8" t="n"/>
      <c r="J80" s="8" t="n"/>
      <c r="K80" s="8" t="n"/>
      <c r="L80" s="8" t="n"/>
      <c r="M80" s="8" t="n"/>
      <c r="N80" s="8" t="n"/>
      <c r="O80" s="8" t="n"/>
      <c r="P80" s="8" t="n"/>
      <c r="Q80" s="8" t="n"/>
      <c r="R80" s="8" t="n"/>
      <c r="S80" s="8" t="n"/>
      <c r="T80" s="8" t="n"/>
      <c r="U80" s="8" t="n"/>
      <c r="V80" s="8" t="n"/>
      <c r="W80" s="8" t="n"/>
      <c r="X80" s="8" t="n"/>
      <c r="Y80" s="8" t="n"/>
      <c r="Z80" s="8" t="n"/>
      <c r="AA80" s="8" t="n"/>
      <c r="AB80" s="8" t="n"/>
      <c r="AC80" s="6">
        <f>IF(B80="","",IF(D80="RECT",IF(OR(E80="",F80=""),"",2*(E80+F80)),SUMIFS(INPUT_Segments!$D:$D,INPUT_Segments!$A:$A,A80,INPUT_Segments!$B:$B,B80)))</f>
        <v/>
      </c>
      <c r="AD80" s="6">
        <f>IF(AC80="","", (AC80*G80)/144)</f>
        <v/>
      </c>
      <c r="AE80" s="6">
        <f>IF(B80="","",IF(D80="RECT",IF(OR(E80="",F80=""),"",(E80*F80)/144),IF(I80="", "", I80)))</f>
        <v/>
      </c>
      <c r="AF80" s="6">
        <f>IF(AC80="","",MAX(0,AC80 - SUMPRODUCT((INPUT_Openings!$A:$A=A80)*(INPUT_Openings!$B:$B=B80)*(XLOOKUP(INPUT_Openings!$C:$C,Constants!$A$30:$A$200,Constants!$C$30:$C$200,"",0))*(INPUT_Openings!$D:$D)*(XLOOKUP(INPUT_Openings!$C:$C,Constants!$A$30:$A$200,Constants!$B$30:$B$200,"",0)="Door")) - IF(D80="RECT",IF(J80="",0,J80),SUMIFS(INPUT_Segments!$E:$E,INPUT_Segments!$A:$A,A80,INPUT_Segments!$B:$B,B80)))/12)</f>
        <v/>
      </c>
      <c r="AG80" s="6">
        <f>IF(AC80="","",AC80/12)</f>
        <v/>
      </c>
      <c r="AH80" s="8" t="n"/>
      <c r="AI80" s="8" t="n"/>
    </row>
    <row r="81">
      <c r="A81" s="8" t="n"/>
      <c r="B81" s="8" t="n"/>
      <c r="C81" s="8" t="n"/>
      <c r="D81" s="8" t="n"/>
      <c r="E81" s="8" t="n"/>
      <c r="F81" s="8" t="n"/>
      <c r="G81" s="8" t="n"/>
      <c r="H81" s="8">
        <f>IF($B81="","",$G81)</f>
        <v/>
      </c>
      <c r="I81" s="8" t="n"/>
      <c r="J81" s="8" t="n"/>
      <c r="K81" s="8" t="n"/>
      <c r="L81" s="8" t="n"/>
      <c r="M81" s="8" t="n"/>
      <c r="N81" s="8" t="n"/>
      <c r="O81" s="8" t="n"/>
      <c r="P81" s="8" t="n"/>
      <c r="Q81" s="8" t="n"/>
      <c r="R81" s="8" t="n"/>
      <c r="S81" s="8" t="n"/>
      <c r="T81" s="8" t="n"/>
      <c r="U81" s="8" t="n"/>
      <c r="V81" s="8" t="n"/>
      <c r="W81" s="8" t="n"/>
      <c r="X81" s="8" t="n"/>
      <c r="Y81" s="8" t="n"/>
      <c r="Z81" s="8" t="n"/>
      <c r="AA81" s="8" t="n"/>
      <c r="AB81" s="8" t="n"/>
      <c r="AC81" s="6">
        <f>IF(B81="","",IF(D81="RECT",IF(OR(E81="",F81=""),"",2*(E81+F81)),SUMIFS(INPUT_Segments!$D:$D,INPUT_Segments!$A:$A,A81,INPUT_Segments!$B:$B,B81)))</f>
        <v/>
      </c>
      <c r="AD81" s="6">
        <f>IF(AC81="","", (AC81*G81)/144)</f>
        <v/>
      </c>
      <c r="AE81" s="6">
        <f>IF(B81="","",IF(D81="RECT",IF(OR(E81="",F81=""),"",(E81*F81)/144),IF(I81="", "", I81)))</f>
        <v/>
      </c>
      <c r="AF81" s="6">
        <f>IF(AC81="","",MAX(0,AC81 - SUMPRODUCT((INPUT_Openings!$A:$A=A81)*(INPUT_Openings!$B:$B=B81)*(XLOOKUP(INPUT_Openings!$C:$C,Constants!$A$30:$A$200,Constants!$C$30:$C$200,"",0))*(INPUT_Openings!$D:$D)*(XLOOKUP(INPUT_Openings!$C:$C,Constants!$A$30:$A$200,Constants!$B$30:$B$200,"",0)="Door")) - IF(D81="RECT",IF(J81="",0,J81),SUMIFS(INPUT_Segments!$E:$E,INPUT_Segments!$A:$A,A81,INPUT_Segments!$B:$B,B81)))/12)</f>
        <v/>
      </c>
      <c r="AG81" s="6">
        <f>IF(AC81="","",AC81/12)</f>
        <v/>
      </c>
      <c r="AH81" s="8" t="n"/>
      <c r="AI81" s="8" t="n"/>
    </row>
    <row r="82">
      <c r="A82" s="8" t="n"/>
      <c r="B82" s="8" t="n"/>
      <c r="C82" s="8" t="n"/>
      <c r="D82" s="8" t="n"/>
      <c r="E82" s="8" t="n"/>
      <c r="F82" s="8" t="n"/>
      <c r="G82" s="8" t="n"/>
      <c r="H82" s="8">
        <f>IF($B82="","",$G82)</f>
        <v/>
      </c>
      <c r="I82" s="8" t="n"/>
      <c r="J82" s="8" t="n"/>
      <c r="K82" s="8" t="n"/>
      <c r="L82" s="8" t="n"/>
      <c r="M82" s="8" t="n"/>
      <c r="N82" s="8" t="n"/>
      <c r="O82" s="8" t="n"/>
      <c r="P82" s="8" t="n"/>
      <c r="Q82" s="8" t="n"/>
      <c r="R82" s="8" t="n"/>
      <c r="S82" s="8" t="n"/>
      <c r="T82" s="8" t="n"/>
      <c r="U82" s="8" t="n"/>
      <c r="V82" s="8" t="n"/>
      <c r="W82" s="8" t="n"/>
      <c r="X82" s="8" t="n"/>
      <c r="Y82" s="8" t="n"/>
      <c r="Z82" s="8" t="n"/>
      <c r="AA82" s="8" t="n"/>
      <c r="AB82" s="8" t="n"/>
      <c r="AC82" s="6">
        <f>IF(B82="","",IF(D82="RECT",IF(OR(E82="",F82=""),"",2*(E82+F82)),SUMIFS(INPUT_Segments!$D:$D,INPUT_Segments!$A:$A,A82,INPUT_Segments!$B:$B,B82)))</f>
        <v/>
      </c>
      <c r="AD82" s="6">
        <f>IF(AC82="","", (AC82*G82)/144)</f>
        <v/>
      </c>
      <c r="AE82" s="6">
        <f>IF(B82="","",IF(D82="RECT",IF(OR(E82="",F82=""),"",(E82*F82)/144),IF(I82="", "", I82)))</f>
        <v/>
      </c>
      <c r="AF82" s="6">
        <f>IF(AC82="","",MAX(0,AC82 - SUMPRODUCT((INPUT_Openings!$A:$A=A82)*(INPUT_Openings!$B:$B=B82)*(XLOOKUP(INPUT_Openings!$C:$C,Constants!$A$30:$A$200,Constants!$C$30:$C$200,"",0))*(INPUT_Openings!$D:$D)*(XLOOKUP(INPUT_Openings!$C:$C,Constants!$A$30:$A$200,Constants!$B$30:$B$200,"",0)="Door")) - IF(D82="RECT",IF(J82="",0,J82),SUMIFS(INPUT_Segments!$E:$E,INPUT_Segments!$A:$A,A82,INPUT_Segments!$B:$B,B82)))/12)</f>
        <v/>
      </c>
      <c r="AG82" s="6">
        <f>IF(AC82="","",AC82/12)</f>
        <v/>
      </c>
      <c r="AH82" s="8" t="n"/>
      <c r="AI82" s="8" t="n"/>
    </row>
    <row r="83">
      <c r="A83" s="8" t="n"/>
      <c r="B83" s="8" t="n"/>
      <c r="C83" s="8" t="n"/>
      <c r="D83" s="8" t="n"/>
      <c r="E83" s="8" t="n"/>
      <c r="F83" s="8" t="n"/>
      <c r="G83" s="8" t="n"/>
      <c r="H83" s="8">
        <f>IF($B83="","",$G83)</f>
        <v/>
      </c>
      <c r="I83" s="8" t="n"/>
      <c r="J83" s="8" t="n"/>
      <c r="K83" s="8" t="n"/>
      <c r="L83" s="8" t="n"/>
      <c r="M83" s="8" t="n"/>
      <c r="N83" s="8" t="n"/>
      <c r="O83" s="8" t="n"/>
      <c r="P83" s="8" t="n"/>
      <c r="Q83" s="8" t="n"/>
      <c r="R83" s="8" t="n"/>
      <c r="S83" s="8" t="n"/>
      <c r="T83" s="8" t="n"/>
      <c r="U83" s="8" t="n"/>
      <c r="V83" s="8" t="n"/>
      <c r="W83" s="8" t="n"/>
      <c r="X83" s="8" t="n"/>
      <c r="Y83" s="8" t="n"/>
      <c r="Z83" s="8" t="n"/>
      <c r="AA83" s="8" t="n"/>
      <c r="AB83" s="8" t="n"/>
      <c r="AC83" s="6">
        <f>IF(B83="","",IF(D83="RECT",IF(OR(E83="",F83=""),"",2*(E83+F83)),SUMIFS(INPUT_Segments!$D:$D,INPUT_Segments!$A:$A,A83,INPUT_Segments!$B:$B,B83)))</f>
        <v/>
      </c>
      <c r="AD83" s="6">
        <f>IF(AC83="","", (AC83*G83)/144)</f>
        <v/>
      </c>
      <c r="AE83" s="6">
        <f>IF(B83="","",IF(D83="RECT",IF(OR(E83="",F83=""),"",(E83*F83)/144),IF(I83="", "", I83)))</f>
        <v/>
      </c>
      <c r="AF83" s="6">
        <f>IF(AC83="","",MAX(0,AC83 - SUMPRODUCT((INPUT_Openings!$A:$A=A83)*(INPUT_Openings!$B:$B=B83)*(XLOOKUP(INPUT_Openings!$C:$C,Constants!$A$30:$A$200,Constants!$C$30:$C$200,"",0))*(INPUT_Openings!$D:$D)*(XLOOKUP(INPUT_Openings!$C:$C,Constants!$A$30:$A$200,Constants!$B$30:$B$200,"",0)="Door")) - IF(D83="RECT",IF(J83="",0,J83),SUMIFS(INPUT_Segments!$E:$E,INPUT_Segments!$A:$A,A83,INPUT_Segments!$B:$B,B83)))/12)</f>
        <v/>
      </c>
      <c r="AG83" s="6">
        <f>IF(AC83="","",AC83/12)</f>
        <v/>
      </c>
      <c r="AH83" s="8" t="n"/>
      <c r="AI83" s="8" t="n"/>
    </row>
  </sheetData>
  <mergeCells count="2">
    <mergeCell ref="A1:AK1"/>
    <mergeCell ref="B2:H2"/>
  </mergeCells>
  <dataValidations count="5">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showDropDown="0" showInputMessage="0" showErrorMessage="0" allowBlank="1" type="list">
      <formula1>"RECT,SEG"</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showDropDown="0" showInputMessage="0" showErrorMessage="0" allowBlank="1" type="list">
      <formula1>"Y,N"</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showDropDown="0" showInputMessage="0" showErrorMessage="0" allowBlank="1" type="list">
      <formula1>"None,Spot,Full"</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showDropDown="0" showInputMessage="0" showErrorMessage="0" allowBlank="1" type="list">
      <formula1>"Light,Medium,Heavy"</formula1>
    </dataValidation>
    <dataValidation sqref="AH4:AH304" showDropDown="1" showInputMessage="0" showErrorMessage="0" allowBlank="1" type="list">
      <formula1>=Constants!$A$93:$A$100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03"/>
  <sheetViews>
    <sheetView workbookViewId="0">
      <selection activeCell="A1" sqref="A1"/>
    </sheetView>
  </sheetViews>
  <sheetFormatPr baseColWidth="8" defaultRowHeight="15"/>
  <cols>
    <col hidden="1" width="10" customWidth="1" min="1" max="1"/>
    <col width="10" customWidth="1" min="2" max="2"/>
    <col width="6" customWidth="1" min="3" max="3"/>
    <col width="12" customWidth="1" min="4" max="4"/>
    <col width="14" customWidth="1" min="5" max="5"/>
    <col width="30" customWidth="1" min="6" max="6"/>
  </cols>
  <sheetData>
    <row r="1">
      <c r="A1" s="1" t="inlineStr">
        <is>
          <t>INPUT_SEGMENTS (only needed for SEG rooms)</t>
        </is>
      </c>
    </row>
    <row r="2">
      <c r="B2" s="12" t="inlineStr">
        <is>
          <t>App-first mode: JobID column (A) is hidden; the app will fill JobID automatically.</t>
        </is>
      </c>
    </row>
    <row r="3">
      <c r="A3" s="5" t="inlineStr">
        <is>
          <t>JobID</t>
        </is>
      </c>
      <c r="B3" s="5" t="inlineStr">
        <is>
          <t>RoomID</t>
        </is>
      </c>
      <c r="C3" s="5" t="inlineStr">
        <is>
          <t>Seg#</t>
        </is>
      </c>
      <c r="D3" s="5" t="inlineStr">
        <is>
          <t>SegLen_in</t>
        </is>
      </c>
      <c r="E3" s="5" t="inlineStr">
        <is>
          <t>BaseExclude_in</t>
        </is>
      </c>
      <c r="F3" s="5" t="inlineStr">
        <is>
          <t>Notes</t>
        </is>
      </c>
      <c r="G3" s="5" t="inlineStr">
        <is>
          <t>WallLabel (optional)</t>
        </is>
      </c>
      <c r="H3" s="5" t="inlineStr">
        <is>
          <t>WallColorOverrideID (optional)</t>
        </is>
      </c>
      <c r="I3" t="inlineStr">
        <is>
          <t>Active?</t>
        </is>
      </c>
    </row>
    <row r="4">
      <c r="A4" s="8" t="n"/>
      <c r="B4" s="8" t="n"/>
      <c r="C4" s="8" t="n"/>
      <c r="D4" s="8" t="n"/>
      <c r="E4" s="8" t="n"/>
      <c r="F4" s="8" t="n"/>
      <c r="G4" s="8" t="n"/>
      <c r="H4" s="8" t="n"/>
    </row>
    <row r="5">
      <c r="A5" s="8" t="n"/>
      <c r="B5" s="8" t="n"/>
      <c r="C5" s="8" t="n"/>
      <c r="D5" s="8" t="n"/>
      <c r="E5" s="8" t="n"/>
      <c r="F5" s="8" t="n"/>
      <c r="G5" s="8" t="n"/>
      <c r="H5" s="8" t="n"/>
    </row>
    <row r="6">
      <c r="A6" s="8" t="n"/>
      <c r="B6" s="8" t="n"/>
      <c r="C6" s="8" t="n"/>
      <c r="D6" s="8" t="n"/>
      <c r="E6" s="8" t="n"/>
      <c r="F6" s="8" t="n"/>
      <c r="G6" s="8" t="n"/>
      <c r="H6" s="8" t="n"/>
    </row>
    <row r="7">
      <c r="A7" s="8" t="n"/>
      <c r="B7" s="8" t="n"/>
      <c r="C7" s="8" t="n"/>
      <c r="D7" s="8" t="n"/>
      <c r="E7" s="8" t="n"/>
      <c r="F7" s="8" t="n"/>
      <c r="G7" s="8" t="n"/>
      <c r="H7" s="8" t="n"/>
    </row>
    <row r="8">
      <c r="A8" s="8" t="n"/>
      <c r="B8" s="8" t="n"/>
      <c r="C8" s="8" t="n"/>
      <c r="D8" s="8" t="n"/>
      <c r="E8" s="8" t="n"/>
      <c r="F8" s="8" t="n"/>
      <c r="G8" s="8" t="n"/>
      <c r="H8" s="8" t="n"/>
    </row>
    <row r="9">
      <c r="A9" s="8" t="n"/>
      <c r="B9" s="8" t="n"/>
      <c r="C9" s="8" t="n"/>
      <c r="D9" s="8" t="n"/>
      <c r="E9" s="8" t="n"/>
      <c r="F9" s="8" t="n"/>
      <c r="G9" s="8" t="n"/>
      <c r="H9" s="8" t="n"/>
    </row>
    <row r="10">
      <c r="A10" s="8" t="n"/>
      <c r="B10" s="8" t="n"/>
      <c r="C10" s="8" t="n"/>
      <c r="D10" s="8" t="n"/>
      <c r="E10" s="8" t="n"/>
      <c r="F10" s="8" t="n"/>
      <c r="G10" s="8" t="n"/>
      <c r="H10" s="8" t="n"/>
    </row>
    <row r="11">
      <c r="A11" s="8" t="n"/>
      <c r="B11" s="8" t="n"/>
      <c r="C11" s="8" t="n"/>
      <c r="D11" s="8" t="n"/>
      <c r="E11" s="8" t="n"/>
      <c r="F11" s="8" t="n"/>
      <c r="G11" s="8" t="n"/>
      <c r="H11" s="8" t="n"/>
    </row>
    <row r="12">
      <c r="A12" s="8" t="n"/>
      <c r="B12" s="8" t="n"/>
      <c r="C12" s="8" t="n"/>
      <c r="D12" s="8" t="n"/>
      <c r="E12" s="8" t="n"/>
      <c r="F12" s="8" t="n"/>
      <c r="G12" s="8" t="n"/>
      <c r="H12" s="8" t="n"/>
    </row>
    <row r="13">
      <c r="A13" s="8" t="n"/>
      <c r="B13" s="8" t="n"/>
      <c r="C13" s="8" t="n"/>
      <c r="D13" s="8" t="n"/>
      <c r="E13" s="8" t="n"/>
      <c r="F13" s="8" t="n"/>
      <c r="G13" s="8" t="n"/>
      <c r="H13" s="8" t="n"/>
    </row>
    <row r="14">
      <c r="A14" s="8" t="n"/>
      <c r="B14" s="8" t="n"/>
      <c r="C14" s="8" t="n"/>
      <c r="D14" s="8" t="n"/>
      <c r="E14" s="8" t="n"/>
      <c r="F14" s="8" t="n"/>
      <c r="G14" s="8" t="n"/>
      <c r="H14" s="8" t="n"/>
    </row>
    <row r="15">
      <c r="A15" s="8" t="n"/>
      <c r="B15" s="8" t="n"/>
      <c r="C15" s="8" t="n"/>
      <c r="D15" s="8" t="n"/>
      <c r="E15" s="8" t="n"/>
      <c r="F15" s="8" t="n"/>
      <c r="G15" s="8" t="n"/>
      <c r="H15" s="8" t="n"/>
    </row>
    <row r="16">
      <c r="A16" s="8" t="n"/>
      <c r="B16" s="8" t="n"/>
      <c r="C16" s="8" t="n"/>
      <c r="D16" s="8" t="n"/>
      <c r="E16" s="8" t="n"/>
      <c r="F16" s="8" t="n"/>
      <c r="G16" s="8" t="n"/>
      <c r="H16" s="8" t="n"/>
    </row>
    <row r="17">
      <c r="A17" s="8" t="n"/>
      <c r="B17" s="8" t="n"/>
      <c r="C17" s="8" t="n"/>
      <c r="D17" s="8" t="n"/>
      <c r="E17" s="8" t="n"/>
      <c r="F17" s="8" t="n"/>
      <c r="G17" s="8" t="n"/>
      <c r="H17" s="8" t="n"/>
    </row>
    <row r="18">
      <c r="A18" s="8" t="n"/>
      <c r="B18" s="8" t="n"/>
      <c r="C18" s="8" t="n"/>
      <c r="D18" s="8" t="n"/>
      <c r="E18" s="8" t="n"/>
      <c r="F18" s="8" t="n"/>
      <c r="G18" s="8" t="n"/>
      <c r="H18" s="8" t="n"/>
    </row>
    <row r="19">
      <c r="A19" s="8" t="n"/>
      <c r="B19" s="8" t="n"/>
      <c r="C19" s="8" t="n"/>
      <c r="D19" s="8" t="n"/>
      <c r="E19" s="8" t="n"/>
      <c r="F19" s="8" t="n"/>
      <c r="G19" s="8" t="n"/>
      <c r="H19" s="8" t="n"/>
    </row>
    <row r="20">
      <c r="A20" s="8" t="n"/>
      <c r="B20" s="8" t="n"/>
      <c r="C20" s="8" t="n"/>
      <c r="D20" s="8" t="n"/>
      <c r="E20" s="8" t="n"/>
      <c r="F20" s="8" t="n"/>
      <c r="G20" s="8" t="n"/>
      <c r="H20" s="8" t="n"/>
    </row>
    <row r="21">
      <c r="A21" s="8" t="n"/>
      <c r="B21" s="8" t="n"/>
      <c r="C21" s="8" t="n"/>
      <c r="D21" s="8" t="n"/>
      <c r="E21" s="8" t="n"/>
      <c r="F21" s="8" t="n"/>
      <c r="G21" s="8" t="n"/>
      <c r="H21" s="8" t="n"/>
    </row>
    <row r="22">
      <c r="A22" s="8" t="n"/>
      <c r="B22" s="8" t="n"/>
      <c r="C22" s="8" t="n"/>
      <c r="D22" s="8" t="n"/>
      <c r="E22" s="8" t="n"/>
      <c r="F22" s="8" t="n"/>
      <c r="G22" s="8" t="n"/>
      <c r="H22" s="8" t="n"/>
    </row>
    <row r="23">
      <c r="A23" s="8" t="n"/>
      <c r="B23" s="8" t="n"/>
      <c r="C23" s="8" t="n"/>
      <c r="D23" s="8" t="n"/>
      <c r="E23" s="8" t="n"/>
      <c r="F23" s="8" t="n"/>
      <c r="G23" s="8" t="n"/>
      <c r="H23" s="8" t="n"/>
    </row>
    <row r="24">
      <c r="A24" s="8" t="n"/>
      <c r="B24" s="8" t="n"/>
      <c r="C24" s="8" t="n"/>
      <c r="D24" s="8" t="n"/>
      <c r="E24" s="8" t="n"/>
      <c r="F24" s="8" t="n"/>
      <c r="G24" s="8" t="n"/>
      <c r="H24" s="8" t="n"/>
    </row>
    <row r="25">
      <c r="A25" s="8" t="n"/>
      <c r="B25" s="8" t="n"/>
      <c r="C25" s="8" t="n"/>
      <c r="D25" s="8" t="n"/>
      <c r="E25" s="8" t="n"/>
      <c r="F25" s="8" t="n"/>
      <c r="G25" s="8" t="n"/>
      <c r="H25" s="8" t="n"/>
    </row>
    <row r="26">
      <c r="A26" s="8" t="n"/>
      <c r="B26" s="8" t="n"/>
      <c r="C26" s="8" t="n"/>
      <c r="D26" s="8" t="n"/>
      <c r="E26" s="8" t="n"/>
      <c r="F26" s="8" t="n"/>
      <c r="G26" s="8" t="n"/>
      <c r="H26" s="8" t="n"/>
    </row>
    <row r="27">
      <c r="A27" s="8" t="n"/>
      <c r="B27" s="8" t="n"/>
      <c r="C27" s="8" t="n"/>
      <c r="D27" s="8" t="n"/>
      <c r="E27" s="8" t="n"/>
      <c r="F27" s="8" t="n"/>
      <c r="G27" s="8" t="n"/>
      <c r="H27" s="8" t="n"/>
    </row>
    <row r="28">
      <c r="A28" s="8" t="n"/>
      <c r="B28" s="8" t="n"/>
      <c r="C28" s="8" t="n"/>
      <c r="D28" s="8" t="n"/>
      <c r="E28" s="8" t="n"/>
      <c r="F28" s="8" t="n"/>
      <c r="G28" s="8" t="n"/>
      <c r="H28" s="8" t="n"/>
    </row>
    <row r="29">
      <c r="A29" s="8" t="n"/>
      <c r="B29" s="8" t="n"/>
      <c r="C29" s="8" t="n"/>
      <c r="D29" s="8" t="n"/>
      <c r="E29" s="8" t="n"/>
      <c r="F29" s="8" t="n"/>
      <c r="G29" s="8" t="n"/>
      <c r="H29" s="8" t="n"/>
    </row>
    <row r="30">
      <c r="A30" s="8" t="n"/>
      <c r="B30" s="8" t="n"/>
      <c r="C30" s="8" t="n"/>
      <c r="D30" s="8" t="n"/>
      <c r="E30" s="8" t="n"/>
      <c r="F30" s="8" t="n"/>
      <c r="G30" s="8" t="n"/>
      <c r="H30" s="8" t="n"/>
    </row>
    <row r="31">
      <c r="A31" s="8" t="n"/>
      <c r="B31" s="8" t="n"/>
      <c r="C31" s="8" t="n"/>
      <c r="D31" s="8" t="n"/>
      <c r="E31" s="8" t="n"/>
      <c r="F31" s="8" t="n"/>
      <c r="G31" s="8" t="n"/>
      <c r="H31" s="8" t="n"/>
    </row>
    <row r="32">
      <c r="A32" s="8" t="n"/>
      <c r="B32" s="8" t="n"/>
      <c r="C32" s="8" t="n"/>
      <c r="D32" s="8" t="n"/>
      <c r="E32" s="8" t="n"/>
      <c r="F32" s="8" t="n"/>
      <c r="G32" s="8" t="n"/>
      <c r="H32" s="8" t="n"/>
    </row>
    <row r="33">
      <c r="A33" s="8" t="n"/>
      <c r="B33" s="8" t="n"/>
      <c r="C33" s="8" t="n"/>
      <c r="D33" s="8" t="n"/>
      <c r="E33" s="8" t="n"/>
      <c r="F33" s="8" t="n"/>
      <c r="G33" s="8" t="n"/>
      <c r="H33" s="8" t="n"/>
    </row>
    <row r="34">
      <c r="A34" s="8" t="n"/>
      <c r="B34" s="8" t="n"/>
      <c r="C34" s="8" t="n"/>
      <c r="D34" s="8" t="n"/>
      <c r="E34" s="8" t="n"/>
      <c r="F34" s="8" t="n"/>
      <c r="G34" s="8" t="n"/>
      <c r="H34" s="8" t="n"/>
    </row>
    <row r="35">
      <c r="A35" s="8" t="n"/>
      <c r="B35" s="8" t="n"/>
      <c r="C35" s="8" t="n"/>
      <c r="D35" s="8" t="n"/>
      <c r="E35" s="8" t="n"/>
      <c r="F35" s="8" t="n"/>
      <c r="G35" s="8" t="n"/>
      <c r="H35" s="8" t="n"/>
    </row>
    <row r="36">
      <c r="A36" s="8" t="n"/>
      <c r="B36" s="8" t="n"/>
      <c r="C36" s="8" t="n"/>
      <c r="D36" s="8" t="n"/>
      <c r="E36" s="8" t="n"/>
      <c r="F36" s="8" t="n"/>
      <c r="G36" s="8" t="n"/>
      <c r="H36" s="8" t="n"/>
    </row>
    <row r="37">
      <c r="A37" s="8" t="n"/>
      <c r="B37" s="8" t="n"/>
      <c r="C37" s="8" t="n"/>
      <c r="D37" s="8" t="n"/>
      <c r="E37" s="8" t="n"/>
      <c r="F37" s="8" t="n"/>
      <c r="G37" s="8" t="n"/>
      <c r="H37" s="8" t="n"/>
    </row>
    <row r="38">
      <c r="A38" s="8" t="n"/>
      <c r="B38" s="8" t="n"/>
      <c r="C38" s="8" t="n"/>
      <c r="D38" s="8" t="n"/>
      <c r="E38" s="8" t="n"/>
      <c r="F38" s="8" t="n"/>
      <c r="G38" s="8" t="n"/>
      <c r="H38" s="8" t="n"/>
    </row>
    <row r="39">
      <c r="A39" s="8" t="n"/>
      <c r="B39" s="8" t="n"/>
      <c r="C39" s="8" t="n"/>
      <c r="D39" s="8" t="n"/>
      <c r="E39" s="8" t="n"/>
      <c r="F39" s="8" t="n"/>
      <c r="G39" s="8" t="n"/>
      <c r="H39" s="8" t="n"/>
    </row>
    <row r="40">
      <c r="A40" s="8" t="n"/>
      <c r="B40" s="8" t="n"/>
      <c r="C40" s="8" t="n"/>
      <c r="D40" s="8" t="n"/>
      <c r="E40" s="8" t="n"/>
      <c r="F40" s="8" t="n"/>
      <c r="G40" s="8" t="n"/>
      <c r="H40" s="8" t="n"/>
    </row>
    <row r="41">
      <c r="A41" s="8" t="n"/>
      <c r="B41" s="8" t="n"/>
      <c r="C41" s="8" t="n"/>
      <c r="D41" s="8" t="n"/>
      <c r="E41" s="8" t="n"/>
      <c r="F41" s="8" t="n"/>
      <c r="G41" s="8" t="n"/>
      <c r="H41" s="8" t="n"/>
    </row>
    <row r="42">
      <c r="A42" s="8" t="n"/>
      <c r="B42" s="8" t="n"/>
      <c r="C42" s="8" t="n"/>
      <c r="D42" s="8" t="n"/>
      <c r="E42" s="8" t="n"/>
      <c r="F42" s="8" t="n"/>
      <c r="G42" s="8" t="n"/>
      <c r="H42" s="8" t="n"/>
    </row>
    <row r="43">
      <c r="A43" s="8" t="n"/>
      <c r="B43" s="8" t="n"/>
      <c r="C43" s="8" t="n"/>
      <c r="D43" s="8" t="n"/>
      <c r="E43" s="8" t="n"/>
      <c r="F43" s="8" t="n"/>
      <c r="G43" s="8" t="n"/>
      <c r="H43" s="8" t="n"/>
    </row>
    <row r="44">
      <c r="A44" s="8" t="n"/>
      <c r="B44" s="8" t="n"/>
      <c r="C44" s="8" t="n"/>
      <c r="D44" s="8" t="n"/>
      <c r="E44" s="8" t="n"/>
      <c r="F44" s="8" t="n"/>
      <c r="G44" s="8" t="n"/>
      <c r="H44" s="8" t="n"/>
    </row>
    <row r="45">
      <c r="A45" s="8" t="n"/>
      <c r="B45" s="8" t="n"/>
      <c r="C45" s="8" t="n"/>
      <c r="D45" s="8" t="n"/>
      <c r="E45" s="8" t="n"/>
      <c r="F45" s="8" t="n"/>
      <c r="G45" s="8" t="n"/>
      <c r="H45" s="8" t="n"/>
    </row>
    <row r="46">
      <c r="A46" s="8" t="n"/>
      <c r="B46" s="8" t="n"/>
      <c r="C46" s="8" t="n"/>
      <c r="D46" s="8" t="n"/>
      <c r="E46" s="8" t="n"/>
      <c r="F46" s="8" t="n"/>
      <c r="G46" s="8" t="n"/>
      <c r="H46" s="8" t="n"/>
    </row>
    <row r="47">
      <c r="A47" s="8" t="n"/>
      <c r="B47" s="8" t="n"/>
      <c r="C47" s="8" t="n"/>
      <c r="D47" s="8" t="n"/>
      <c r="E47" s="8" t="n"/>
      <c r="F47" s="8" t="n"/>
      <c r="G47" s="8" t="n"/>
      <c r="H47" s="8" t="n"/>
    </row>
    <row r="48">
      <c r="A48" s="8" t="n"/>
      <c r="B48" s="8" t="n"/>
      <c r="C48" s="8" t="n"/>
      <c r="D48" s="8" t="n"/>
      <c r="E48" s="8" t="n"/>
      <c r="F48" s="8" t="n"/>
      <c r="G48" s="8" t="n"/>
      <c r="H48" s="8" t="n"/>
    </row>
    <row r="49">
      <c r="A49" s="8" t="n"/>
      <c r="B49" s="8" t="n"/>
      <c r="C49" s="8" t="n"/>
      <c r="D49" s="8" t="n"/>
      <c r="E49" s="8" t="n"/>
      <c r="F49" s="8" t="n"/>
      <c r="G49" s="8" t="n"/>
      <c r="H49" s="8" t="n"/>
    </row>
    <row r="50">
      <c r="A50" s="8" t="n"/>
      <c r="B50" s="8" t="n"/>
      <c r="C50" s="8" t="n"/>
      <c r="D50" s="8" t="n"/>
      <c r="E50" s="8" t="n"/>
      <c r="F50" s="8" t="n"/>
      <c r="G50" s="8" t="n"/>
      <c r="H50" s="8" t="n"/>
    </row>
    <row r="51">
      <c r="A51" s="8" t="n"/>
      <c r="B51" s="8" t="n"/>
      <c r="C51" s="8" t="n"/>
      <c r="D51" s="8" t="n"/>
      <c r="E51" s="8" t="n"/>
      <c r="F51" s="8" t="n"/>
      <c r="G51" s="8" t="n"/>
      <c r="H51" s="8" t="n"/>
    </row>
    <row r="52">
      <c r="A52" s="8" t="n"/>
      <c r="B52" s="8" t="n"/>
      <c r="C52" s="8" t="n"/>
      <c r="D52" s="8" t="n"/>
      <c r="E52" s="8" t="n"/>
      <c r="F52" s="8" t="n"/>
      <c r="G52" s="8" t="n"/>
      <c r="H52" s="8" t="n"/>
    </row>
    <row r="53">
      <c r="A53" s="8" t="n"/>
      <c r="B53" s="8" t="n"/>
      <c r="C53" s="8" t="n"/>
      <c r="D53" s="8" t="n"/>
      <c r="E53" s="8" t="n"/>
      <c r="F53" s="8" t="n"/>
      <c r="G53" s="8" t="n"/>
      <c r="H53" s="8" t="n"/>
    </row>
    <row r="54">
      <c r="A54" s="8" t="n"/>
      <c r="B54" s="8" t="n"/>
      <c r="C54" s="8" t="n"/>
      <c r="D54" s="8" t="n"/>
      <c r="E54" s="8" t="n"/>
      <c r="F54" s="8" t="n"/>
      <c r="G54" s="8" t="n"/>
      <c r="H54" s="8" t="n"/>
    </row>
    <row r="55">
      <c r="A55" s="8" t="n"/>
      <c r="B55" s="8" t="n"/>
      <c r="C55" s="8" t="n"/>
      <c r="D55" s="8" t="n"/>
      <c r="E55" s="8" t="n"/>
      <c r="F55" s="8" t="n"/>
      <c r="G55" s="8" t="n"/>
      <c r="H55" s="8" t="n"/>
    </row>
    <row r="56">
      <c r="A56" s="8" t="n"/>
      <c r="B56" s="8" t="n"/>
      <c r="C56" s="8" t="n"/>
      <c r="D56" s="8" t="n"/>
      <c r="E56" s="8" t="n"/>
      <c r="F56" s="8" t="n"/>
      <c r="G56" s="8" t="n"/>
      <c r="H56" s="8" t="n"/>
    </row>
    <row r="57">
      <c r="A57" s="8" t="n"/>
      <c r="B57" s="8" t="n"/>
      <c r="C57" s="8" t="n"/>
      <c r="D57" s="8" t="n"/>
      <c r="E57" s="8" t="n"/>
      <c r="F57" s="8" t="n"/>
      <c r="G57" s="8" t="n"/>
      <c r="H57" s="8" t="n"/>
    </row>
    <row r="58">
      <c r="A58" s="8" t="n"/>
      <c r="B58" s="8" t="n"/>
      <c r="C58" s="8" t="n"/>
      <c r="D58" s="8" t="n"/>
      <c r="E58" s="8" t="n"/>
      <c r="F58" s="8" t="n"/>
      <c r="G58" s="8" t="n"/>
      <c r="H58" s="8" t="n"/>
    </row>
    <row r="59">
      <c r="A59" s="8" t="n"/>
      <c r="B59" s="8" t="n"/>
      <c r="C59" s="8" t="n"/>
      <c r="D59" s="8" t="n"/>
      <c r="E59" s="8" t="n"/>
      <c r="F59" s="8" t="n"/>
      <c r="G59" s="8" t="n"/>
      <c r="H59" s="8" t="n"/>
    </row>
    <row r="60">
      <c r="A60" s="8" t="n"/>
      <c r="B60" s="8" t="n"/>
      <c r="C60" s="8" t="n"/>
      <c r="D60" s="8" t="n"/>
      <c r="E60" s="8" t="n"/>
      <c r="F60" s="8" t="n"/>
      <c r="G60" s="8" t="n"/>
      <c r="H60" s="8" t="n"/>
    </row>
    <row r="61">
      <c r="A61" s="8" t="n"/>
      <c r="B61" s="8" t="n"/>
      <c r="C61" s="8" t="n"/>
      <c r="D61" s="8" t="n"/>
      <c r="E61" s="8" t="n"/>
      <c r="F61" s="8" t="n"/>
      <c r="G61" s="8" t="n"/>
      <c r="H61" s="8" t="n"/>
    </row>
    <row r="62">
      <c r="A62" s="8" t="n"/>
      <c r="B62" s="8" t="n"/>
      <c r="C62" s="8" t="n"/>
      <c r="D62" s="8" t="n"/>
      <c r="E62" s="8" t="n"/>
      <c r="F62" s="8" t="n"/>
      <c r="G62" s="8" t="n"/>
      <c r="H62" s="8" t="n"/>
    </row>
    <row r="63">
      <c r="A63" s="8" t="n"/>
      <c r="B63" s="8" t="n"/>
      <c r="C63" s="8" t="n"/>
      <c r="D63" s="8" t="n"/>
      <c r="E63" s="8" t="n"/>
      <c r="F63" s="8" t="n"/>
      <c r="G63" s="8" t="n"/>
      <c r="H63" s="8" t="n"/>
    </row>
    <row r="64">
      <c r="A64" s="8" t="n"/>
      <c r="B64" s="8" t="n"/>
      <c r="C64" s="8" t="n"/>
      <c r="D64" s="8" t="n"/>
      <c r="E64" s="8" t="n"/>
      <c r="F64" s="8" t="n"/>
      <c r="G64" s="8" t="n"/>
      <c r="H64" s="8" t="n"/>
    </row>
    <row r="65">
      <c r="A65" s="8" t="n"/>
      <c r="B65" s="8" t="n"/>
      <c r="C65" s="8" t="n"/>
      <c r="D65" s="8" t="n"/>
      <c r="E65" s="8" t="n"/>
      <c r="F65" s="8" t="n"/>
      <c r="G65" s="8" t="n"/>
      <c r="H65" s="8" t="n"/>
    </row>
    <row r="66">
      <c r="A66" s="8" t="n"/>
      <c r="B66" s="8" t="n"/>
      <c r="C66" s="8" t="n"/>
      <c r="D66" s="8" t="n"/>
      <c r="E66" s="8" t="n"/>
      <c r="F66" s="8" t="n"/>
      <c r="G66" s="8" t="n"/>
      <c r="H66" s="8" t="n"/>
    </row>
    <row r="67">
      <c r="A67" s="8" t="n"/>
      <c r="B67" s="8" t="n"/>
      <c r="C67" s="8" t="n"/>
      <c r="D67" s="8" t="n"/>
      <c r="E67" s="8" t="n"/>
      <c r="F67" s="8" t="n"/>
      <c r="G67" s="8" t="n"/>
      <c r="H67" s="8" t="n"/>
    </row>
    <row r="68">
      <c r="A68" s="8" t="n"/>
      <c r="B68" s="8" t="n"/>
      <c r="C68" s="8" t="n"/>
      <c r="D68" s="8" t="n"/>
      <c r="E68" s="8" t="n"/>
      <c r="F68" s="8" t="n"/>
      <c r="G68" s="8" t="n"/>
      <c r="H68" s="8" t="n"/>
    </row>
    <row r="69">
      <c r="A69" s="8" t="n"/>
      <c r="B69" s="8" t="n"/>
      <c r="C69" s="8" t="n"/>
      <c r="D69" s="8" t="n"/>
      <c r="E69" s="8" t="n"/>
      <c r="F69" s="8" t="n"/>
      <c r="G69" s="8" t="n"/>
      <c r="H69" s="8" t="n"/>
    </row>
    <row r="70">
      <c r="A70" s="8" t="n"/>
      <c r="B70" s="8" t="n"/>
      <c r="C70" s="8" t="n"/>
      <c r="D70" s="8" t="n"/>
      <c r="E70" s="8" t="n"/>
      <c r="F70" s="8" t="n"/>
      <c r="G70" s="8" t="n"/>
      <c r="H70" s="8" t="n"/>
    </row>
    <row r="71">
      <c r="A71" s="8" t="n"/>
      <c r="B71" s="8" t="n"/>
      <c r="C71" s="8" t="n"/>
      <c r="D71" s="8" t="n"/>
      <c r="E71" s="8" t="n"/>
      <c r="F71" s="8" t="n"/>
      <c r="G71" s="8" t="n"/>
      <c r="H71" s="8" t="n"/>
    </row>
    <row r="72">
      <c r="A72" s="8" t="n"/>
      <c r="B72" s="8" t="n"/>
      <c r="C72" s="8" t="n"/>
      <c r="D72" s="8" t="n"/>
      <c r="E72" s="8" t="n"/>
      <c r="F72" s="8" t="n"/>
      <c r="G72" s="8" t="n"/>
      <c r="H72" s="8" t="n"/>
    </row>
    <row r="73">
      <c r="A73" s="8" t="n"/>
      <c r="B73" s="8" t="n"/>
      <c r="C73" s="8" t="n"/>
      <c r="D73" s="8" t="n"/>
      <c r="E73" s="8" t="n"/>
      <c r="F73" s="8" t="n"/>
      <c r="G73" s="8" t="n"/>
      <c r="H73" s="8" t="n"/>
    </row>
    <row r="74">
      <c r="A74" s="8" t="n"/>
      <c r="B74" s="8" t="n"/>
      <c r="C74" s="8" t="n"/>
      <c r="D74" s="8" t="n"/>
      <c r="E74" s="8" t="n"/>
      <c r="F74" s="8" t="n"/>
      <c r="G74" s="8" t="n"/>
      <c r="H74" s="8" t="n"/>
    </row>
    <row r="75">
      <c r="A75" s="8" t="n"/>
      <c r="B75" s="8" t="n"/>
      <c r="C75" s="8" t="n"/>
      <c r="D75" s="8" t="n"/>
      <c r="E75" s="8" t="n"/>
      <c r="F75" s="8" t="n"/>
      <c r="G75" s="8" t="n"/>
      <c r="H75" s="8" t="n"/>
    </row>
    <row r="76">
      <c r="A76" s="8" t="n"/>
      <c r="B76" s="8" t="n"/>
      <c r="C76" s="8" t="n"/>
      <c r="D76" s="8" t="n"/>
      <c r="E76" s="8" t="n"/>
      <c r="F76" s="8" t="n"/>
      <c r="G76" s="8" t="n"/>
      <c r="H76" s="8" t="n"/>
    </row>
    <row r="77">
      <c r="A77" s="8" t="n"/>
      <c r="B77" s="8" t="n"/>
      <c r="C77" s="8" t="n"/>
      <c r="D77" s="8" t="n"/>
      <c r="E77" s="8" t="n"/>
      <c r="F77" s="8" t="n"/>
      <c r="G77" s="8" t="n"/>
      <c r="H77" s="8" t="n"/>
    </row>
    <row r="78">
      <c r="A78" s="8" t="n"/>
      <c r="B78" s="8" t="n"/>
      <c r="C78" s="8" t="n"/>
      <c r="D78" s="8" t="n"/>
      <c r="E78" s="8" t="n"/>
      <c r="F78" s="8" t="n"/>
      <c r="G78" s="8" t="n"/>
      <c r="H78" s="8" t="n"/>
    </row>
    <row r="79">
      <c r="A79" s="8" t="n"/>
      <c r="B79" s="8" t="n"/>
      <c r="C79" s="8" t="n"/>
      <c r="D79" s="8" t="n"/>
      <c r="E79" s="8" t="n"/>
      <c r="F79" s="8" t="n"/>
      <c r="G79" s="8" t="n"/>
      <c r="H79" s="8" t="n"/>
    </row>
    <row r="80">
      <c r="A80" s="8" t="n"/>
      <c r="B80" s="8" t="n"/>
      <c r="C80" s="8" t="n"/>
      <c r="D80" s="8" t="n"/>
      <c r="E80" s="8" t="n"/>
      <c r="F80" s="8" t="n"/>
      <c r="G80" s="8" t="n"/>
      <c r="H80" s="8" t="n"/>
    </row>
    <row r="81">
      <c r="A81" s="8" t="n"/>
      <c r="B81" s="8" t="n"/>
      <c r="C81" s="8" t="n"/>
      <c r="D81" s="8" t="n"/>
      <c r="E81" s="8" t="n"/>
      <c r="F81" s="8" t="n"/>
      <c r="G81" s="8" t="n"/>
      <c r="H81" s="8" t="n"/>
    </row>
    <row r="82">
      <c r="A82" s="8" t="n"/>
      <c r="B82" s="8" t="n"/>
      <c r="C82" s="8" t="n"/>
      <c r="D82" s="8" t="n"/>
      <c r="E82" s="8" t="n"/>
      <c r="F82" s="8" t="n"/>
      <c r="G82" s="8" t="n"/>
      <c r="H82" s="8" t="n"/>
    </row>
    <row r="83">
      <c r="A83" s="8" t="n"/>
      <c r="B83" s="8" t="n"/>
      <c r="C83" s="8" t="n"/>
      <c r="D83" s="8" t="n"/>
      <c r="E83" s="8" t="n"/>
      <c r="F83" s="8" t="n"/>
      <c r="G83" s="8" t="n"/>
      <c r="H83" s="8" t="n"/>
    </row>
    <row r="84">
      <c r="A84" s="8" t="n"/>
      <c r="B84" s="8" t="n"/>
      <c r="C84" s="8" t="n"/>
      <c r="D84" s="8" t="n"/>
      <c r="E84" s="8" t="n"/>
      <c r="F84" s="8" t="n"/>
      <c r="G84" s="8" t="n"/>
      <c r="H84" s="8" t="n"/>
    </row>
    <row r="85">
      <c r="A85" s="8" t="n"/>
      <c r="B85" s="8" t="n"/>
      <c r="C85" s="8" t="n"/>
      <c r="D85" s="8" t="n"/>
      <c r="E85" s="8" t="n"/>
      <c r="F85" s="8" t="n"/>
      <c r="G85" s="8" t="n"/>
      <c r="H85" s="8" t="n"/>
    </row>
    <row r="86">
      <c r="A86" s="8" t="n"/>
      <c r="B86" s="8" t="n"/>
      <c r="C86" s="8" t="n"/>
      <c r="D86" s="8" t="n"/>
      <c r="E86" s="8" t="n"/>
      <c r="F86" s="8" t="n"/>
      <c r="G86" s="8" t="n"/>
      <c r="H86" s="8" t="n"/>
    </row>
    <row r="87">
      <c r="A87" s="8" t="n"/>
      <c r="B87" s="8" t="n"/>
      <c r="C87" s="8" t="n"/>
      <c r="D87" s="8" t="n"/>
      <c r="E87" s="8" t="n"/>
      <c r="F87" s="8" t="n"/>
      <c r="G87" s="8" t="n"/>
      <c r="H87" s="8" t="n"/>
    </row>
    <row r="88">
      <c r="A88" s="8" t="n"/>
      <c r="B88" s="8" t="n"/>
      <c r="C88" s="8" t="n"/>
      <c r="D88" s="8" t="n"/>
      <c r="E88" s="8" t="n"/>
      <c r="F88" s="8" t="n"/>
      <c r="G88" s="8" t="n"/>
      <c r="H88" s="8" t="n"/>
    </row>
    <row r="89">
      <c r="A89" s="8" t="n"/>
      <c r="B89" s="8" t="n"/>
      <c r="C89" s="8" t="n"/>
      <c r="D89" s="8" t="n"/>
      <c r="E89" s="8" t="n"/>
      <c r="F89" s="8" t="n"/>
      <c r="G89" s="8" t="n"/>
      <c r="H89" s="8" t="n"/>
    </row>
    <row r="90">
      <c r="A90" s="8" t="n"/>
      <c r="B90" s="8" t="n"/>
      <c r="C90" s="8" t="n"/>
      <c r="D90" s="8" t="n"/>
      <c r="E90" s="8" t="n"/>
      <c r="F90" s="8" t="n"/>
      <c r="G90" s="8" t="n"/>
      <c r="H90" s="8" t="n"/>
    </row>
    <row r="91">
      <c r="A91" s="8" t="n"/>
      <c r="B91" s="8" t="n"/>
      <c r="C91" s="8" t="n"/>
      <c r="D91" s="8" t="n"/>
      <c r="E91" s="8" t="n"/>
      <c r="F91" s="8" t="n"/>
      <c r="G91" s="8" t="n"/>
      <c r="H91" s="8" t="n"/>
    </row>
    <row r="92">
      <c r="A92" s="8" t="n"/>
      <c r="B92" s="8" t="n"/>
      <c r="C92" s="8" t="n"/>
      <c r="D92" s="8" t="n"/>
      <c r="E92" s="8" t="n"/>
      <c r="F92" s="8" t="n"/>
      <c r="G92" s="8" t="n"/>
      <c r="H92" s="8" t="n"/>
    </row>
    <row r="93">
      <c r="A93" s="8" t="n"/>
      <c r="B93" s="8" t="n"/>
      <c r="C93" s="8" t="n"/>
      <c r="D93" s="8" t="n"/>
      <c r="E93" s="8" t="n"/>
      <c r="F93" s="8" t="n"/>
      <c r="G93" s="8" t="n"/>
      <c r="H93" s="8" t="n"/>
    </row>
    <row r="94">
      <c r="A94" s="8" t="n"/>
      <c r="B94" s="8" t="n"/>
      <c r="C94" s="8" t="n"/>
      <c r="D94" s="8" t="n"/>
      <c r="E94" s="8" t="n"/>
      <c r="F94" s="8" t="n"/>
      <c r="G94" s="8" t="n"/>
      <c r="H94" s="8" t="n"/>
    </row>
    <row r="95">
      <c r="A95" s="8" t="n"/>
      <c r="B95" s="8" t="n"/>
      <c r="C95" s="8" t="n"/>
      <c r="D95" s="8" t="n"/>
      <c r="E95" s="8" t="n"/>
      <c r="F95" s="8" t="n"/>
      <c r="G95" s="8" t="n"/>
      <c r="H95" s="8" t="n"/>
    </row>
    <row r="96">
      <c r="A96" s="8" t="n"/>
      <c r="B96" s="8" t="n"/>
      <c r="C96" s="8" t="n"/>
      <c r="D96" s="8" t="n"/>
      <c r="E96" s="8" t="n"/>
      <c r="F96" s="8" t="n"/>
      <c r="G96" s="8" t="n"/>
      <c r="H96" s="8" t="n"/>
    </row>
    <row r="97">
      <c r="A97" s="8" t="n"/>
      <c r="B97" s="8" t="n"/>
      <c r="C97" s="8" t="n"/>
      <c r="D97" s="8" t="n"/>
      <c r="E97" s="8" t="n"/>
      <c r="F97" s="8" t="n"/>
      <c r="G97" s="8" t="n"/>
      <c r="H97" s="8" t="n"/>
    </row>
    <row r="98">
      <c r="A98" s="8" t="n"/>
      <c r="B98" s="8" t="n"/>
      <c r="C98" s="8" t="n"/>
      <c r="D98" s="8" t="n"/>
      <c r="E98" s="8" t="n"/>
      <c r="F98" s="8" t="n"/>
      <c r="G98" s="8" t="n"/>
      <c r="H98" s="8" t="n"/>
    </row>
    <row r="99">
      <c r="A99" s="8" t="n"/>
      <c r="B99" s="8" t="n"/>
      <c r="C99" s="8" t="n"/>
      <c r="D99" s="8" t="n"/>
      <c r="E99" s="8" t="n"/>
      <c r="F99" s="8" t="n"/>
      <c r="G99" s="8" t="n"/>
      <c r="H99" s="8" t="n"/>
    </row>
    <row r="100">
      <c r="A100" s="8" t="n"/>
      <c r="B100" s="8" t="n"/>
      <c r="C100" s="8" t="n"/>
      <c r="D100" s="8" t="n"/>
      <c r="E100" s="8" t="n"/>
      <c r="F100" s="8" t="n"/>
      <c r="G100" s="8" t="n"/>
      <c r="H100" s="8" t="n"/>
    </row>
    <row r="101">
      <c r="A101" s="8" t="n"/>
      <c r="B101" s="8" t="n"/>
      <c r="C101" s="8" t="n"/>
      <c r="D101" s="8" t="n"/>
      <c r="E101" s="8" t="n"/>
      <c r="F101" s="8" t="n"/>
      <c r="G101" s="8" t="n"/>
      <c r="H101" s="8" t="n"/>
    </row>
    <row r="102">
      <c r="A102" s="8" t="n"/>
      <c r="B102" s="8" t="n"/>
      <c r="C102" s="8" t="n"/>
      <c r="D102" s="8" t="n"/>
      <c r="E102" s="8" t="n"/>
      <c r="F102" s="8" t="n"/>
      <c r="G102" s="8" t="n"/>
      <c r="H102" s="8" t="n"/>
    </row>
    <row r="103">
      <c r="A103" s="8" t="n"/>
      <c r="B103" s="8" t="n"/>
      <c r="C103" s="8" t="n"/>
      <c r="D103" s="8" t="n"/>
      <c r="E103" s="8" t="n"/>
      <c r="F103" s="8" t="n"/>
      <c r="G103" s="8" t="n"/>
      <c r="H103" s="8" t="n"/>
    </row>
    <row r="104">
      <c r="A104" s="8" t="n"/>
      <c r="B104" s="8" t="n"/>
      <c r="C104" s="8" t="n"/>
      <c r="D104" s="8" t="n"/>
      <c r="E104" s="8" t="n"/>
      <c r="F104" s="8" t="n"/>
      <c r="G104" s="8" t="n"/>
      <c r="H104" s="8" t="n"/>
    </row>
    <row r="105">
      <c r="A105" s="8" t="n"/>
      <c r="B105" s="8" t="n"/>
      <c r="C105" s="8" t="n"/>
      <c r="D105" s="8" t="n"/>
      <c r="E105" s="8" t="n"/>
      <c r="F105" s="8" t="n"/>
      <c r="G105" s="8" t="n"/>
      <c r="H105" s="8" t="n"/>
    </row>
    <row r="106">
      <c r="A106" s="8" t="n"/>
      <c r="B106" s="8" t="n"/>
      <c r="C106" s="8" t="n"/>
      <c r="D106" s="8" t="n"/>
      <c r="E106" s="8" t="n"/>
      <c r="F106" s="8" t="n"/>
      <c r="G106" s="8" t="n"/>
      <c r="H106" s="8" t="n"/>
    </row>
    <row r="107">
      <c r="A107" s="8" t="n"/>
      <c r="B107" s="8" t="n"/>
      <c r="C107" s="8" t="n"/>
      <c r="D107" s="8" t="n"/>
      <c r="E107" s="8" t="n"/>
      <c r="F107" s="8" t="n"/>
      <c r="G107" s="8" t="n"/>
      <c r="H107" s="8" t="n"/>
    </row>
    <row r="108">
      <c r="A108" s="8" t="n"/>
      <c r="B108" s="8" t="n"/>
      <c r="C108" s="8" t="n"/>
      <c r="D108" s="8" t="n"/>
      <c r="E108" s="8" t="n"/>
      <c r="F108" s="8" t="n"/>
      <c r="G108" s="8" t="n"/>
      <c r="H108" s="8" t="n"/>
    </row>
    <row r="109">
      <c r="A109" s="8" t="n"/>
      <c r="B109" s="8" t="n"/>
      <c r="C109" s="8" t="n"/>
      <c r="D109" s="8" t="n"/>
      <c r="E109" s="8" t="n"/>
      <c r="F109" s="8" t="n"/>
      <c r="G109" s="8" t="n"/>
      <c r="H109" s="8" t="n"/>
    </row>
    <row r="110">
      <c r="A110" s="8" t="n"/>
      <c r="B110" s="8" t="n"/>
      <c r="C110" s="8" t="n"/>
      <c r="D110" s="8" t="n"/>
      <c r="E110" s="8" t="n"/>
      <c r="F110" s="8" t="n"/>
      <c r="G110" s="8" t="n"/>
      <c r="H110" s="8" t="n"/>
    </row>
    <row r="111">
      <c r="A111" s="8" t="n"/>
      <c r="B111" s="8" t="n"/>
      <c r="C111" s="8" t="n"/>
      <c r="D111" s="8" t="n"/>
      <c r="E111" s="8" t="n"/>
      <c r="F111" s="8" t="n"/>
      <c r="G111" s="8" t="n"/>
      <c r="H111" s="8" t="n"/>
    </row>
    <row r="112">
      <c r="A112" s="8" t="n"/>
      <c r="B112" s="8" t="n"/>
      <c r="C112" s="8" t="n"/>
      <c r="D112" s="8" t="n"/>
      <c r="E112" s="8" t="n"/>
      <c r="F112" s="8" t="n"/>
      <c r="G112" s="8" t="n"/>
      <c r="H112" s="8" t="n"/>
    </row>
    <row r="113">
      <c r="A113" s="8" t="n"/>
      <c r="B113" s="8" t="n"/>
      <c r="C113" s="8" t="n"/>
      <c r="D113" s="8" t="n"/>
      <c r="E113" s="8" t="n"/>
      <c r="F113" s="8" t="n"/>
      <c r="G113" s="8" t="n"/>
      <c r="H113" s="8" t="n"/>
    </row>
    <row r="114">
      <c r="A114" s="8" t="n"/>
      <c r="B114" s="8" t="n"/>
      <c r="C114" s="8" t="n"/>
      <c r="D114" s="8" t="n"/>
      <c r="E114" s="8" t="n"/>
      <c r="F114" s="8" t="n"/>
      <c r="G114" s="8" t="n"/>
      <c r="H114" s="8" t="n"/>
    </row>
    <row r="115">
      <c r="A115" s="8" t="n"/>
      <c r="B115" s="8" t="n"/>
      <c r="C115" s="8" t="n"/>
      <c r="D115" s="8" t="n"/>
      <c r="E115" s="8" t="n"/>
      <c r="F115" s="8" t="n"/>
      <c r="G115" s="8" t="n"/>
      <c r="H115" s="8" t="n"/>
    </row>
    <row r="116">
      <c r="A116" s="8" t="n"/>
      <c r="B116" s="8" t="n"/>
      <c r="C116" s="8" t="n"/>
      <c r="D116" s="8" t="n"/>
      <c r="E116" s="8" t="n"/>
      <c r="F116" s="8" t="n"/>
      <c r="G116" s="8" t="n"/>
      <c r="H116" s="8" t="n"/>
    </row>
    <row r="117">
      <c r="A117" s="8" t="n"/>
      <c r="B117" s="8" t="n"/>
      <c r="C117" s="8" t="n"/>
      <c r="D117" s="8" t="n"/>
      <c r="E117" s="8" t="n"/>
      <c r="F117" s="8" t="n"/>
      <c r="G117" s="8" t="n"/>
      <c r="H117" s="8" t="n"/>
    </row>
    <row r="118">
      <c r="A118" s="8" t="n"/>
      <c r="B118" s="8" t="n"/>
      <c r="C118" s="8" t="n"/>
      <c r="D118" s="8" t="n"/>
      <c r="E118" s="8" t="n"/>
      <c r="F118" s="8" t="n"/>
      <c r="G118" s="8" t="n"/>
      <c r="H118" s="8" t="n"/>
    </row>
    <row r="119">
      <c r="A119" s="8" t="n"/>
      <c r="B119" s="8" t="n"/>
      <c r="C119" s="8" t="n"/>
      <c r="D119" s="8" t="n"/>
      <c r="E119" s="8" t="n"/>
      <c r="F119" s="8" t="n"/>
      <c r="G119" s="8" t="n"/>
      <c r="H119" s="8" t="n"/>
    </row>
    <row r="120">
      <c r="A120" s="8" t="n"/>
      <c r="B120" s="8" t="n"/>
      <c r="C120" s="8" t="n"/>
      <c r="D120" s="8" t="n"/>
      <c r="E120" s="8" t="n"/>
      <c r="F120" s="8" t="n"/>
      <c r="G120" s="8" t="n"/>
      <c r="H120" s="8" t="n"/>
    </row>
    <row r="121">
      <c r="A121" s="8" t="n"/>
      <c r="B121" s="8" t="n"/>
      <c r="C121" s="8" t="n"/>
      <c r="D121" s="8" t="n"/>
      <c r="E121" s="8" t="n"/>
      <c r="F121" s="8" t="n"/>
      <c r="G121" s="8" t="n"/>
      <c r="H121" s="8" t="n"/>
    </row>
    <row r="122">
      <c r="A122" s="8" t="n"/>
      <c r="B122" s="8" t="n"/>
      <c r="C122" s="8" t="n"/>
      <c r="D122" s="8" t="n"/>
      <c r="E122" s="8" t="n"/>
      <c r="F122" s="8" t="n"/>
      <c r="G122" s="8" t="n"/>
      <c r="H122" s="8" t="n"/>
    </row>
    <row r="123">
      <c r="A123" s="8" t="n"/>
      <c r="B123" s="8" t="n"/>
      <c r="C123" s="8" t="n"/>
      <c r="D123" s="8" t="n"/>
      <c r="E123" s="8" t="n"/>
      <c r="F123" s="8" t="n"/>
      <c r="G123" s="8" t="n"/>
      <c r="H123" s="8" t="n"/>
    </row>
    <row r="124">
      <c r="A124" s="8" t="n"/>
      <c r="B124" s="8" t="n"/>
      <c r="C124" s="8" t="n"/>
      <c r="D124" s="8" t="n"/>
      <c r="E124" s="8" t="n"/>
      <c r="F124" s="8" t="n"/>
      <c r="G124" s="8" t="n"/>
      <c r="H124" s="8" t="n"/>
    </row>
    <row r="125">
      <c r="A125" s="8" t="n"/>
      <c r="B125" s="8" t="n"/>
      <c r="C125" s="8" t="n"/>
      <c r="D125" s="8" t="n"/>
      <c r="E125" s="8" t="n"/>
      <c r="F125" s="8" t="n"/>
      <c r="G125" s="8" t="n"/>
      <c r="H125" s="8" t="n"/>
    </row>
    <row r="126">
      <c r="A126" s="8" t="n"/>
      <c r="B126" s="8" t="n"/>
      <c r="C126" s="8" t="n"/>
      <c r="D126" s="8" t="n"/>
      <c r="E126" s="8" t="n"/>
      <c r="F126" s="8" t="n"/>
      <c r="G126" s="8" t="n"/>
      <c r="H126" s="8" t="n"/>
    </row>
    <row r="127">
      <c r="A127" s="8" t="n"/>
      <c r="B127" s="8" t="n"/>
      <c r="C127" s="8" t="n"/>
      <c r="D127" s="8" t="n"/>
      <c r="E127" s="8" t="n"/>
      <c r="F127" s="8" t="n"/>
      <c r="G127" s="8" t="n"/>
      <c r="H127" s="8" t="n"/>
    </row>
    <row r="128">
      <c r="A128" s="8" t="n"/>
      <c r="B128" s="8" t="n"/>
      <c r="C128" s="8" t="n"/>
      <c r="D128" s="8" t="n"/>
      <c r="E128" s="8" t="n"/>
      <c r="F128" s="8" t="n"/>
      <c r="G128" s="8" t="n"/>
      <c r="H128" s="8" t="n"/>
    </row>
    <row r="129">
      <c r="A129" s="8" t="n"/>
      <c r="B129" s="8" t="n"/>
      <c r="C129" s="8" t="n"/>
      <c r="D129" s="8" t="n"/>
      <c r="E129" s="8" t="n"/>
      <c r="F129" s="8" t="n"/>
      <c r="G129" s="8" t="n"/>
      <c r="H129" s="8" t="n"/>
    </row>
    <row r="130">
      <c r="A130" s="8" t="n"/>
      <c r="B130" s="8" t="n"/>
      <c r="C130" s="8" t="n"/>
      <c r="D130" s="8" t="n"/>
      <c r="E130" s="8" t="n"/>
      <c r="F130" s="8" t="n"/>
      <c r="G130" s="8" t="n"/>
      <c r="H130" s="8" t="n"/>
    </row>
    <row r="131">
      <c r="A131" s="8" t="n"/>
      <c r="B131" s="8" t="n"/>
      <c r="C131" s="8" t="n"/>
      <c r="D131" s="8" t="n"/>
      <c r="E131" s="8" t="n"/>
      <c r="F131" s="8" t="n"/>
      <c r="G131" s="8" t="n"/>
      <c r="H131" s="8" t="n"/>
    </row>
    <row r="132">
      <c r="A132" s="8" t="n"/>
      <c r="B132" s="8" t="n"/>
      <c r="C132" s="8" t="n"/>
      <c r="D132" s="8" t="n"/>
      <c r="E132" s="8" t="n"/>
      <c r="F132" s="8" t="n"/>
      <c r="G132" s="8" t="n"/>
      <c r="H132" s="8" t="n"/>
    </row>
    <row r="133">
      <c r="A133" s="8" t="n"/>
      <c r="B133" s="8" t="n"/>
      <c r="C133" s="8" t="n"/>
      <c r="D133" s="8" t="n"/>
      <c r="E133" s="8" t="n"/>
      <c r="F133" s="8" t="n"/>
      <c r="G133" s="8" t="n"/>
      <c r="H133" s="8" t="n"/>
    </row>
    <row r="134">
      <c r="A134" s="8" t="n"/>
      <c r="B134" s="8" t="n"/>
      <c r="C134" s="8" t="n"/>
      <c r="D134" s="8" t="n"/>
      <c r="E134" s="8" t="n"/>
      <c r="F134" s="8" t="n"/>
      <c r="G134" s="8" t="n"/>
      <c r="H134" s="8" t="n"/>
    </row>
    <row r="135">
      <c r="A135" s="8" t="n"/>
      <c r="B135" s="8" t="n"/>
      <c r="C135" s="8" t="n"/>
      <c r="D135" s="8" t="n"/>
      <c r="E135" s="8" t="n"/>
      <c r="F135" s="8" t="n"/>
      <c r="G135" s="8" t="n"/>
      <c r="H135" s="8" t="n"/>
    </row>
    <row r="136">
      <c r="A136" s="8" t="n"/>
      <c r="B136" s="8" t="n"/>
      <c r="C136" s="8" t="n"/>
      <c r="D136" s="8" t="n"/>
      <c r="E136" s="8" t="n"/>
      <c r="F136" s="8" t="n"/>
      <c r="G136" s="8" t="n"/>
      <c r="H136" s="8" t="n"/>
    </row>
    <row r="137">
      <c r="A137" s="8" t="n"/>
      <c r="B137" s="8" t="n"/>
      <c r="C137" s="8" t="n"/>
      <c r="D137" s="8" t="n"/>
      <c r="E137" s="8" t="n"/>
      <c r="F137" s="8" t="n"/>
      <c r="G137" s="8" t="n"/>
      <c r="H137" s="8" t="n"/>
    </row>
    <row r="138">
      <c r="A138" s="8" t="n"/>
      <c r="B138" s="8" t="n"/>
      <c r="C138" s="8" t="n"/>
      <c r="D138" s="8" t="n"/>
      <c r="E138" s="8" t="n"/>
      <c r="F138" s="8" t="n"/>
      <c r="G138" s="8" t="n"/>
      <c r="H138" s="8" t="n"/>
    </row>
    <row r="139">
      <c r="A139" s="8" t="n"/>
      <c r="B139" s="8" t="n"/>
      <c r="C139" s="8" t="n"/>
      <c r="D139" s="8" t="n"/>
      <c r="E139" s="8" t="n"/>
      <c r="F139" s="8" t="n"/>
      <c r="G139" s="8" t="n"/>
      <c r="H139" s="8" t="n"/>
    </row>
    <row r="140">
      <c r="A140" s="8" t="n"/>
      <c r="B140" s="8" t="n"/>
      <c r="C140" s="8" t="n"/>
      <c r="D140" s="8" t="n"/>
      <c r="E140" s="8" t="n"/>
      <c r="F140" s="8" t="n"/>
      <c r="G140" s="8" t="n"/>
      <c r="H140" s="8" t="n"/>
    </row>
    <row r="141">
      <c r="A141" s="8" t="n"/>
      <c r="B141" s="8" t="n"/>
      <c r="C141" s="8" t="n"/>
      <c r="D141" s="8" t="n"/>
      <c r="E141" s="8" t="n"/>
      <c r="F141" s="8" t="n"/>
      <c r="G141" s="8" t="n"/>
      <c r="H141" s="8" t="n"/>
    </row>
    <row r="142">
      <c r="A142" s="8" t="n"/>
      <c r="B142" s="8" t="n"/>
      <c r="C142" s="8" t="n"/>
      <c r="D142" s="8" t="n"/>
      <c r="E142" s="8" t="n"/>
      <c r="F142" s="8" t="n"/>
      <c r="G142" s="8" t="n"/>
      <c r="H142" s="8" t="n"/>
    </row>
    <row r="143">
      <c r="A143" s="8" t="n"/>
      <c r="B143" s="8" t="n"/>
      <c r="C143" s="8" t="n"/>
      <c r="D143" s="8" t="n"/>
      <c r="E143" s="8" t="n"/>
      <c r="F143" s="8" t="n"/>
      <c r="G143" s="8" t="n"/>
      <c r="H143" s="8" t="n"/>
    </row>
    <row r="144">
      <c r="A144" s="8" t="n"/>
      <c r="B144" s="8" t="n"/>
      <c r="C144" s="8" t="n"/>
      <c r="D144" s="8" t="n"/>
      <c r="E144" s="8" t="n"/>
      <c r="F144" s="8" t="n"/>
      <c r="G144" s="8" t="n"/>
      <c r="H144" s="8" t="n"/>
    </row>
    <row r="145">
      <c r="A145" s="8" t="n"/>
      <c r="B145" s="8" t="n"/>
      <c r="C145" s="8" t="n"/>
      <c r="D145" s="8" t="n"/>
      <c r="E145" s="8" t="n"/>
      <c r="F145" s="8" t="n"/>
      <c r="G145" s="8" t="n"/>
      <c r="H145" s="8" t="n"/>
    </row>
    <row r="146">
      <c r="A146" s="8" t="n"/>
      <c r="B146" s="8" t="n"/>
      <c r="C146" s="8" t="n"/>
      <c r="D146" s="8" t="n"/>
      <c r="E146" s="8" t="n"/>
      <c r="F146" s="8" t="n"/>
      <c r="G146" s="8" t="n"/>
      <c r="H146" s="8" t="n"/>
    </row>
    <row r="147">
      <c r="A147" s="8" t="n"/>
      <c r="B147" s="8" t="n"/>
      <c r="C147" s="8" t="n"/>
      <c r="D147" s="8" t="n"/>
      <c r="E147" s="8" t="n"/>
      <c r="F147" s="8" t="n"/>
      <c r="G147" s="8" t="n"/>
      <c r="H147" s="8" t="n"/>
    </row>
    <row r="148">
      <c r="A148" s="8" t="n"/>
      <c r="B148" s="8" t="n"/>
      <c r="C148" s="8" t="n"/>
      <c r="D148" s="8" t="n"/>
      <c r="E148" s="8" t="n"/>
      <c r="F148" s="8" t="n"/>
      <c r="G148" s="8" t="n"/>
      <c r="H148" s="8" t="n"/>
    </row>
    <row r="149">
      <c r="A149" s="8" t="n"/>
      <c r="B149" s="8" t="n"/>
      <c r="C149" s="8" t="n"/>
      <c r="D149" s="8" t="n"/>
      <c r="E149" s="8" t="n"/>
      <c r="F149" s="8" t="n"/>
      <c r="G149" s="8" t="n"/>
      <c r="H149" s="8" t="n"/>
    </row>
    <row r="150">
      <c r="A150" s="8" t="n"/>
      <c r="B150" s="8" t="n"/>
      <c r="C150" s="8" t="n"/>
      <c r="D150" s="8" t="n"/>
      <c r="E150" s="8" t="n"/>
      <c r="F150" s="8" t="n"/>
      <c r="G150" s="8" t="n"/>
      <c r="H150" s="8" t="n"/>
    </row>
    <row r="151">
      <c r="A151" s="8" t="n"/>
      <c r="B151" s="8" t="n"/>
      <c r="C151" s="8" t="n"/>
      <c r="D151" s="8" t="n"/>
      <c r="E151" s="8" t="n"/>
      <c r="F151" s="8" t="n"/>
      <c r="G151" s="8" t="n"/>
      <c r="H151" s="8" t="n"/>
    </row>
    <row r="152">
      <c r="A152" s="8" t="n"/>
      <c r="B152" s="8" t="n"/>
      <c r="C152" s="8" t="n"/>
      <c r="D152" s="8" t="n"/>
      <c r="E152" s="8" t="n"/>
      <c r="F152" s="8" t="n"/>
      <c r="G152" s="8" t="n"/>
      <c r="H152" s="8" t="n"/>
    </row>
    <row r="153">
      <c r="A153" s="8" t="n"/>
      <c r="B153" s="8" t="n"/>
      <c r="C153" s="8" t="n"/>
      <c r="D153" s="8" t="n"/>
      <c r="E153" s="8" t="n"/>
      <c r="F153" s="8" t="n"/>
      <c r="G153" s="8" t="n"/>
      <c r="H153" s="8" t="n"/>
    </row>
    <row r="154">
      <c r="A154" s="8" t="n"/>
      <c r="B154" s="8" t="n"/>
      <c r="C154" s="8" t="n"/>
      <c r="D154" s="8" t="n"/>
      <c r="E154" s="8" t="n"/>
      <c r="F154" s="8" t="n"/>
      <c r="G154" s="8" t="n"/>
      <c r="H154" s="8" t="n"/>
    </row>
    <row r="155">
      <c r="A155" s="8" t="n"/>
      <c r="B155" s="8" t="n"/>
      <c r="C155" s="8" t="n"/>
      <c r="D155" s="8" t="n"/>
      <c r="E155" s="8" t="n"/>
      <c r="F155" s="8" t="n"/>
      <c r="G155" s="8" t="n"/>
      <c r="H155" s="8" t="n"/>
    </row>
    <row r="156">
      <c r="A156" s="8" t="n"/>
      <c r="B156" s="8" t="n"/>
      <c r="C156" s="8" t="n"/>
      <c r="D156" s="8" t="n"/>
      <c r="E156" s="8" t="n"/>
      <c r="F156" s="8" t="n"/>
      <c r="G156" s="8" t="n"/>
      <c r="H156" s="8" t="n"/>
    </row>
    <row r="157">
      <c r="A157" s="8" t="n"/>
      <c r="B157" s="8" t="n"/>
      <c r="C157" s="8" t="n"/>
      <c r="D157" s="8" t="n"/>
      <c r="E157" s="8" t="n"/>
      <c r="F157" s="8" t="n"/>
      <c r="G157" s="8" t="n"/>
      <c r="H157" s="8" t="n"/>
    </row>
    <row r="158">
      <c r="A158" s="8" t="n"/>
      <c r="B158" s="8" t="n"/>
      <c r="C158" s="8" t="n"/>
      <c r="D158" s="8" t="n"/>
      <c r="E158" s="8" t="n"/>
      <c r="F158" s="8" t="n"/>
      <c r="G158" s="8" t="n"/>
      <c r="H158" s="8" t="n"/>
    </row>
    <row r="159">
      <c r="A159" s="8" t="n"/>
      <c r="B159" s="8" t="n"/>
      <c r="C159" s="8" t="n"/>
      <c r="D159" s="8" t="n"/>
      <c r="E159" s="8" t="n"/>
      <c r="F159" s="8" t="n"/>
      <c r="G159" s="8" t="n"/>
      <c r="H159" s="8" t="n"/>
    </row>
    <row r="160">
      <c r="A160" s="8" t="n"/>
      <c r="B160" s="8" t="n"/>
      <c r="C160" s="8" t="n"/>
      <c r="D160" s="8" t="n"/>
      <c r="E160" s="8" t="n"/>
      <c r="F160" s="8" t="n"/>
      <c r="G160" s="8" t="n"/>
      <c r="H160" s="8" t="n"/>
    </row>
    <row r="161">
      <c r="A161" s="8" t="n"/>
      <c r="B161" s="8" t="n"/>
      <c r="C161" s="8" t="n"/>
      <c r="D161" s="8" t="n"/>
      <c r="E161" s="8" t="n"/>
      <c r="F161" s="8" t="n"/>
      <c r="G161" s="8" t="n"/>
      <c r="H161" s="8" t="n"/>
    </row>
    <row r="162">
      <c r="A162" s="8" t="n"/>
      <c r="B162" s="8" t="n"/>
      <c r="C162" s="8" t="n"/>
      <c r="D162" s="8" t="n"/>
      <c r="E162" s="8" t="n"/>
      <c r="F162" s="8" t="n"/>
      <c r="G162" s="8" t="n"/>
      <c r="H162" s="8" t="n"/>
    </row>
    <row r="163">
      <c r="A163" s="8" t="n"/>
      <c r="B163" s="8" t="n"/>
      <c r="C163" s="8" t="n"/>
      <c r="D163" s="8" t="n"/>
      <c r="E163" s="8" t="n"/>
      <c r="F163" s="8" t="n"/>
      <c r="G163" s="8" t="n"/>
      <c r="H163" s="8" t="n"/>
    </row>
    <row r="164">
      <c r="A164" s="8" t="n"/>
      <c r="B164" s="8" t="n"/>
      <c r="C164" s="8" t="n"/>
      <c r="D164" s="8" t="n"/>
      <c r="E164" s="8" t="n"/>
      <c r="F164" s="8" t="n"/>
      <c r="G164" s="8" t="n"/>
      <c r="H164" s="8" t="n"/>
    </row>
    <row r="165">
      <c r="A165" s="8" t="n"/>
      <c r="B165" s="8" t="n"/>
      <c r="C165" s="8" t="n"/>
      <c r="D165" s="8" t="n"/>
      <c r="E165" s="8" t="n"/>
      <c r="F165" s="8" t="n"/>
      <c r="G165" s="8" t="n"/>
      <c r="H165" s="8" t="n"/>
    </row>
    <row r="166">
      <c r="A166" s="8" t="n"/>
      <c r="B166" s="8" t="n"/>
      <c r="C166" s="8" t="n"/>
      <c r="D166" s="8" t="n"/>
      <c r="E166" s="8" t="n"/>
      <c r="F166" s="8" t="n"/>
      <c r="G166" s="8" t="n"/>
      <c r="H166" s="8" t="n"/>
    </row>
    <row r="167">
      <c r="A167" s="8" t="n"/>
      <c r="B167" s="8" t="n"/>
      <c r="C167" s="8" t="n"/>
      <c r="D167" s="8" t="n"/>
      <c r="E167" s="8" t="n"/>
      <c r="F167" s="8" t="n"/>
      <c r="G167" s="8" t="n"/>
      <c r="H167" s="8" t="n"/>
    </row>
    <row r="168">
      <c r="A168" s="8" t="n"/>
      <c r="B168" s="8" t="n"/>
      <c r="C168" s="8" t="n"/>
      <c r="D168" s="8" t="n"/>
      <c r="E168" s="8" t="n"/>
      <c r="F168" s="8" t="n"/>
      <c r="G168" s="8" t="n"/>
      <c r="H168" s="8" t="n"/>
    </row>
    <row r="169">
      <c r="A169" s="8" t="n"/>
      <c r="B169" s="8" t="n"/>
      <c r="C169" s="8" t="n"/>
      <c r="D169" s="8" t="n"/>
      <c r="E169" s="8" t="n"/>
      <c r="F169" s="8" t="n"/>
      <c r="G169" s="8" t="n"/>
      <c r="H169" s="8" t="n"/>
    </row>
    <row r="170">
      <c r="A170" s="8" t="n"/>
      <c r="B170" s="8" t="n"/>
      <c r="C170" s="8" t="n"/>
      <c r="D170" s="8" t="n"/>
      <c r="E170" s="8" t="n"/>
      <c r="F170" s="8" t="n"/>
      <c r="G170" s="8" t="n"/>
      <c r="H170" s="8" t="n"/>
    </row>
    <row r="171">
      <c r="A171" s="8" t="n"/>
      <c r="B171" s="8" t="n"/>
      <c r="C171" s="8" t="n"/>
      <c r="D171" s="8" t="n"/>
      <c r="E171" s="8" t="n"/>
      <c r="F171" s="8" t="n"/>
      <c r="G171" s="8" t="n"/>
      <c r="H171" s="8" t="n"/>
    </row>
    <row r="172">
      <c r="A172" s="8" t="n"/>
      <c r="B172" s="8" t="n"/>
      <c r="C172" s="8" t="n"/>
      <c r="D172" s="8" t="n"/>
      <c r="E172" s="8" t="n"/>
      <c r="F172" s="8" t="n"/>
      <c r="G172" s="8" t="n"/>
      <c r="H172" s="8" t="n"/>
    </row>
    <row r="173">
      <c r="A173" s="8" t="n"/>
      <c r="B173" s="8" t="n"/>
      <c r="C173" s="8" t="n"/>
      <c r="D173" s="8" t="n"/>
      <c r="E173" s="8" t="n"/>
      <c r="F173" s="8" t="n"/>
      <c r="G173" s="8" t="n"/>
      <c r="H173" s="8" t="n"/>
    </row>
    <row r="174">
      <c r="A174" s="8" t="n"/>
      <c r="B174" s="8" t="n"/>
      <c r="C174" s="8" t="n"/>
      <c r="D174" s="8" t="n"/>
      <c r="E174" s="8" t="n"/>
      <c r="F174" s="8" t="n"/>
      <c r="G174" s="8" t="n"/>
      <c r="H174" s="8" t="n"/>
    </row>
    <row r="175">
      <c r="A175" s="8" t="n"/>
      <c r="B175" s="8" t="n"/>
      <c r="C175" s="8" t="n"/>
      <c r="D175" s="8" t="n"/>
      <c r="E175" s="8" t="n"/>
      <c r="F175" s="8" t="n"/>
      <c r="G175" s="8" t="n"/>
      <c r="H175" s="8" t="n"/>
    </row>
    <row r="176">
      <c r="A176" s="8" t="n"/>
      <c r="B176" s="8" t="n"/>
      <c r="C176" s="8" t="n"/>
      <c r="D176" s="8" t="n"/>
      <c r="E176" s="8" t="n"/>
      <c r="F176" s="8" t="n"/>
      <c r="G176" s="8" t="n"/>
      <c r="H176" s="8" t="n"/>
    </row>
    <row r="177">
      <c r="A177" s="8" t="n"/>
      <c r="B177" s="8" t="n"/>
      <c r="C177" s="8" t="n"/>
      <c r="D177" s="8" t="n"/>
      <c r="E177" s="8" t="n"/>
      <c r="F177" s="8" t="n"/>
      <c r="G177" s="8" t="n"/>
      <c r="H177" s="8" t="n"/>
    </row>
    <row r="178">
      <c r="A178" s="8" t="n"/>
      <c r="B178" s="8" t="n"/>
      <c r="C178" s="8" t="n"/>
      <c r="D178" s="8" t="n"/>
      <c r="E178" s="8" t="n"/>
      <c r="F178" s="8" t="n"/>
      <c r="G178" s="8" t="n"/>
      <c r="H178" s="8" t="n"/>
    </row>
    <row r="179">
      <c r="A179" s="8" t="n"/>
      <c r="B179" s="8" t="n"/>
      <c r="C179" s="8" t="n"/>
      <c r="D179" s="8" t="n"/>
      <c r="E179" s="8" t="n"/>
      <c r="F179" s="8" t="n"/>
      <c r="G179" s="8" t="n"/>
      <c r="H179" s="8" t="n"/>
    </row>
    <row r="180">
      <c r="A180" s="8" t="n"/>
      <c r="B180" s="8" t="n"/>
      <c r="C180" s="8" t="n"/>
      <c r="D180" s="8" t="n"/>
      <c r="E180" s="8" t="n"/>
      <c r="F180" s="8" t="n"/>
      <c r="G180" s="8" t="n"/>
      <c r="H180" s="8" t="n"/>
    </row>
    <row r="181">
      <c r="A181" s="8" t="n"/>
      <c r="B181" s="8" t="n"/>
      <c r="C181" s="8" t="n"/>
      <c r="D181" s="8" t="n"/>
      <c r="E181" s="8" t="n"/>
      <c r="F181" s="8" t="n"/>
      <c r="G181" s="8" t="n"/>
      <c r="H181" s="8" t="n"/>
    </row>
    <row r="182">
      <c r="A182" s="8" t="n"/>
      <c r="B182" s="8" t="n"/>
      <c r="C182" s="8" t="n"/>
      <c r="D182" s="8" t="n"/>
      <c r="E182" s="8" t="n"/>
      <c r="F182" s="8" t="n"/>
      <c r="G182" s="8" t="n"/>
      <c r="H182" s="8" t="n"/>
    </row>
    <row r="183">
      <c r="A183" s="8" t="n"/>
      <c r="B183" s="8" t="n"/>
      <c r="C183" s="8" t="n"/>
      <c r="D183" s="8" t="n"/>
      <c r="E183" s="8" t="n"/>
      <c r="F183" s="8" t="n"/>
      <c r="G183" s="8" t="n"/>
      <c r="H183" s="8" t="n"/>
    </row>
    <row r="184">
      <c r="A184" s="8" t="n"/>
      <c r="B184" s="8" t="n"/>
      <c r="C184" s="8" t="n"/>
      <c r="D184" s="8" t="n"/>
      <c r="E184" s="8" t="n"/>
      <c r="F184" s="8" t="n"/>
      <c r="G184" s="8" t="n"/>
      <c r="H184" s="8" t="n"/>
    </row>
    <row r="185">
      <c r="A185" s="8" t="n"/>
      <c r="B185" s="8" t="n"/>
      <c r="C185" s="8" t="n"/>
      <c r="D185" s="8" t="n"/>
      <c r="E185" s="8" t="n"/>
      <c r="F185" s="8" t="n"/>
      <c r="G185" s="8" t="n"/>
      <c r="H185" s="8" t="n"/>
    </row>
    <row r="186">
      <c r="A186" s="8" t="n"/>
      <c r="B186" s="8" t="n"/>
      <c r="C186" s="8" t="n"/>
      <c r="D186" s="8" t="n"/>
      <c r="E186" s="8" t="n"/>
      <c r="F186" s="8" t="n"/>
      <c r="G186" s="8" t="n"/>
      <c r="H186" s="8" t="n"/>
    </row>
    <row r="187">
      <c r="A187" s="8" t="n"/>
      <c r="B187" s="8" t="n"/>
      <c r="C187" s="8" t="n"/>
      <c r="D187" s="8" t="n"/>
      <c r="E187" s="8" t="n"/>
      <c r="F187" s="8" t="n"/>
      <c r="G187" s="8" t="n"/>
      <c r="H187" s="8" t="n"/>
    </row>
    <row r="188">
      <c r="A188" s="8" t="n"/>
      <c r="B188" s="8" t="n"/>
      <c r="C188" s="8" t="n"/>
      <c r="D188" s="8" t="n"/>
      <c r="E188" s="8" t="n"/>
      <c r="F188" s="8" t="n"/>
      <c r="G188" s="8" t="n"/>
      <c r="H188" s="8" t="n"/>
    </row>
    <row r="189">
      <c r="A189" s="8" t="n"/>
      <c r="B189" s="8" t="n"/>
      <c r="C189" s="8" t="n"/>
      <c r="D189" s="8" t="n"/>
      <c r="E189" s="8" t="n"/>
      <c r="F189" s="8" t="n"/>
      <c r="G189" s="8" t="n"/>
      <c r="H189" s="8" t="n"/>
    </row>
    <row r="190">
      <c r="A190" s="8" t="n"/>
      <c r="B190" s="8" t="n"/>
      <c r="C190" s="8" t="n"/>
      <c r="D190" s="8" t="n"/>
      <c r="E190" s="8" t="n"/>
      <c r="F190" s="8" t="n"/>
      <c r="G190" s="8" t="n"/>
      <c r="H190" s="8" t="n"/>
    </row>
    <row r="191">
      <c r="A191" s="8" t="n"/>
      <c r="B191" s="8" t="n"/>
      <c r="C191" s="8" t="n"/>
      <c r="D191" s="8" t="n"/>
      <c r="E191" s="8" t="n"/>
      <c r="F191" s="8" t="n"/>
      <c r="G191" s="8" t="n"/>
      <c r="H191" s="8" t="n"/>
    </row>
    <row r="192">
      <c r="A192" s="8" t="n"/>
      <c r="B192" s="8" t="n"/>
      <c r="C192" s="8" t="n"/>
      <c r="D192" s="8" t="n"/>
      <c r="E192" s="8" t="n"/>
      <c r="F192" s="8" t="n"/>
      <c r="G192" s="8" t="n"/>
      <c r="H192" s="8" t="n"/>
    </row>
    <row r="193">
      <c r="A193" s="8" t="n"/>
      <c r="B193" s="8" t="n"/>
      <c r="C193" s="8" t="n"/>
      <c r="D193" s="8" t="n"/>
      <c r="E193" s="8" t="n"/>
      <c r="F193" s="8" t="n"/>
      <c r="G193" s="8" t="n"/>
      <c r="H193" s="8" t="n"/>
    </row>
    <row r="194">
      <c r="A194" s="8" t="n"/>
      <c r="B194" s="8" t="n"/>
      <c r="C194" s="8" t="n"/>
      <c r="D194" s="8" t="n"/>
      <c r="E194" s="8" t="n"/>
      <c r="F194" s="8" t="n"/>
      <c r="G194" s="8" t="n"/>
      <c r="H194" s="8" t="n"/>
    </row>
    <row r="195">
      <c r="A195" s="8" t="n"/>
      <c r="B195" s="8" t="n"/>
      <c r="C195" s="8" t="n"/>
      <c r="D195" s="8" t="n"/>
      <c r="E195" s="8" t="n"/>
      <c r="F195" s="8" t="n"/>
      <c r="G195" s="8" t="n"/>
      <c r="H195" s="8" t="n"/>
    </row>
    <row r="196">
      <c r="A196" s="8" t="n"/>
      <c r="B196" s="8" t="n"/>
      <c r="C196" s="8" t="n"/>
      <c r="D196" s="8" t="n"/>
      <c r="E196" s="8" t="n"/>
      <c r="F196" s="8" t="n"/>
      <c r="G196" s="8" t="n"/>
      <c r="H196" s="8" t="n"/>
    </row>
    <row r="197">
      <c r="A197" s="8" t="n"/>
      <c r="B197" s="8" t="n"/>
      <c r="C197" s="8" t="n"/>
      <c r="D197" s="8" t="n"/>
      <c r="E197" s="8" t="n"/>
      <c r="F197" s="8" t="n"/>
      <c r="G197" s="8" t="n"/>
      <c r="H197" s="8" t="n"/>
    </row>
    <row r="198">
      <c r="A198" s="8" t="n"/>
      <c r="B198" s="8" t="n"/>
      <c r="C198" s="8" t="n"/>
      <c r="D198" s="8" t="n"/>
      <c r="E198" s="8" t="n"/>
      <c r="F198" s="8" t="n"/>
      <c r="G198" s="8" t="n"/>
      <c r="H198" s="8" t="n"/>
    </row>
    <row r="199">
      <c r="A199" s="8" t="n"/>
      <c r="B199" s="8" t="n"/>
      <c r="C199" s="8" t="n"/>
      <c r="D199" s="8" t="n"/>
      <c r="E199" s="8" t="n"/>
      <c r="F199" s="8" t="n"/>
      <c r="G199" s="8" t="n"/>
      <c r="H199" s="8" t="n"/>
    </row>
    <row r="200">
      <c r="A200" s="8" t="n"/>
      <c r="B200" s="8" t="n"/>
      <c r="C200" s="8" t="n"/>
      <c r="D200" s="8" t="n"/>
      <c r="E200" s="8" t="n"/>
      <c r="F200" s="8" t="n"/>
    </row>
    <row r="201">
      <c r="A201" s="8" t="n"/>
      <c r="B201" s="8" t="n"/>
      <c r="C201" s="8" t="n"/>
      <c r="D201" s="8" t="n"/>
      <c r="E201" s="8" t="n"/>
      <c r="F201" s="8" t="n"/>
    </row>
    <row r="202">
      <c r="A202" s="8" t="n"/>
      <c r="B202" s="8" t="n"/>
      <c r="C202" s="8" t="n"/>
      <c r="D202" s="8" t="n"/>
      <c r="E202" s="8" t="n"/>
      <c r="F202" s="8" t="n"/>
    </row>
    <row r="203">
      <c r="A203" s="8" t="n"/>
      <c r="B203" s="8" t="n"/>
      <c r="C203" s="8" t="n"/>
      <c r="D203" s="8" t="n"/>
      <c r="E203" s="8" t="n"/>
      <c r="F203" s="8" t="n"/>
    </row>
    <row r="204">
      <c r="A204" s="8" t="n"/>
      <c r="B204" s="8" t="n"/>
      <c r="C204" s="8" t="n"/>
      <c r="D204" s="8" t="n"/>
      <c r="E204" s="8" t="n"/>
      <c r="F204" s="8" t="n"/>
    </row>
    <row r="205">
      <c r="A205" s="8" t="n"/>
      <c r="B205" s="8" t="n"/>
      <c r="C205" s="8" t="n"/>
      <c r="D205" s="8" t="n"/>
      <c r="E205" s="8" t="n"/>
      <c r="F205" s="8" t="n"/>
    </row>
    <row r="206">
      <c r="A206" s="8" t="n"/>
      <c r="B206" s="8" t="n"/>
      <c r="C206" s="8" t="n"/>
      <c r="D206" s="8" t="n"/>
      <c r="E206" s="8" t="n"/>
      <c r="F206" s="8" t="n"/>
    </row>
    <row r="207">
      <c r="A207" s="8" t="n"/>
      <c r="B207" s="8" t="n"/>
      <c r="C207" s="8" t="n"/>
      <c r="D207" s="8" t="n"/>
      <c r="E207" s="8" t="n"/>
      <c r="F207" s="8" t="n"/>
    </row>
    <row r="208">
      <c r="A208" s="8" t="n"/>
      <c r="B208" s="8" t="n"/>
      <c r="C208" s="8" t="n"/>
      <c r="D208" s="8" t="n"/>
      <c r="E208" s="8" t="n"/>
      <c r="F208" s="8" t="n"/>
    </row>
    <row r="209">
      <c r="A209" s="8" t="n"/>
      <c r="B209" s="8" t="n"/>
      <c r="C209" s="8" t="n"/>
      <c r="D209" s="8" t="n"/>
      <c r="E209" s="8" t="n"/>
      <c r="F209" s="8" t="n"/>
    </row>
    <row r="210">
      <c r="A210" s="8" t="n"/>
      <c r="B210" s="8" t="n"/>
      <c r="C210" s="8" t="n"/>
      <c r="D210" s="8" t="n"/>
      <c r="E210" s="8" t="n"/>
      <c r="F210" s="8" t="n"/>
    </row>
    <row r="211">
      <c r="A211" s="8" t="n"/>
      <c r="B211" s="8" t="n"/>
      <c r="C211" s="8" t="n"/>
      <c r="D211" s="8" t="n"/>
      <c r="E211" s="8" t="n"/>
      <c r="F211" s="8" t="n"/>
    </row>
    <row r="212">
      <c r="A212" s="8" t="n"/>
      <c r="B212" s="8" t="n"/>
      <c r="C212" s="8" t="n"/>
      <c r="D212" s="8" t="n"/>
      <c r="E212" s="8" t="n"/>
      <c r="F212" s="8" t="n"/>
    </row>
    <row r="213">
      <c r="A213" s="8" t="n"/>
      <c r="B213" s="8" t="n"/>
      <c r="C213" s="8" t="n"/>
      <c r="D213" s="8" t="n"/>
      <c r="E213" s="8" t="n"/>
      <c r="F213" s="8" t="n"/>
    </row>
    <row r="214">
      <c r="A214" s="8" t="n"/>
      <c r="B214" s="8" t="n"/>
      <c r="C214" s="8" t="n"/>
      <c r="D214" s="8" t="n"/>
      <c r="E214" s="8" t="n"/>
      <c r="F214" s="8" t="n"/>
    </row>
    <row r="215">
      <c r="A215" s="8" t="n"/>
      <c r="B215" s="8" t="n"/>
      <c r="C215" s="8" t="n"/>
      <c r="D215" s="8" t="n"/>
      <c r="E215" s="8" t="n"/>
      <c r="F215" s="8" t="n"/>
    </row>
    <row r="216">
      <c r="A216" s="8" t="n"/>
      <c r="B216" s="8" t="n"/>
      <c r="C216" s="8" t="n"/>
      <c r="D216" s="8" t="n"/>
      <c r="E216" s="8" t="n"/>
      <c r="F216" s="8" t="n"/>
    </row>
    <row r="217">
      <c r="A217" s="8" t="n"/>
      <c r="B217" s="8" t="n"/>
      <c r="C217" s="8" t="n"/>
      <c r="D217" s="8" t="n"/>
      <c r="E217" s="8" t="n"/>
      <c r="F217" s="8" t="n"/>
    </row>
    <row r="218">
      <c r="A218" s="8" t="n"/>
      <c r="B218" s="8" t="n"/>
      <c r="C218" s="8" t="n"/>
      <c r="D218" s="8" t="n"/>
      <c r="E218" s="8" t="n"/>
      <c r="F218" s="8" t="n"/>
    </row>
    <row r="219">
      <c r="A219" s="8" t="n"/>
      <c r="B219" s="8" t="n"/>
      <c r="C219" s="8" t="n"/>
      <c r="D219" s="8" t="n"/>
      <c r="E219" s="8" t="n"/>
      <c r="F219" s="8" t="n"/>
    </row>
    <row r="220">
      <c r="A220" s="8" t="n"/>
      <c r="B220" s="8" t="n"/>
      <c r="C220" s="8" t="n"/>
      <c r="D220" s="8" t="n"/>
      <c r="E220" s="8" t="n"/>
      <c r="F220" s="8" t="n"/>
    </row>
    <row r="221">
      <c r="A221" s="8" t="n"/>
      <c r="B221" s="8" t="n"/>
      <c r="C221" s="8" t="n"/>
      <c r="D221" s="8" t="n"/>
      <c r="E221" s="8" t="n"/>
      <c r="F221" s="8" t="n"/>
    </row>
    <row r="222">
      <c r="A222" s="8" t="n"/>
      <c r="B222" s="8" t="n"/>
      <c r="C222" s="8" t="n"/>
      <c r="D222" s="8" t="n"/>
      <c r="E222" s="8" t="n"/>
      <c r="F222" s="8" t="n"/>
    </row>
    <row r="223">
      <c r="A223" s="8" t="n"/>
      <c r="B223" s="8" t="n"/>
      <c r="C223" s="8" t="n"/>
      <c r="D223" s="8" t="n"/>
      <c r="E223" s="8" t="n"/>
      <c r="F223" s="8" t="n"/>
    </row>
    <row r="224">
      <c r="A224" s="8" t="n"/>
      <c r="B224" s="8" t="n"/>
      <c r="C224" s="8" t="n"/>
      <c r="D224" s="8" t="n"/>
      <c r="E224" s="8" t="n"/>
      <c r="F224" s="8" t="n"/>
    </row>
    <row r="225">
      <c r="A225" s="8" t="n"/>
      <c r="B225" s="8" t="n"/>
      <c r="C225" s="8" t="n"/>
      <c r="D225" s="8" t="n"/>
      <c r="E225" s="8" t="n"/>
      <c r="F225" s="8" t="n"/>
    </row>
    <row r="226">
      <c r="A226" s="8" t="n"/>
      <c r="B226" s="8" t="n"/>
      <c r="C226" s="8" t="n"/>
      <c r="D226" s="8" t="n"/>
      <c r="E226" s="8" t="n"/>
      <c r="F226" s="8" t="n"/>
    </row>
    <row r="227">
      <c r="A227" s="8" t="n"/>
      <c r="B227" s="8" t="n"/>
      <c r="C227" s="8" t="n"/>
      <c r="D227" s="8" t="n"/>
      <c r="E227" s="8" t="n"/>
      <c r="F227" s="8" t="n"/>
    </row>
    <row r="228">
      <c r="A228" s="8" t="n"/>
      <c r="B228" s="8" t="n"/>
      <c r="C228" s="8" t="n"/>
      <c r="D228" s="8" t="n"/>
      <c r="E228" s="8" t="n"/>
      <c r="F228" s="8" t="n"/>
    </row>
    <row r="229">
      <c r="A229" s="8" t="n"/>
      <c r="B229" s="8" t="n"/>
      <c r="C229" s="8" t="n"/>
      <c r="D229" s="8" t="n"/>
      <c r="E229" s="8" t="n"/>
      <c r="F229" s="8" t="n"/>
    </row>
    <row r="230">
      <c r="A230" s="8" t="n"/>
      <c r="B230" s="8" t="n"/>
      <c r="C230" s="8" t="n"/>
      <c r="D230" s="8" t="n"/>
      <c r="E230" s="8" t="n"/>
      <c r="F230" s="8" t="n"/>
    </row>
    <row r="231">
      <c r="A231" s="8" t="n"/>
      <c r="B231" s="8" t="n"/>
      <c r="C231" s="8" t="n"/>
      <c r="D231" s="8" t="n"/>
      <c r="E231" s="8" t="n"/>
      <c r="F231" s="8" t="n"/>
    </row>
    <row r="232">
      <c r="A232" s="8" t="n"/>
      <c r="B232" s="8" t="n"/>
      <c r="C232" s="8" t="n"/>
      <c r="D232" s="8" t="n"/>
      <c r="E232" s="8" t="n"/>
      <c r="F232" s="8" t="n"/>
    </row>
    <row r="233">
      <c r="A233" s="8" t="n"/>
      <c r="B233" s="8" t="n"/>
      <c r="C233" s="8" t="n"/>
      <c r="D233" s="8" t="n"/>
      <c r="E233" s="8" t="n"/>
      <c r="F233" s="8" t="n"/>
    </row>
    <row r="234">
      <c r="A234" s="8" t="n"/>
      <c r="B234" s="8" t="n"/>
      <c r="C234" s="8" t="n"/>
      <c r="D234" s="8" t="n"/>
      <c r="E234" s="8" t="n"/>
      <c r="F234" s="8" t="n"/>
    </row>
    <row r="235">
      <c r="A235" s="8" t="n"/>
      <c r="B235" s="8" t="n"/>
      <c r="C235" s="8" t="n"/>
      <c r="D235" s="8" t="n"/>
      <c r="E235" s="8" t="n"/>
      <c r="F235" s="8" t="n"/>
    </row>
    <row r="236">
      <c r="A236" s="8" t="n"/>
      <c r="B236" s="8" t="n"/>
      <c r="C236" s="8" t="n"/>
      <c r="D236" s="8" t="n"/>
      <c r="E236" s="8" t="n"/>
      <c r="F236" s="8" t="n"/>
    </row>
    <row r="237">
      <c r="A237" s="8" t="n"/>
      <c r="B237" s="8" t="n"/>
      <c r="C237" s="8" t="n"/>
      <c r="D237" s="8" t="n"/>
      <c r="E237" s="8" t="n"/>
      <c r="F237" s="8" t="n"/>
    </row>
    <row r="238">
      <c r="A238" s="8" t="n"/>
      <c r="B238" s="8" t="n"/>
      <c r="C238" s="8" t="n"/>
      <c r="D238" s="8" t="n"/>
      <c r="E238" s="8" t="n"/>
      <c r="F238" s="8" t="n"/>
    </row>
    <row r="239">
      <c r="A239" s="8" t="n"/>
      <c r="B239" s="8" t="n"/>
      <c r="C239" s="8" t="n"/>
      <c r="D239" s="8" t="n"/>
      <c r="E239" s="8" t="n"/>
      <c r="F239" s="8" t="n"/>
    </row>
    <row r="240">
      <c r="A240" s="8" t="n"/>
      <c r="B240" s="8" t="n"/>
      <c r="C240" s="8" t="n"/>
      <c r="D240" s="8" t="n"/>
      <c r="E240" s="8" t="n"/>
      <c r="F240" s="8" t="n"/>
    </row>
    <row r="241">
      <c r="A241" s="8" t="n"/>
      <c r="B241" s="8" t="n"/>
      <c r="C241" s="8" t="n"/>
      <c r="D241" s="8" t="n"/>
      <c r="E241" s="8" t="n"/>
      <c r="F241" s="8" t="n"/>
    </row>
    <row r="242">
      <c r="A242" s="8" t="n"/>
      <c r="B242" s="8" t="n"/>
      <c r="C242" s="8" t="n"/>
      <c r="D242" s="8" t="n"/>
      <c r="E242" s="8" t="n"/>
      <c r="F242" s="8" t="n"/>
    </row>
    <row r="243">
      <c r="A243" s="8" t="n"/>
      <c r="B243" s="8" t="n"/>
      <c r="C243" s="8" t="n"/>
      <c r="D243" s="8" t="n"/>
      <c r="E243" s="8" t="n"/>
      <c r="F243" s="8" t="n"/>
    </row>
    <row r="244">
      <c r="A244" s="8" t="n"/>
      <c r="B244" s="8" t="n"/>
      <c r="C244" s="8" t="n"/>
      <c r="D244" s="8" t="n"/>
      <c r="E244" s="8" t="n"/>
      <c r="F244" s="8" t="n"/>
    </row>
    <row r="245">
      <c r="A245" s="8" t="n"/>
      <c r="B245" s="8" t="n"/>
      <c r="C245" s="8" t="n"/>
      <c r="D245" s="8" t="n"/>
      <c r="E245" s="8" t="n"/>
      <c r="F245" s="8" t="n"/>
    </row>
    <row r="246">
      <c r="A246" s="8" t="n"/>
      <c r="B246" s="8" t="n"/>
      <c r="C246" s="8" t="n"/>
      <c r="D246" s="8" t="n"/>
      <c r="E246" s="8" t="n"/>
      <c r="F246" s="8" t="n"/>
    </row>
    <row r="247">
      <c r="A247" s="8" t="n"/>
      <c r="B247" s="8" t="n"/>
      <c r="C247" s="8" t="n"/>
      <c r="D247" s="8" t="n"/>
      <c r="E247" s="8" t="n"/>
      <c r="F247" s="8" t="n"/>
    </row>
    <row r="248">
      <c r="A248" s="8" t="n"/>
      <c r="B248" s="8" t="n"/>
      <c r="C248" s="8" t="n"/>
      <c r="D248" s="8" t="n"/>
      <c r="E248" s="8" t="n"/>
      <c r="F248" s="8" t="n"/>
    </row>
    <row r="249">
      <c r="A249" s="8" t="n"/>
      <c r="B249" s="8" t="n"/>
      <c r="C249" s="8" t="n"/>
      <c r="D249" s="8" t="n"/>
      <c r="E249" s="8" t="n"/>
      <c r="F249" s="8" t="n"/>
    </row>
    <row r="250">
      <c r="A250" s="8" t="n"/>
      <c r="B250" s="8" t="n"/>
      <c r="C250" s="8" t="n"/>
      <c r="D250" s="8" t="n"/>
      <c r="E250" s="8" t="n"/>
      <c r="F250" s="8" t="n"/>
    </row>
    <row r="251">
      <c r="A251" s="8" t="n"/>
      <c r="B251" s="8" t="n"/>
      <c r="C251" s="8" t="n"/>
      <c r="D251" s="8" t="n"/>
      <c r="E251" s="8" t="n"/>
      <c r="F251" s="8" t="n"/>
    </row>
    <row r="252">
      <c r="A252" s="8" t="n"/>
      <c r="B252" s="8" t="n"/>
      <c r="C252" s="8" t="n"/>
      <c r="D252" s="8" t="n"/>
      <c r="E252" s="8" t="n"/>
      <c r="F252" s="8" t="n"/>
    </row>
    <row r="253">
      <c r="A253" s="8" t="n"/>
      <c r="B253" s="8" t="n"/>
      <c r="C253" s="8" t="n"/>
      <c r="D253" s="8" t="n"/>
      <c r="E253" s="8" t="n"/>
      <c r="F253" s="8" t="n"/>
    </row>
    <row r="254">
      <c r="A254" s="8" t="n"/>
      <c r="B254" s="8" t="n"/>
      <c r="C254" s="8" t="n"/>
      <c r="D254" s="8" t="n"/>
      <c r="E254" s="8" t="n"/>
      <c r="F254" s="8" t="n"/>
    </row>
    <row r="255">
      <c r="A255" s="8" t="n"/>
      <c r="B255" s="8" t="n"/>
      <c r="C255" s="8" t="n"/>
      <c r="D255" s="8" t="n"/>
      <c r="E255" s="8" t="n"/>
      <c r="F255" s="8" t="n"/>
    </row>
    <row r="256">
      <c r="A256" s="8" t="n"/>
      <c r="B256" s="8" t="n"/>
      <c r="C256" s="8" t="n"/>
      <c r="D256" s="8" t="n"/>
      <c r="E256" s="8" t="n"/>
      <c r="F256" s="8" t="n"/>
    </row>
    <row r="257">
      <c r="A257" s="8" t="n"/>
      <c r="B257" s="8" t="n"/>
      <c r="C257" s="8" t="n"/>
      <c r="D257" s="8" t="n"/>
      <c r="E257" s="8" t="n"/>
      <c r="F257" s="8" t="n"/>
    </row>
    <row r="258">
      <c r="A258" s="8" t="n"/>
      <c r="B258" s="8" t="n"/>
      <c r="C258" s="8" t="n"/>
      <c r="D258" s="8" t="n"/>
      <c r="E258" s="8" t="n"/>
      <c r="F258" s="8" t="n"/>
    </row>
    <row r="259">
      <c r="A259" s="8" t="n"/>
      <c r="B259" s="8" t="n"/>
      <c r="C259" s="8" t="n"/>
      <c r="D259" s="8" t="n"/>
      <c r="E259" s="8" t="n"/>
      <c r="F259" s="8" t="n"/>
    </row>
    <row r="260">
      <c r="A260" s="8" t="n"/>
      <c r="B260" s="8" t="n"/>
      <c r="C260" s="8" t="n"/>
      <c r="D260" s="8" t="n"/>
      <c r="E260" s="8" t="n"/>
      <c r="F260" s="8" t="n"/>
    </row>
    <row r="261">
      <c r="A261" s="8" t="n"/>
      <c r="B261" s="8" t="n"/>
      <c r="C261" s="8" t="n"/>
      <c r="D261" s="8" t="n"/>
      <c r="E261" s="8" t="n"/>
      <c r="F261" s="8" t="n"/>
    </row>
    <row r="262">
      <c r="A262" s="8" t="n"/>
      <c r="B262" s="8" t="n"/>
      <c r="C262" s="8" t="n"/>
      <c r="D262" s="8" t="n"/>
      <c r="E262" s="8" t="n"/>
      <c r="F262" s="8" t="n"/>
    </row>
    <row r="263">
      <c r="A263" s="8" t="n"/>
      <c r="B263" s="8" t="n"/>
      <c r="C263" s="8" t="n"/>
      <c r="D263" s="8" t="n"/>
      <c r="E263" s="8" t="n"/>
      <c r="F263" s="8" t="n"/>
    </row>
    <row r="264">
      <c r="A264" s="8" t="n"/>
      <c r="B264" s="8" t="n"/>
      <c r="C264" s="8" t="n"/>
      <c r="D264" s="8" t="n"/>
      <c r="E264" s="8" t="n"/>
      <c r="F264" s="8" t="n"/>
    </row>
    <row r="265">
      <c r="A265" s="8" t="n"/>
      <c r="B265" s="8" t="n"/>
      <c r="C265" s="8" t="n"/>
      <c r="D265" s="8" t="n"/>
      <c r="E265" s="8" t="n"/>
      <c r="F265" s="8" t="n"/>
    </row>
    <row r="266">
      <c r="A266" s="8" t="n"/>
      <c r="B266" s="8" t="n"/>
      <c r="C266" s="8" t="n"/>
      <c r="D266" s="8" t="n"/>
      <c r="E266" s="8" t="n"/>
      <c r="F266" s="8" t="n"/>
    </row>
    <row r="267">
      <c r="A267" s="8" t="n"/>
      <c r="B267" s="8" t="n"/>
      <c r="C267" s="8" t="n"/>
      <c r="D267" s="8" t="n"/>
      <c r="E267" s="8" t="n"/>
      <c r="F267" s="8" t="n"/>
    </row>
    <row r="268">
      <c r="A268" s="8" t="n"/>
      <c r="B268" s="8" t="n"/>
      <c r="C268" s="8" t="n"/>
      <c r="D268" s="8" t="n"/>
      <c r="E268" s="8" t="n"/>
      <c r="F268" s="8" t="n"/>
    </row>
    <row r="269">
      <c r="A269" s="8" t="n"/>
      <c r="B269" s="8" t="n"/>
      <c r="C269" s="8" t="n"/>
      <c r="D269" s="8" t="n"/>
      <c r="E269" s="8" t="n"/>
      <c r="F269" s="8" t="n"/>
    </row>
    <row r="270">
      <c r="A270" s="8" t="n"/>
      <c r="B270" s="8" t="n"/>
      <c r="C270" s="8" t="n"/>
      <c r="D270" s="8" t="n"/>
      <c r="E270" s="8" t="n"/>
      <c r="F270" s="8" t="n"/>
    </row>
    <row r="271">
      <c r="A271" s="8" t="n"/>
      <c r="B271" s="8" t="n"/>
      <c r="C271" s="8" t="n"/>
      <c r="D271" s="8" t="n"/>
      <c r="E271" s="8" t="n"/>
      <c r="F271" s="8" t="n"/>
    </row>
    <row r="272">
      <c r="A272" s="8" t="n"/>
      <c r="B272" s="8" t="n"/>
      <c r="C272" s="8" t="n"/>
      <c r="D272" s="8" t="n"/>
      <c r="E272" s="8" t="n"/>
      <c r="F272" s="8" t="n"/>
    </row>
    <row r="273">
      <c r="A273" s="8" t="n"/>
      <c r="B273" s="8" t="n"/>
      <c r="C273" s="8" t="n"/>
      <c r="D273" s="8" t="n"/>
      <c r="E273" s="8" t="n"/>
      <c r="F273" s="8" t="n"/>
    </row>
    <row r="274">
      <c r="A274" s="8" t="n"/>
      <c r="B274" s="8" t="n"/>
      <c r="C274" s="8" t="n"/>
      <c r="D274" s="8" t="n"/>
      <c r="E274" s="8" t="n"/>
      <c r="F274" s="8" t="n"/>
    </row>
    <row r="275">
      <c r="A275" s="8" t="n"/>
      <c r="B275" s="8" t="n"/>
      <c r="C275" s="8" t="n"/>
      <c r="D275" s="8" t="n"/>
      <c r="E275" s="8" t="n"/>
      <c r="F275" s="8" t="n"/>
    </row>
    <row r="276">
      <c r="A276" s="8" t="n"/>
      <c r="B276" s="8" t="n"/>
      <c r="C276" s="8" t="n"/>
      <c r="D276" s="8" t="n"/>
      <c r="E276" s="8" t="n"/>
      <c r="F276" s="8" t="n"/>
    </row>
    <row r="277">
      <c r="A277" s="8" t="n"/>
      <c r="B277" s="8" t="n"/>
      <c r="C277" s="8" t="n"/>
      <c r="D277" s="8" t="n"/>
      <c r="E277" s="8" t="n"/>
      <c r="F277" s="8" t="n"/>
    </row>
    <row r="278">
      <c r="A278" s="8" t="n"/>
      <c r="B278" s="8" t="n"/>
      <c r="C278" s="8" t="n"/>
      <c r="D278" s="8" t="n"/>
      <c r="E278" s="8" t="n"/>
      <c r="F278" s="8" t="n"/>
    </row>
    <row r="279">
      <c r="A279" s="8" t="n"/>
      <c r="B279" s="8" t="n"/>
      <c r="C279" s="8" t="n"/>
      <c r="D279" s="8" t="n"/>
      <c r="E279" s="8" t="n"/>
      <c r="F279" s="8" t="n"/>
    </row>
    <row r="280">
      <c r="A280" s="8" t="n"/>
      <c r="B280" s="8" t="n"/>
      <c r="C280" s="8" t="n"/>
      <c r="D280" s="8" t="n"/>
      <c r="E280" s="8" t="n"/>
      <c r="F280" s="8" t="n"/>
    </row>
    <row r="281">
      <c r="A281" s="8" t="n"/>
      <c r="B281" s="8" t="n"/>
      <c r="C281" s="8" t="n"/>
      <c r="D281" s="8" t="n"/>
      <c r="E281" s="8" t="n"/>
      <c r="F281" s="8" t="n"/>
    </row>
    <row r="282">
      <c r="A282" s="8" t="n"/>
      <c r="B282" s="8" t="n"/>
      <c r="C282" s="8" t="n"/>
      <c r="D282" s="8" t="n"/>
      <c r="E282" s="8" t="n"/>
      <c r="F282" s="8" t="n"/>
    </row>
    <row r="283">
      <c r="A283" s="8" t="n"/>
      <c r="B283" s="8" t="n"/>
      <c r="C283" s="8" t="n"/>
      <c r="D283" s="8" t="n"/>
      <c r="E283" s="8" t="n"/>
      <c r="F283" s="8" t="n"/>
    </row>
    <row r="284">
      <c r="A284" s="8" t="n"/>
      <c r="B284" s="8" t="n"/>
      <c r="C284" s="8" t="n"/>
      <c r="D284" s="8" t="n"/>
      <c r="E284" s="8" t="n"/>
      <c r="F284" s="8" t="n"/>
    </row>
    <row r="285">
      <c r="A285" s="8" t="n"/>
      <c r="B285" s="8" t="n"/>
      <c r="C285" s="8" t="n"/>
      <c r="D285" s="8" t="n"/>
      <c r="E285" s="8" t="n"/>
      <c r="F285" s="8" t="n"/>
    </row>
    <row r="286">
      <c r="A286" s="8" t="n"/>
      <c r="B286" s="8" t="n"/>
      <c r="C286" s="8" t="n"/>
      <c r="D286" s="8" t="n"/>
      <c r="E286" s="8" t="n"/>
      <c r="F286" s="8" t="n"/>
    </row>
    <row r="287">
      <c r="A287" s="8" t="n"/>
      <c r="B287" s="8" t="n"/>
      <c r="C287" s="8" t="n"/>
      <c r="D287" s="8" t="n"/>
      <c r="E287" s="8" t="n"/>
      <c r="F287" s="8" t="n"/>
    </row>
    <row r="288">
      <c r="A288" s="8" t="n"/>
      <c r="B288" s="8" t="n"/>
      <c r="C288" s="8" t="n"/>
      <c r="D288" s="8" t="n"/>
      <c r="E288" s="8" t="n"/>
      <c r="F288" s="8" t="n"/>
    </row>
    <row r="289">
      <c r="A289" s="8" t="n"/>
      <c r="B289" s="8" t="n"/>
      <c r="C289" s="8" t="n"/>
      <c r="D289" s="8" t="n"/>
      <c r="E289" s="8" t="n"/>
      <c r="F289" s="8" t="n"/>
    </row>
    <row r="290">
      <c r="A290" s="8" t="n"/>
      <c r="B290" s="8" t="n"/>
      <c r="C290" s="8" t="n"/>
      <c r="D290" s="8" t="n"/>
      <c r="E290" s="8" t="n"/>
      <c r="F290" s="8" t="n"/>
    </row>
    <row r="291">
      <c r="A291" s="8" t="n"/>
      <c r="B291" s="8" t="n"/>
      <c r="C291" s="8" t="n"/>
      <c r="D291" s="8" t="n"/>
      <c r="E291" s="8" t="n"/>
      <c r="F291" s="8" t="n"/>
    </row>
    <row r="292">
      <c r="A292" s="8" t="n"/>
      <c r="B292" s="8" t="n"/>
      <c r="C292" s="8" t="n"/>
      <c r="D292" s="8" t="n"/>
      <c r="E292" s="8" t="n"/>
      <c r="F292" s="8" t="n"/>
    </row>
    <row r="293">
      <c r="A293" s="8" t="n"/>
      <c r="B293" s="8" t="n"/>
      <c r="C293" s="8" t="n"/>
      <c r="D293" s="8" t="n"/>
      <c r="E293" s="8" t="n"/>
      <c r="F293" s="8" t="n"/>
    </row>
    <row r="294">
      <c r="A294" s="8" t="n"/>
      <c r="B294" s="8" t="n"/>
      <c r="C294" s="8" t="n"/>
      <c r="D294" s="8" t="n"/>
      <c r="E294" s="8" t="n"/>
      <c r="F294" s="8" t="n"/>
    </row>
    <row r="295">
      <c r="A295" s="8" t="n"/>
      <c r="B295" s="8" t="n"/>
      <c r="C295" s="8" t="n"/>
      <c r="D295" s="8" t="n"/>
      <c r="E295" s="8" t="n"/>
      <c r="F295" s="8" t="n"/>
    </row>
    <row r="296">
      <c r="A296" s="8" t="n"/>
      <c r="B296" s="8" t="n"/>
      <c r="C296" s="8" t="n"/>
      <c r="D296" s="8" t="n"/>
      <c r="E296" s="8" t="n"/>
      <c r="F296" s="8" t="n"/>
    </row>
    <row r="297">
      <c r="A297" s="8" t="n"/>
      <c r="B297" s="8" t="n"/>
      <c r="C297" s="8" t="n"/>
      <c r="D297" s="8" t="n"/>
      <c r="E297" s="8" t="n"/>
      <c r="F297" s="8" t="n"/>
    </row>
    <row r="298">
      <c r="A298" s="8" t="n"/>
      <c r="B298" s="8" t="n"/>
      <c r="C298" s="8" t="n"/>
      <c r="D298" s="8" t="n"/>
      <c r="E298" s="8" t="n"/>
      <c r="F298" s="8" t="n"/>
    </row>
    <row r="299">
      <c r="A299" s="8" t="n"/>
      <c r="B299" s="8" t="n"/>
      <c r="C299" s="8" t="n"/>
      <c r="D299" s="8" t="n"/>
      <c r="E299" s="8" t="n"/>
      <c r="F299" s="8" t="n"/>
    </row>
    <row r="300">
      <c r="A300" s="8" t="n"/>
      <c r="B300" s="8" t="n"/>
      <c r="C300" s="8" t="n"/>
      <c r="D300" s="8" t="n"/>
      <c r="E300" s="8" t="n"/>
      <c r="F300" s="8" t="n"/>
    </row>
    <row r="301">
      <c r="A301" s="8" t="n"/>
      <c r="B301" s="8" t="n"/>
      <c r="C301" s="8" t="n"/>
      <c r="D301" s="8" t="n"/>
      <c r="E301" s="8" t="n"/>
      <c r="F301" s="8" t="n"/>
    </row>
    <row r="302">
      <c r="A302" s="8" t="n"/>
      <c r="B302" s="8" t="n"/>
      <c r="C302" s="8" t="n"/>
      <c r="D302" s="8" t="n"/>
      <c r="E302" s="8" t="n"/>
      <c r="F302" s="8" t="n"/>
    </row>
    <row r="303">
      <c r="A303" s="8" t="n"/>
      <c r="B303" s="8" t="n"/>
      <c r="C303" s="8" t="n"/>
      <c r="D303" s="8" t="n"/>
      <c r="E303" s="8" t="n"/>
      <c r="F303" s="8" t="n"/>
    </row>
    <row r="304">
      <c r="A304" s="8" t="n"/>
      <c r="B304" s="8" t="n"/>
      <c r="C304" s="8" t="n"/>
      <c r="D304" s="8" t="n"/>
      <c r="E304" s="8" t="n"/>
      <c r="F304" s="8" t="n"/>
    </row>
    <row r="305">
      <c r="A305" s="8" t="n"/>
      <c r="B305" s="8" t="n"/>
      <c r="C305" s="8" t="n"/>
      <c r="D305" s="8" t="n"/>
      <c r="E305" s="8" t="n"/>
      <c r="F305" s="8" t="n"/>
    </row>
    <row r="306">
      <c r="A306" s="8" t="n"/>
      <c r="B306" s="8" t="n"/>
      <c r="C306" s="8" t="n"/>
      <c r="D306" s="8" t="n"/>
      <c r="E306" s="8" t="n"/>
      <c r="F306" s="8" t="n"/>
    </row>
    <row r="307">
      <c r="A307" s="8" t="n"/>
      <c r="B307" s="8" t="n"/>
      <c r="C307" s="8" t="n"/>
      <c r="D307" s="8" t="n"/>
      <c r="E307" s="8" t="n"/>
      <c r="F307" s="8" t="n"/>
    </row>
    <row r="308">
      <c r="A308" s="8" t="n"/>
      <c r="B308" s="8" t="n"/>
      <c r="C308" s="8" t="n"/>
      <c r="D308" s="8" t="n"/>
      <c r="E308" s="8" t="n"/>
      <c r="F308" s="8" t="n"/>
    </row>
    <row r="309">
      <c r="A309" s="8" t="n"/>
      <c r="B309" s="8" t="n"/>
      <c r="C309" s="8" t="n"/>
      <c r="D309" s="8" t="n"/>
      <c r="E309" s="8" t="n"/>
      <c r="F309" s="8" t="n"/>
    </row>
    <row r="310">
      <c r="A310" s="8" t="n"/>
      <c r="B310" s="8" t="n"/>
      <c r="C310" s="8" t="n"/>
      <c r="D310" s="8" t="n"/>
      <c r="E310" s="8" t="n"/>
      <c r="F310" s="8" t="n"/>
    </row>
    <row r="311">
      <c r="A311" s="8" t="n"/>
      <c r="B311" s="8" t="n"/>
      <c r="C311" s="8" t="n"/>
      <c r="D311" s="8" t="n"/>
      <c r="E311" s="8" t="n"/>
      <c r="F311" s="8" t="n"/>
    </row>
    <row r="312">
      <c r="A312" s="8" t="n"/>
      <c r="B312" s="8" t="n"/>
      <c r="C312" s="8" t="n"/>
      <c r="D312" s="8" t="n"/>
      <c r="E312" s="8" t="n"/>
      <c r="F312" s="8" t="n"/>
    </row>
    <row r="313">
      <c r="A313" s="8" t="n"/>
      <c r="B313" s="8" t="n"/>
      <c r="C313" s="8" t="n"/>
      <c r="D313" s="8" t="n"/>
      <c r="E313" s="8" t="n"/>
      <c r="F313" s="8" t="n"/>
    </row>
    <row r="314">
      <c r="A314" s="8" t="n"/>
      <c r="B314" s="8" t="n"/>
      <c r="C314" s="8" t="n"/>
      <c r="D314" s="8" t="n"/>
      <c r="E314" s="8" t="n"/>
      <c r="F314" s="8" t="n"/>
    </row>
    <row r="315">
      <c r="A315" s="8" t="n"/>
      <c r="B315" s="8" t="n"/>
      <c r="C315" s="8" t="n"/>
      <c r="D315" s="8" t="n"/>
      <c r="E315" s="8" t="n"/>
      <c r="F315" s="8" t="n"/>
    </row>
    <row r="316">
      <c r="A316" s="8" t="n"/>
      <c r="B316" s="8" t="n"/>
      <c r="C316" s="8" t="n"/>
      <c r="D316" s="8" t="n"/>
      <c r="E316" s="8" t="n"/>
      <c r="F316" s="8" t="n"/>
    </row>
    <row r="317">
      <c r="A317" s="8" t="n"/>
      <c r="B317" s="8" t="n"/>
      <c r="C317" s="8" t="n"/>
      <c r="D317" s="8" t="n"/>
      <c r="E317" s="8" t="n"/>
      <c r="F317" s="8" t="n"/>
    </row>
    <row r="318">
      <c r="A318" s="8" t="n"/>
      <c r="B318" s="8" t="n"/>
      <c r="C318" s="8" t="n"/>
      <c r="D318" s="8" t="n"/>
      <c r="E318" s="8" t="n"/>
      <c r="F318" s="8" t="n"/>
    </row>
    <row r="319">
      <c r="A319" s="8" t="n"/>
      <c r="B319" s="8" t="n"/>
      <c r="C319" s="8" t="n"/>
      <c r="D319" s="8" t="n"/>
      <c r="E319" s="8" t="n"/>
      <c r="F319" s="8" t="n"/>
    </row>
    <row r="320">
      <c r="A320" s="8" t="n"/>
      <c r="B320" s="8" t="n"/>
      <c r="C320" s="8" t="n"/>
      <c r="D320" s="8" t="n"/>
      <c r="E320" s="8" t="n"/>
      <c r="F320" s="8" t="n"/>
    </row>
    <row r="321">
      <c r="A321" s="8" t="n"/>
      <c r="B321" s="8" t="n"/>
      <c r="C321" s="8" t="n"/>
      <c r="D321" s="8" t="n"/>
      <c r="E321" s="8" t="n"/>
      <c r="F321" s="8" t="n"/>
    </row>
    <row r="322">
      <c r="A322" s="8" t="n"/>
      <c r="B322" s="8" t="n"/>
      <c r="C322" s="8" t="n"/>
      <c r="D322" s="8" t="n"/>
      <c r="E322" s="8" t="n"/>
      <c r="F322" s="8" t="n"/>
    </row>
    <row r="323">
      <c r="A323" s="8" t="n"/>
      <c r="B323" s="8" t="n"/>
      <c r="C323" s="8" t="n"/>
      <c r="D323" s="8" t="n"/>
      <c r="E323" s="8" t="n"/>
      <c r="F323" s="8" t="n"/>
    </row>
    <row r="324">
      <c r="A324" s="8" t="n"/>
      <c r="B324" s="8" t="n"/>
      <c r="C324" s="8" t="n"/>
      <c r="D324" s="8" t="n"/>
      <c r="E324" s="8" t="n"/>
      <c r="F324" s="8" t="n"/>
    </row>
    <row r="325">
      <c r="A325" s="8" t="n"/>
      <c r="B325" s="8" t="n"/>
      <c r="C325" s="8" t="n"/>
      <c r="D325" s="8" t="n"/>
      <c r="E325" s="8" t="n"/>
      <c r="F325" s="8" t="n"/>
    </row>
    <row r="326">
      <c r="A326" s="8" t="n"/>
      <c r="B326" s="8" t="n"/>
      <c r="C326" s="8" t="n"/>
      <c r="D326" s="8" t="n"/>
      <c r="E326" s="8" t="n"/>
      <c r="F326" s="8" t="n"/>
    </row>
    <row r="327">
      <c r="A327" s="8" t="n"/>
      <c r="B327" s="8" t="n"/>
      <c r="C327" s="8" t="n"/>
      <c r="D327" s="8" t="n"/>
      <c r="E327" s="8" t="n"/>
      <c r="F327" s="8" t="n"/>
    </row>
    <row r="328">
      <c r="A328" s="8" t="n"/>
      <c r="B328" s="8" t="n"/>
      <c r="C328" s="8" t="n"/>
      <c r="D328" s="8" t="n"/>
      <c r="E328" s="8" t="n"/>
      <c r="F328" s="8" t="n"/>
    </row>
    <row r="329">
      <c r="A329" s="8" t="n"/>
      <c r="B329" s="8" t="n"/>
      <c r="C329" s="8" t="n"/>
      <c r="D329" s="8" t="n"/>
      <c r="E329" s="8" t="n"/>
      <c r="F329" s="8" t="n"/>
    </row>
    <row r="330">
      <c r="A330" s="8" t="n"/>
      <c r="B330" s="8" t="n"/>
      <c r="C330" s="8" t="n"/>
      <c r="D330" s="8" t="n"/>
      <c r="E330" s="8" t="n"/>
      <c r="F330" s="8" t="n"/>
    </row>
    <row r="331">
      <c r="A331" s="8" t="n"/>
      <c r="B331" s="8" t="n"/>
      <c r="C331" s="8" t="n"/>
      <c r="D331" s="8" t="n"/>
      <c r="E331" s="8" t="n"/>
      <c r="F331" s="8" t="n"/>
    </row>
    <row r="332">
      <c r="A332" s="8" t="n"/>
      <c r="B332" s="8" t="n"/>
      <c r="C332" s="8" t="n"/>
      <c r="D332" s="8" t="n"/>
      <c r="E332" s="8" t="n"/>
      <c r="F332" s="8" t="n"/>
    </row>
    <row r="333">
      <c r="A333" s="8" t="n"/>
      <c r="B333" s="8" t="n"/>
      <c r="C333" s="8" t="n"/>
      <c r="D333" s="8" t="n"/>
      <c r="E333" s="8" t="n"/>
      <c r="F333" s="8" t="n"/>
    </row>
    <row r="334">
      <c r="A334" s="8" t="n"/>
      <c r="B334" s="8" t="n"/>
      <c r="C334" s="8" t="n"/>
      <c r="D334" s="8" t="n"/>
      <c r="E334" s="8" t="n"/>
      <c r="F334" s="8" t="n"/>
    </row>
    <row r="335">
      <c r="A335" s="8" t="n"/>
      <c r="B335" s="8" t="n"/>
      <c r="C335" s="8" t="n"/>
      <c r="D335" s="8" t="n"/>
      <c r="E335" s="8" t="n"/>
      <c r="F335" s="8" t="n"/>
    </row>
    <row r="336">
      <c r="A336" s="8" t="n"/>
      <c r="B336" s="8" t="n"/>
      <c r="C336" s="8" t="n"/>
      <c r="D336" s="8" t="n"/>
      <c r="E336" s="8" t="n"/>
      <c r="F336" s="8" t="n"/>
    </row>
    <row r="337">
      <c r="A337" s="8" t="n"/>
      <c r="B337" s="8" t="n"/>
      <c r="C337" s="8" t="n"/>
      <c r="D337" s="8" t="n"/>
      <c r="E337" s="8" t="n"/>
      <c r="F337" s="8" t="n"/>
    </row>
    <row r="338">
      <c r="A338" s="8" t="n"/>
      <c r="B338" s="8" t="n"/>
      <c r="C338" s="8" t="n"/>
      <c r="D338" s="8" t="n"/>
      <c r="E338" s="8" t="n"/>
      <c r="F338" s="8" t="n"/>
    </row>
    <row r="339">
      <c r="A339" s="8" t="n"/>
      <c r="B339" s="8" t="n"/>
      <c r="C339" s="8" t="n"/>
      <c r="D339" s="8" t="n"/>
      <c r="E339" s="8" t="n"/>
      <c r="F339" s="8" t="n"/>
    </row>
    <row r="340">
      <c r="A340" s="8" t="n"/>
      <c r="B340" s="8" t="n"/>
      <c r="C340" s="8" t="n"/>
      <c r="D340" s="8" t="n"/>
      <c r="E340" s="8" t="n"/>
      <c r="F340" s="8" t="n"/>
    </row>
    <row r="341">
      <c r="A341" s="8" t="n"/>
      <c r="B341" s="8" t="n"/>
      <c r="C341" s="8" t="n"/>
      <c r="D341" s="8" t="n"/>
      <c r="E341" s="8" t="n"/>
      <c r="F341" s="8" t="n"/>
    </row>
    <row r="342">
      <c r="A342" s="8" t="n"/>
      <c r="B342" s="8" t="n"/>
      <c r="C342" s="8" t="n"/>
      <c r="D342" s="8" t="n"/>
      <c r="E342" s="8" t="n"/>
      <c r="F342" s="8" t="n"/>
    </row>
    <row r="343">
      <c r="A343" s="8" t="n"/>
      <c r="B343" s="8" t="n"/>
      <c r="C343" s="8" t="n"/>
      <c r="D343" s="8" t="n"/>
      <c r="E343" s="8" t="n"/>
      <c r="F343" s="8" t="n"/>
    </row>
    <row r="344">
      <c r="A344" s="8" t="n"/>
      <c r="B344" s="8" t="n"/>
      <c r="C344" s="8" t="n"/>
      <c r="D344" s="8" t="n"/>
      <c r="E344" s="8" t="n"/>
      <c r="F344" s="8" t="n"/>
    </row>
    <row r="345">
      <c r="A345" s="8" t="n"/>
      <c r="B345" s="8" t="n"/>
      <c r="C345" s="8" t="n"/>
      <c r="D345" s="8" t="n"/>
      <c r="E345" s="8" t="n"/>
      <c r="F345" s="8" t="n"/>
    </row>
    <row r="346">
      <c r="A346" s="8" t="n"/>
      <c r="B346" s="8" t="n"/>
      <c r="C346" s="8" t="n"/>
      <c r="D346" s="8" t="n"/>
      <c r="E346" s="8" t="n"/>
      <c r="F346" s="8" t="n"/>
    </row>
    <row r="347">
      <c r="A347" s="8" t="n"/>
      <c r="B347" s="8" t="n"/>
      <c r="C347" s="8" t="n"/>
      <c r="D347" s="8" t="n"/>
      <c r="E347" s="8" t="n"/>
      <c r="F347" s="8" t="n"/>
    </row>
    <row r="348">
      <c r="A348" s="8" t="n"/>
      <c r="B348" s="8" t="n"/>
      <c r="C348" s="8" t="n"/>
      <c r="D348" s="8" t="n"/>
      <c r="E348" s="8" t="n"/>
      <c r="F348" s="8" t="n"/>
    </row>
    <row r="349">
      <c r="A349" s="8" t="n"/>
      <c r="B349" s="8" t="n"/>
      <c r="C349" s="8" t="n"/>
      <c r="D349" s="8" t="n"/>
      <c r="E349" s="8" t="n"/>
      <c r="F349" s="8" t="n"/>
    </row>
    <row r="350">
      <c r="A350" s="8" t="n"/>
      <c r="B350" s="8" t="n"/>
      <c r="C350" s="8" t="n"/>
      <c r="D350" s="8" t="n"/>
      <c r="E350" s="8" t="n"/>
      <c r="F350" s="8" t="n"/>
    </row>
    <row r="351">
      <c r="A351" s="8" t="n"/>
      <c r="B351" s="8" t="n"/>
      <c r="C351" s="8" t="n"/>
      <c r="D351" s="8" t="n"/>
      <c r="E351" s="8" t="n"/>
      <c r="F351" s="8" t="n"/>
    </row>
    <row r="352">
      <c r="A352" s="8" t="n"/>
      <c r="B352" s="8" t="n"/>
      <c r="C352" s="8" t="n"/>
      <c r="D352" s="8" t="n"/>
      <c r="E352" s="8" t="n"/>
      <c r="F352" s="8" t="n"/>
    </row>
    <row r="353">
      <c r="A353" s="8" t="n"/>
      <c r="B353" s="8" t="n"/>
      <c r="C353" s="8" t="n"/>
      <c r="D353" s="8" t="n"/>
      <c r="E353" s="8" t="n"/>
      <c r="F353" s="8" t="n"/>
    </row>
    <row r="354">
      <c r="A354" s="8" t="n"/>
      <c r="B354" s="8" t="n"/>
      <c r="C354" s="8" t="n"/>
      <c r="D354" s="8" t="n"/>
      <c r="E354" s="8" t="n"/>
      <c r="F354" s="8" t="n"/>
    </row>
    <row r="355">
      <c r="A355" s="8" t="n"/>
      <c r="B355" s="8" t="n"/>
      <c r="C355" s="8" t="n"/>
      <c r="D355" s="8" t="n"/>
      <c r="E355" s="8" t="n"/>
      <c r="F355" s="8" t="n"/>
    </row>
    <row r="356">
      <c r="A356" s="8" t="n"/>
      <c r="B356" s="8" t="n"/>
      <c r="C356" s="8" t="n"/>
      <c r="D356" s="8" t="n"/>
      <c r="E356" s="8" t="n"/>
      <c r="F356" s="8" t="n"/>
    </row>
    <row r="357">
      <c r="A357" s="8" t="n"/>
      <c r="B357" s="8" t="n"/>
      <c r="C357" s="8" t="n"/>
      <c r="D357" s="8" t="n"/>
      <c r="E357" s="8" t="n"/>
      <c r="F357" s="8" t="n"/>
    </row>
    <row r="358">
      <c r="A358" s="8" t="n"/>
      <c r="B358" s="8" t="n"/>
      <c r="C358" s="8" t="n"/>
      <c r="D358" s="8" t="n"/>
      <c r="E358" s="8" t="n"/>
      <c r="F358" s="8" t="n"/>
    </row>
    <row r="359">
      <c r="A359" s="8" t="n"/>
      <c r="B359" s="8" t="n"/>
      <c r="C359" s="8" t="n"/>
      <c r="D359" s="8" t="n"/>
      <c r="E359" s="8" t="n"/>
      <c r="F359" s="8" t="n"/>
    </row>
    <row r="360">
      <c r="A360" s="8" t="n"/>
      <c r="B360" s="8" t="n"/>
      <c r="C360" s="8" t="n"/>
      <c r="D360" s="8" t="n"/>
      <c r="E360" s="8" t="n"/>
      <c r="F360" s="8" t="n"/>
    </row>
    <row r="361">
      <c r="A361" s="8" t="n"/>
      <c r="B361" s="8" t="n"/>
      <c r="C361" s="8" t="n"/>
      <c r="D361" s="8" t="n"/>
      <c r="E361" s="8" t="n"/>
      <c r="F361" s="8" t="n"/>
    </row>
    <row r="362">
      <c r="A362" s="8" t="n"/>
      <c r="B362" s="8" t="n"/>
      <c r="C362" s="8" t="n"/>
      <c r="D362" s="8" t="n"/>
      <c r="E362" s="8" t="n"/>
      <c r="F362" s="8" t="n"/>
    </row>
    <row r="363">
      <c r="A363" s="8" t="n"/>
      <c r="B363" s="8" t="n"/>
      <c r="C363" s="8" t="n"/>
      <c r="D363" s="8" t="n"/>
      <c r="E363" s="8" t="n"/>
      <c r="F363" s="8" t="n"/>
    </row>
    <row r="364">
      <c r="A364" s="8" t="n"/>
      <c r="B364" s="8" t="n"/>
      <c r="C364" s="8" t="n"/>
      <c r="D364" s="8" t="n"/>
      <c r="E364" s="8" t="n"/>
      <c r="F364" s="8" t="n"/>
    </row>
    <row r="365">
      <c r="A365" s="8" t="n"/>
      <c r="B365" s="8" t="n"/>
      <c r="C365" s="8" t="n"/>
      <c r="D365" s="8" t="n"/>
      <c r="E365" s="8" t="n"/>
      <c r="F365" s="8" t="n"/>
    </row>
    <row r="366">
      <c r="A366" s="8" t="n"/>
      <c r="B366" s="8" t="n"/>
      <c r="C366" s="8" t="n"/>
      <c r="D366" s="8" t="n"/>
      <c r="E366" s="8" t="n"/>
      <c r="F366" s="8" t="n"/>
    </row>
    <row r="367">
      <c r="A367" s="8" t="n"/>
      <c r="B367" s="8" t="n"/>
      <c r="C367" s="8" t="n"/>
      <c r="D367" s="8" t="n"/>
      <c r="E367" s="8" t="n"/>
      <c r="F367" s="8" t="n"/>
    </row>
    <row r="368">
      <c r="A368" s="8" t="n"/>
      <c r="B368" s="8" t="n"/>
      <c r="C368" s="8" t="n"/>
      <c r="D368" s="8" t="n"/>
      <c r="E368" s="8" t="n"/>
      <c r="F368" s="8" t="n"/>
    </row>
    <row r="369">
      <c r="A369" s="8" t="n"/>
      <c r="B369" s="8" t="n"/>
      <c r="C369" s="8" t="n"/>
      <c r="D369" s="8" t="n"/>
      <c r="E369" s="8" t="n"/>
      <c r="F369" s="8" t="n"/>
    </row>
    <row r="370">
      <c r="A370" s="8" t="n"/>
      <c r="B370" s="8" t="n"/>
      <c r="C370" s="8" t="n"/>
      <c r="D370" s="8" t="n"/>
      <c r="E370" s="8" t="n"/>
      <c r="F370" s="8" t="n"/>
    </row>
    <row r="371">
      <c r="A371" s="8" t="n"/>
      <c r="B371" s="8" t="n"/>
      <c r="C371" s="8" t="n"/>
      <c r="D371" s="8" t="n"/>
      <c r="E371" s="8" t="n"/>
      <c r="F371" s="8" t="n"/>
    </row>
    <row r="372">
      <c r="A372" s="8" t="n"/>
      <c r="B372" s="8" t="n"/>
      <c r="C372" s="8" t="n"/>
      <c r="D372" s="8" t="n"/>
      <c r="E372" s="8" t="n"/>
      <c r="F372" s="8" t="n"/>
    </row>
    <row r="373">
      <c r="A373" s="8" t="n"/>
      <c r="B373" s="8" t="n"/>
      <c r="C373" s="8" t="n"/>
      <c r="D373" s="8" t="n"/>
      <c r="E373" s="8" t="n"/>
      <c r="F373" s="8" t="n"/>
    </row>
    <row r="374">
      <c r="A374" s="8" t="n"/>
      <c r="B374" s="8" t="n"/>
      <c r="C374" s="8" t="n"/>
      <c r="D374" s="8" t="n"/>
      <c r="E374" s="8" t="n"/>
      <c r="F374" s="8" t="n"/>
    </row>
    <row r="375">
      <c r="A375" s="8" t="n"/>
      <c r="B375" s="8" t="n"/>
      <c r="C375" s="8" t="n"/>
      <c r="D375" s="8" t="n"/>
      <c r="E375" s="8" t="n"/>
      <c r="F375" s="8" t="n"/>
    </row>
    <row r="376">
      <c r="A376" s="8" t="n"/>
      <c r="B376" s="8" t="n"/>
      <c r="C376" s="8" t="n"/>
      <c r="D376" s="8" t="n"/>
      <c r="E376" s="8" t="n"/>
      <c r="F376" s="8" t="n"/>
    </row>
    <row r="377">
      <c r="A377" s="8" t="n"/>
      <c r="B377" s="8" t="n"/>
      <c r="C377" s="8" t="n"/>
      <c r="D377" s="8" t="n"/>
      <c r="E377" s="8" t="n"/>
      <c r="F377" s="8" t="n"/>
    </row>
    <row r="378">
      <c r="A378" s="8" t="n"/>
      <c r="B378" s="8" t="n"/>
      <c r="C378" s="8" t="n"/>
      <c r="D378" s="8" t="n"/>
      <c r="E378" s="8" t="n"/>
      <c r="F378" s="8" t="n"/>
    </row>
    <row r="379">
      <c r="A379" s="8" t="n"/>
      <c r="B379" s="8" t="n"/>
      <c r="C379" s="8" t="n"/>
      <c r="D379" s="8" t="n"/>
      <c r="E379" s="8" t="n"/>
      <c r="F379" s="8" t="n"/>
    </row>
    <row r="380">
      <c r="A380" s="8" t="n"/>
      <c r="B380" s="8" t="n"/>
      <c r="C380" s="8" t="n"/>
      <c r="D380" s="8" t="n"/>
      <c r="E380" s="8" t="n"/>
      <c r="F380" s="8" t="n"/>
    </row>
    <row r="381">
      <c r="A381" s="8" t="n"/>
      <c r="B381" s="8" t="n"/>
      <c r="C381" s="8" t="n"/>
      <c r="D381" s="8" t="n"/>
      <c r="E381" s="8" t="n"/>
      <c r="F381" s="8" t="n"/>
    </row>
    <row r="382">
      <c r="A382" s="8" t="n"/>
      <c r="B382" s="8" t="n"/>
      <c r="C382" s="8" t="n"/>
      <c r="D382" s="8" t="n"/>
      <c r="E382" s="8" t="n"/>
      <c r="F382" s="8" t="n"/>
    </row>
    <row r="383">
      <c r="A383" s="8" t="n"/>
      <c r="B383" s="8" t="n"/>
      <c r="C383" s="8" t="n"/>
      <c r="D383" s="8" t="n"/>
      <c r="E383" s="8" t="n"/>
      <c r="F383" s="8" t="n"/>
    </row>
    <row r="384">
      <c r="A384" s="8" t="n"/>
      <c r="B384" s="8" t="n"/>
      <c r="C384" s="8" t="n"/>
      <c r="D384" s="8" t="n"/>
      <c r="E384" s="8" t="n"/>
      <c r="F384" s="8" t="n"/>
    </row>
    <row r="385">
      <c r="A385" s="8" t="n"/>
      <c r="B385" s="8" t="n"/>
      <c r="C385" s="8" t="n"/>
      <c r="D385" s="8" t="n"/>
      <c r="E385" s="8" t="n"/>
      <c r="F385" s="8" t="n"/>
    </row>
    <row r="386">
      <c r="A386" s="8" t="n"/>
      <c r="B386" s="8" t="n"/>
      <c r="C386" s="8" t="n"/>
      <c r="D386" s="8" t="n"/>
      <c r="E386" s="8" t="n"/>
      <c r="F386" s="8" t="n"/>
    </row>
    <row r="387">
      <c r="A387" s="8" t="n"/>
      <c r="B387" s="8" t="n"/>
      <c r="C387" s="8" t="n"/>
      <c r="D387" s="8" t="n"/>
      <c r="E387" s="8" t="n"/>
      <c r="F387" s="8" t="n"/>
    </row>
    <row r="388">
      <c r="A388" s="8" t="n"/>
      <c r="B388" s="8" t="n"/>
      <c r="C388" s="8" t="n"/>
      <c r="D388" s="8" t="n"/>
      <c r="E388" s="8" t="n"/>
      <c r="F388" s="8" t="n"/>
    </row>
    <row r="389">
      <c r="A389" s="8" t="n"/>
      <c r="B389" s="8" t="n"/>
      <c r="C389" s="8" t="n"/>
      <c r="D389" s="8" t="n"/>
      <c r="E389" s="8" t="n"/>
      <c r="F389" s="8" t="n"/>
    </row>
    <row r="390">
      <c r="A390" s="8" t="n"/>
      <c r="B390" s="8" t="n"/>
      <c r="C390" s="8" t="n"/>
      <c r="D390" s="8" t="n"/>
      <c r="E390" s="8" t="n"/>
      <c r="F390" s="8" t="n"/>
    </row>
    <row r="391">
      <c r="A391" s="8" t="n"/>
      <c r="B391" s="8" t="n"/>
      <c r="C391" s="8" t="n"/>
      <c r="D391" s="8" t="n"/>
      <c r="E391" s="8" t="n"/>
      <c r="F391" s="8" t="n"/>
    </row>
    <row r="392">
      <c r="A392" s="8" t="n"/>
      <c r="B392" s="8" t="n"/>
      <c r="C392" s="8" t="n"/>
      <c r="D392" s="8" t="n"/>
      <c r="E392" s="8" t="n"/>
      <c r="F392" s="8" t="n"/>
    </row>
    <row r="393">
      <c r="A393" s="8" t="n"/>
      <c r="B393" s="8" t="n"/>
      <c r="C393" s="8" t="n"/>
      <c r="D393" s="8" t="n"/>
      <c r="E393" s="8" t="n"/>
      <c r="F393" s="8" t="n"/>
    </row>
    <row r="394">
      <c r="A394" s="8" t="n"/>
      <c r="B394" s="8" t="n"/>
      <c r="C394" s="8" t="n"/>
      <c r="D394" s="8" t="n"/>
      <c r="E394" s="8" t="n"/>
      <c r="F394" s="8" t="n"/>
    </row>
    <row r="395">
      <c r="A395" s="8" t="n"/>
      <c r="B395" s="8" t="n"/>
      <c r="C395" s="8" t="n"/>
      <c r="D395" s="8" t="n"/>
      <c r="E395" s="8" t="n"/>
      <c r="F395" s="8" t="n"/>
    </row>
    <row r="396">
      <c r="A396" s="8" t="n"/>
      <c r="B396" s="8" t="n"/>
      <c r="C396" s="8" t="n"/>
      <c r="D396" s="8" t="n"/>
      <c r="E396" s="8" t="n"/>
      <c r="F396" s="8" t="n"/>
    </row>
    <row r="397">
      <c r="A397" s="8" t="n"/>
      <c r="B397" s="8" t="n"/>
      <c r="C397" s="8" t="n"/>
      <c r="D397" s="8" t="n"/>
      <c r="E397" s="8" t="n"/>
      <c r="F397" s="8" t="n"/>
    </row>
    <row r="398">
      <c r="A398" s="8" t="n"/>
      <c r="B398" s="8" t="n"/>
      <c r="C398" s="8" t="n"/>
      <c r="D398" s="8" t="n"/>
      <c r="E398" s="8" t="n"/>
      <c r="F398" s="8" t="n"/>
    </row>
    <row r="399">
      <c r="A399" s="8" t="n"/>
      <c r="B399" s="8" t="n"/>
      <c r="C399" s="8" t="n"/>
      <c r="D399" s="8" t="n"/>
      <c r="E399" s="8" t="n"/>
      <c r="F399" s="8" t="n"/>
    </row>
    <row r="400">
      <c r="A400" s="8" t="n"/>
      <c r="B400" s="8" t="n"/>
      <c r="C400" s="8" t="n"/>
      <c r="D400" s="8" t="n"/>
      <c r="E400" s="8" t="n"/>
      <c r="F400" s="8" t="n"/>
    </row>
    <row r="401">
      <c r="A401" s="8" t="n"/>
      <c r="B401" s="8" t="n"/>
      <c r="C401" s="8" t="n"/>
      <c r="D401" s="8" t="n"/>
      <c r="E401" s="8" t="n"/>
      <c r="F401" s="8" t="n"/>
    </row>
    <row r="402">
      <c r="A402" s="8" t="n"/>
      <c r="B402" s="8" t="n"/>
      <c r="C402" s="8" t="n"/>
      <c r="D402" s="8" t="n"/>
      <c r="E402" s="8" t="n"/>
      <c r="F402" s="8" t="n"/>
    </row>
    <row r="403">
      <c r="A403" s="8" t="n"/>
      <c r="B403" s="8" t="n"/>
      <c r="C403" s="8" t="n"/>
      <c r="D403" s="8" t="n"/>
      <c r="E403" s="8" t="n"/>
      <c r="F403" s="8" t="n"/>
    </row>
    <row r="404">
      <c r="A404" s="8" t="n"/>
      <c r="B404" s="8" t="n"/>
      <c r="C404" s="8" t="n"/>
      <c r="D404" s="8" t="n"/>
      <c r="E404" s="8" t="n"/>
      <c r="F404" s="8" t="n"/>
    </row>
    <row r="405">
      <c r="A405" s="8" t="n"/>
      <c r="B405" s="8" t="n"/>
      <c r="C405" s="8" t="n"/>
      <c r="D405" s="8" t="n"/>
      <c r="E405" s="8" t="n"/>
      <c r="F405" s="8" t="n"/>
    </row>
    <row r="406">
      <c r="A406" s="8" t="n"/>
      <c r="B406" s="8" t="n"/>
      <c r="C406" s="8" t="n"/>
      <c r="D406" s="8" t="n"/>
      <c r="E406" s="8" t="n"/>
      <c r="F406" s="8" t="n"/>
    </row>
    <row r="407">
      <c r="A407" s="8" t="n"/>
      <c r="B407" s="8" t="n"/>
      <c r="C407" s="8" t="n"/>
      <c r="D407" s="8" t="n"/>
      <c r="E407" s="8" t="n"/>
      <c r="F407" s="8" t="n"/>
    </row>
    <row r="408">
      <c r="A408" s="8" t="n"/>
      <c r="B408" s="8" t="n"/>
      <c r="C408" s="8" t="n"/>
      <c r="D408" s="8" t="n"/>
      <c r="E408" s="8" t="n"/>
      <c r="F408" s="8" t="n"/>
    </row>
    <row r="409">
      <c r="A409" s="8" t="n"/>
      <c r="B409" s="8" t="n"/>
      <c r="C409" s="8" t="n"/>
      <c r="D409" s="8" t="n"/>
      <c r="E409" s="8" t="n"/>
      <c r="F409" s="8" t="n"/>
    </row>
    <row r="410">
      <c r="A410" s="8" t="n"/>
      <c r="B410" s="8" t="n"/>
      <c r="C410" s="8" t="n"/>
      <c r="D410" s="8" t="n"/>
      <c r="E410" s="8" t="n"/>
      <c r="F410" s="8" t="n"/>
    </row>
    <row r="411">
      <c r="A411" s="8" t="n"/>
      <c r="B411" s="8" t="n"/>
      <c r="C411" s="8" t="n"/>
      <c r="D411" s="8" t="n"/>
      <c r="E411" s="8" t="n"/>
      <c r="F411" s="8" t="n"/>
    </row>
    <row r="412">
      <c r="A412" s="8" t="n"/>
      <c r="B412" s="8" t="n"/>
      <c r="C412" s="8" t="n"/>
      <c r="D412" s="8" t="n"/>
      <c r="E412" s="8" t="n"/>
      <c r="F412" s="8" t="n"/>
    </row>
    <row r="413">
      <c r="A413" s="8" t="n"/>
      <c r="B413" s="8" t="n"/>
      <c r="C413" s="8" t="n"/>
      <c r="D413" s="8" t="n"/>
      <c r="E413" s="8" t="n"/>
      <c r="F413" s="8" t="n"/>
    </row>
    <row r="414">
      <c r="A414" s="8" t="n"/>
      <c r="B414" s="8" t="n"/>
      <c r="C414" s="8" t="n"/>
      <c r="D414" s="8" t="n"/>
      <c r="E414" s="8" t="n"/>
      <c r="F414" s="8" t="n"/>
    </row>
    <row r="415">
      <c r="A415" s="8" t="n"/>
      <c r="B415" s="8" t="n"/>
      <c r="C415" s="8" t="n"/>
      <c r="D415" s="8" t="n"/>
      <c r="E415" s="8" t="n"/>
      <c r="F415" s="8" t="n"/>
    </row>
    <row r="416">
      <c r="A416" s="8" t="n"/>
      <c r="B416" s="8" t="n"/>
      <c r="C416" s="8" t="n"/>
      <c r="D416" s="8" t="n"/>
      <c r="E416" s="8" t="n"/>
      <c r="F416" s="8" t="n"/>
    </row>
    <row r="417">
      <c r="A417" s="8" t="n"/>
      <c r="B417" s="8" t="n"/>
      <c r="C417" s="8" t="n"/>
      <c r="D417" s="8" t="n"/>
      <c r="E417" s="8" t="n"/>
      <c r="F417" s="8" t="n"/>
    </row>
    <row r="418">
      <c r="A418" s="8" t="n"/>
      <c r="B418" s="8" t="n"/>
      <c r="C418" s="8" t="n"/>
      <c r="D418" s="8" t="n"/>
      <c r="E418" s="8" t="n"/>
      <c r="F418" s="8" t="n"/>
    </row>
    <row r="419">
      <c r="A419" s="8" t="n"/>
      <c r="B419" s="8" t="n"/>
      <c r="C419" s="8" t="n"/>
      <c r="D419" s="8" t="n"/>
      <c r="E419" s="8" t="n"/>
      <c r="F419" s="8" t="n"/>
    </row>
    <row r="420">
      <c r="A420" s="8" t="n"/>
      <c r="B420" s="8" t="n"/>
      <c r="C420" s="8" t="n"/>
      <c r="D420" s="8" t="n"/>
      <c r="E420" s="8" t="n"/>
      <c r="F420" s="8" t="n"/>
    </row>
    <row r="421">
      <c r="A421" s="8" t="n"/>
      <c r="B421" s="8" t="n"/>
      <c r="C421" s="8" t="n"/>
      <c r="D421" s="8" t="n"/>
      <c r="E421" s="8" t="n"/>
      <c r="F421" s="8" t="n"/>
    </row>
    <row r="422">
      <c r="A422" s="8" t="n"/>
      <c r="B422" s="8" t="n"/>
      <c r="C422" s="8" t="n"/>
      <c r="D422" s="8" t="n"/>
      <c r="E422" s="8" t="n"/>
      <c r="F422" s="8" t="n"/>
    </row>
    <row r="423">
      <c r="A423" s="8" t="n"/>
      <c r="B423" s="8" t="n"/>
      <c r="C423" s="8" t="n"/>
      <c r="D423" s="8" t="n"/>
      <c r="E423" s="8" t="n"/>
      <c r="F423" s="8" t="n"/>
    </row>
    <row r="424">
      <c r="A424" s="8" t="n"/>
      <c r="B424" s="8" t="n"/>
      <c r="C424" s="8" t="n"/>
      <c r="D424" s="8" t="n"/>
      <c r="E424" s="8" t="n"/>
      <c r="F424" s="8" t="n"/>
    </row>
    <row r="425">
      <c r="A425" s="8" t="n"/>
      <c r="B425" s="8" t="n"/>
      <c r="C425" s="8" t="n"/>
      <c r="D425" s="8" t="n"/>
      <c r="E425" s="8" t="n"/>
      <c r="F425" s="8" t="n"/>
    </row>
    <row r="426">
      <c r="A426" s="8" t="n"/>
      <c r="B426" s="8" t="n"/>
      <c r="C426" s="8" t="n"/>
      <c r="D426" s="8" t="n"/>
      <c r="E426" s="8" t="n"/>
      <c r="F426" s="8" t="n"/>
    </row>
    <row r="427">
      <c r="A427" s="8" t="n"/>
      <c r="B427" s="8" t="n"/>
      <c r="C427" s="8" t="n"/>
      <c r="D427" s="8" t="n"/>
      <c r="E427" s="8" t="n"/>
      <c r="F427" s="8" t="n"/>
    </row>
    <row r="428">
      <c r="A428" s="8" t="n"/>
      <c r="B428" s="8" t="n"/>
      <c r="C428" s="8" t="n"/>
      <c r="D428" s="8" t="n"/>
      <c r="E428" s="8" t="n"/>
      <c r="F428" s="8" t="n"/>
    </row>
    <row r="429">
      <c r="A429" s="8" t="n"/>
      <c r="B429" s="8" t="n"/>
      <c r="C429" s="8" t="n"/>
      <c r="D429" s="8" t="n"/>
      <c r="E429" s="8" t="n"/>
      <c r="F429" s="8" t="n"/>
    </row>
    <row r="430">
      <c r="A430" s="8" t="n"/>
      <c r="B430" s="8" t="n"/>
      <c r="C430" s="8" t="n"/>
      <c r="D430" s="8" t="n"/>
      <c r="E430" s="8" t="n"/>
      <c r="F430" s="8" t="n"/>
    </row>
    <row r="431">
      <c r="A431" s="8" t="n"/>
      <c r="B431" s="8" t="n"/>
      <c r="C431" s="8" t="n"/>
      <c r="D431" s="8" t="n"/>
      <c r="E431" s="8" t="n"/>
      <c r="F431" s="8" t="n"/>
    </row>
    <row r="432">
      <c r="A432" s="8" t="n"/>
      <c r="B432" s="8" t="n"/>
      <c r="C432" s="8" t="n"/>
      <c r="D432" s="8" t="n"/>
      <c r="E432" s="8" t="n"/>
      <c r="F432" s="8" t="n"/>
    </row>
    <row r="433">
      <c r="A433" s="8" t="n"/>
      <c r="B433" s="8" t="n"/>
      <c r="C433" s="8" t="n"/>
      <c r="D433" s="8" t="n"/>
      <c r="E433" s="8" t="n"/>
      <c r="F433" s="8" t="n"/>
    </row>
    <row r="434">
      <c r="A434" s="8" t="n"/>
      <c r="B434" s="8" t="n"/>
      <c r="C434" s="8" t="n"/>
      <c r="D434" s="8" t="n"/>
      <c r="E434" s="8" t="n"/>
      <c r="F434" s="8" t="n"/>
    </row>
    <row r="435">
      <c r="A435" s="8" t="n"/>
      <c r="B435" s="8" t="n"/>
      <c r="C435" s="8" t="n"/>
      <c r="D435" s="8" t="n"/>
      <c r="E435" s="8" t="n"/>
      <c r="F435" s="8" t="n"/>
    </row>
    <row r="436">
      <c r="A436" s="8" t="n"/>
      <c r="B436" s="8" t="n"/>
      <c r="C436" s="8" t="n"/>
      <c r="D436" s="8" t="n"/>
      <c r="E436" s="8" t="n"/>
      <c r="F436" s="8" t="n"/>
    </row>
    <row r="437">
      <c r="A437" s="8" t="n"/>
      <c r="B437" s="8" t="n"/>
      <c r="C437" s="8" t="n"/>
      <c r="D437" s="8" t="n"/>
      <c r="E437" s="8" t="n"/>
      <c r="F437" s="8" t="n"/>
    </row>
    <row r="438">
      <c r="A438" s="8" t="n"/>
      <c r="B438" s="8" t="n"/>
      <c r="C438" s="8" t="n"/>
      <c r="D438" s="8" t="n"/>
      <c r="E438" s="8" t="n"/>
      <c r="F438" s="8" t="n"/>
    </row>
    <row r="439">
      <c r="A439" s="8" t="n"/>
      <c r="B439" s="8" t="n"/>
      <c r="C439" s="8" t="n"/>
      <c r="D439" s="8" t="n"/>
      <c r="E439" s="8" t="n"/>
      <c r="F439" s="8" t="n"/>
    </row>
    <row r="440">
      <c r="A440" s="8" t="n"/>
      <c r="B440" s="8" t="n"/>
      <c r="C440" s="8" t="n"/>
      <c r="D440" s="8" t="n"/>
      <c r="E440" s="8" t="n"/>
      <c r="F440" s="8" t="n"/>
    </row>
    <row r="441">
      <c r="A441" s="8" t="n"/>
      <c r="B441" s="8" t="n"/>
      <c r="C441" s="8" t="n"/>
      <c r="D441" s="8" t="n"/>
      <c r="E441" s="8" t="n"/>
      <c r="F441" s="8" t="n"/>
    </row>
    <row r="442">
      <c r="A442" s="8" t="n"/>
      <c r="B442" s="8" t="n"/>
      <c r="C442" s="8" t="n"/>
      <c r="D442" s="8" t="n"/>
      <c r="E442" s="8" t="n"/>
      <c r="F442" s="8" t="n"/>
    </row>
    <row r="443">
      <c r="A443" s="8" t="n"/>
      <c r="B443" s="8" t="n"/>
      <c r="C443" s="8" t="n"/>
      <c r="D443" s="8" t="n"/>
      <c r="E443" s="8" t="n"/>
      <c r="F443" s="8" t="n"/>
    </row>
    <row r="444">
      <c r="A444" s="8" t="n"/>
      <c r="B444" s="8" t="n"/>
      <c r="C444" s="8" t="n"/>
      <c r="D444" s="8" t="n"/>
      <c r="E444" s="8" t="n"/>
      <c r="F444" s="8" t="n"/>
    </row>
    <row r="445">
      <c r="A445" s="8" t="n"/>
      <c r="B445" s="8" t="n"/>
      <c r="C445" s="8" t="n"/>
      <c r="D445" s="8" t="n"/>
      <c r="E445" s="8" t="n"/>
      <c r="F445" s="8" t="n"/>
    </row>
    <row r="446">
      <c r="A446" s="8" t="n"/>
      <c r="B446" s="8" t="n"/>
      <c r="C446" s="8" t="n"/>
      <c r="D446" s="8" t="n"/>
      <c r="E446" s="8" t="n"/>
      <c r="F446" s="8" t="n"/>
    </row>
    <row r="447">
      <c r="A447" s="8" t="n"/>
      <c r="B447" s="8" t="n"/>
      <c r="C447" s="8" t="n"/>
      <c r="D447" s="8" t="n"/>
      <c r="E447" s="8" t="n"/>
      <c r="F447" s="8" t="n"/>
    </row>
    <row r="448">
      <c r="A448" s="8" t="n"/>
      <c r="B448" s="8" t="n"/>
      <c r="C448" s="8" t="n"/>
      <c r="D448" s="8" t="n"/>
      <c r="E448" s="8" t="n"/>
      <c r="F448" s="8" t="n"/>
    </row>
    <row r="449">
      <c r="A449" s="8" t="n"/>
      <c r="B449" s="8" t="n"/>
      <c r="C449" s="8" t="n"/>
      <c r="D449" s="8" t="n"/>
      <c r="E449" s="8" t="n"/>
      <c r="F449" s="8" t="n"/>
    </row>
    <row r="450">
      <c r="A450" s="8" t="n"/>
      <c r="B450" s="8" t="n"/>
      <c r="C450" s="8" t="n"/>
      <c r="D450" s="8" t="n"/>
      <c r="E450" s="8" t="n"/>
      <c r="F450" s="8" t="n"/>
    </row>
    <row r="451">
      <c r="A451" s="8" t="n"/>
      <c r="B451" s="8" t="n"/>
      <c r="C451" s="8" t="n"/>
      <c r="D451" s="8" t="n"/>
      <c r="E451" s="8" t="n"/>
      <c r="F451" s="8" t="n"/>
    </row>
    <row r="452">
      <c r="A452" s="8" t="n"/>
      <c r="B452" s="8" t="n"/>
      <c r="C452" s="8" t="n"/>
      <c r="D452" s="8" t="n"/>
      <c r="E452" s="8" t="n"/>
      <c r="F452" s="8" t="n"/>
    </row>
    <row r="453">
      <c r="A453" s="8" t="n"/>
      <c r="B453" s="8" t="n"/>
      <c r="C453" s="8" t="n"/>
      <c r="D453" s="8" t="n"/>
      <c r="E453" s="8" t="n"/>
      <c r="F453" s="8" t="n"/>
    </row>
    <row r="454">
      <c r="A454" s="8" t="n"/>
      <c r="B454" s="8" t="n"/>
      <c r="C454" s="8" t="n"/>
      <c r="D454" s="8" t="n"/>
      <c r="E454" s="8" t="n"/>
      <c r="F454" s="8" t="n"/>
    </row>
    <row r="455">
      <c r="A455" s="8" t="n"/>
      <c r="B455" s="8" t="n"/>
      <c r="C455" s="8" t="n"/>
      <c r="D455" s="8" t="n"/>
      <c r="E455" s="8" t="n"/>
      <c r="F455" s="8" t="n"/>
    </row>
    <row r="456">
      <c r="A456" s="8" t="n"/>
      <c r="B456" s="8" t="n"/>
      <c r="C456" s="8" t="n"/>
      <c r="D456" s="8" t="n"/>
      <c r="E456" s="8" t="n"/>
      <c r="F456" s="8" t="n"/>
    </row>
    <row r="457">
      <c r="A457" s="8" t="n"/>
      <c r="B457" s="8" t="n"/>
      <c r="C457" s="8" t="n"/>
      <c r="D457" s="8" t="n"/>
      <c r="E457" s="8" t="n"/>
      <c r="F457" s="8" t="n"/>
    </row>
    <row r="458">
      <c r="A458" s="8" t="n"/>
      <c r="B458" s="8" t="n"/>
      <c r="C458" s="8" t="n"/>
      <c r="D458" s="8" t="n"/>
      <c r="E458" s="8" t="n"/>
      <c r="F458" s="8" t="n"/>
    </row>
    <row r="459">
      <c r="A459" s="8" t="n"/>
      <c r="B459" s="8" t="n"/>
      <c r="C459" s="8" t="n"/>
      <c r="D459" s="8" t="n"/>
      <c r="E459" s="8" t="n"/>
      <c r="F459" s="8" t="n"/>
    </row>
    <row r="460">
      <c r="A460" s="8" t="n"/>
      <c r="B460" s="8" t="n"/>
      <c r="C460" s="8" t="n"/>
      <c r="D460" s="8" t="n"/>
      <c r="E460" s="8" t="n"/>
      <c r="F460" s="8" t="n"/>
    </row>
    <row r="461">
      <c r="A461" s="8" t="n"/>
      <c r="B461" s="8" t="n"/>
      <c r="C461" s="8" t="n"/>
      <c r="D461" s="8" t="n"/>
      <c r="E461" s="8" t="n"/>
      <c r="F461" s="8" t="n"/>
    </row>
    <row r="462">
      <c r="A462" s="8" t="n"/>
      <c r="B462" s="8" t="n"/>
      <c r="C462" s="8" t="n"/>
      <c r="D462" s="8" t="n"/>
      <c r="E462" s="8" t="n"/>
      <c r="F462" s="8" t="n"/>
    </row>
    <row r="463">
      <c r="A463" s="8" t="n"/>
      <c r="B463" s="8" t="n"/>
      <c r="C463" s="8" t="n"/>
      <c r="D463" s="8" t="n"/>
      <c r="E463" s="8" t="n"/>
      <c r="F463" s="8" t="n"/>
    </row>
    <row r="464">
      <c r="A464" s="8" t="n"/>
      <c r="B464" s="8" t="n"/>
      <c r="C464" s="8" t="n"/>
      <c r="D464" s="8" t="n"/>
      <c r="E464" s="8" t="n"/>
      <c r="F464" s="8" t="n"/>
    </row>
    <row r="465">
      <c r="A465" s="8" t="n"/>
      <c r="B465" s="8" t="n"/>
      <c r="C465" s="8" t="n"/>
      <c r="D465" s="8" t="n"/>
      <c r="E465" s="8" t="n"/>
      <c r="F465" s="8" t="n"/>
    </row>
    <row r="466">
      <c r="A466" s="8" t="n"/>
      <c r="B466" s="8" t="n"/>
      <c r="C466" s="8" t="n"/>
      <c r="D466" s="8" t="n"/>
      <c r="E466" s="8" t="n"/>
      <c r="F466" s="8" t="n"/>
    </row>
    <row r="467">
      <c r="A467" s="8" t="n"/>
      <c r="B467" s="8" t="n"/>
      <c r="C467" s="8" t="n"/>
      <c r="D467" s="8" t="n"/>
      <c r="E467" s="8" t="n"/>
      <c r="F467" s="8" t="n"/>
    </row>
    <row r="468">
      <c r="A468" s="8" t="n"/>
      <c r="B468" s="8" t="n"/>
      <c r="C468" s="8" t="n"/>
      <c r="D468" s="8" t="n"/>
      <c r="E468" s="8" t="n"/>
      <c r="F468" s="8" t="n"/>
    </row>
    <row r="469">
      <c r="A469" s="8" t="n"/>
      <c r="B469" s="8" t="n"/>
      <c r="C469" s="8" t="n"/>
      <c r="D469" s="8" t="n"/>
      <c r="E469" s="8" t="n"/>
      <c r="F469" s="8" t="n"/>
    </row>
    <row r="470">
      <c r="A470" s="8" t="n"/>
      <c r="B470" s="8" t="n"/>
      <c r="C470" s="8" t="n"/>
      <c r="D470" s="8" t="n"/>
      <c r="E470" s="8" t="n"/>
      <c r="F470" s="8" t="n"/>
    </row>
    <row r="471">
      <c r="A471" s="8" t="n"/>
      <c r="B471" s="8" t="n"/>
      <c r="C471" s="8" t="n"/>
      <c r="D471" s="8" t="n"/>
      <c r="E471" s="8" t="n"/>
      <c r="F471" s="8" t="n"/>
    </row>
    <row r="472">
      <c r="A472" s="8" t="n"/>
      <c r="B472" s="8" t="n"/>
      <c r="C472" s="8" t="n"/>
      <c r="D472" s="8" t="n"/>
      <c r="E472" s="8" t="n"/>
      <c r="F472" s="8" t="n"/>
    </row>
    <row r="473">
      <c r="A473" s="8" t="n"/>
      <c r="B473" s="8" t="n"/>
      <c r="C473" s="8" t="n"/>
      <c r="D473" s="8" t="n"/>
      <c r="E473" s="8" t="n"/>
      <c r="F473" s="8" t="n"/>
    </row>
    <row r="474">
      <c r="A474" s="8" t="n"/>
      <c r="B474" s="8" t="n"/>
      <c r="C474" s="8" t="n"/>
      <c r="D474" s="8" t="n"/>
      <c r="E474" s="8" t="n"/>
      <c r="F474" s="8" t="n"/>
    </row>
    <row r="475">
      <c r="A475" s="8" t="n"/>
      <c r="B475" s="8" t="n"/>
      <c r="C475" s="8" t="n"/>
      <c r="D475" s="8" t="n"/>
      <c r="E475" s="8" t="n"/>
      <c r="F475" s="8" t="n"/>
    </row>
    <row r="476">
      <c r="A476" s="8" t="n"/>
      <c r="B476" s="8" t="n"/>
      <c r="C476" s="8" t="n"/>
      <c r="D476" s="8" t="n"/>
      <c r="E476" s="8" t="n"/>
      <c r="F476" s="8" t="n"/>
    </row>
    <row r="477">
      <c r="A477" s="8" t="n"/>
      <c r="B477" s="8" t="n"/>
      <c r="C477" s="8" t="n"/>
      <c r="D477" s="8" t="n"/>
      <c r="E477" s="8" t="n"/>
      <c r="F477" s="8" t="n"/>
    </row>
    <row r="478">
      <c r="A478" s="8" t="n"/>
      <c r="B478" s="8" t="n"/>
      <c r="C478" s="8" t="n"/>
      <c r="D478" s="8" t="n"/>
      <c r="E478" s="8" t="n"/>
      <c r="F478" s="8" t="n"/>
    </row>
    <row r="479">
      <c r="A479" s="8" t="n"/>
      <c r="B479" s="8" t="n"/>
      <c r="C479" s="8" t="n"/>
      <c r="D479" s="8" t="n"/>
      <c r="E479" s="8" t="n"/>
      <c r="F479" s="8" t="n"/>
    </row>
    <row r="480">
      <c r="A480" s="8" t="n"/>
      <c r="B480" s="8" t="n"/>
      <c r="C480" s="8" t="n"/>
      <c r="D480" s="8" t="n"/>
      <c r="E480" s="8" t="n"/>
      <c r="F480" s="8" t="n"/>
    </row>
    <row r="481">
      <c r="A481" s="8" t="n"/>
      <c r="B481" s="8" t="n"/>
      <c r="C481" s="8" t="n"/>
      <c r="D481" s="8" t="n"/>
      <c r="E481" s="8" t="n"/>
      <c r="F481" s="8" t="n"/>
    </row>
    <row r="482">
      <c r="A482" s="8" t="n"/>
      <c r="B482" s="8" t="n"/>
      <c r="C482" s="8" t="n"/>
      <c r="D482" s="8" t="n"/>
      <c r="E482" s="8" t="n"/>
      <c r="F482" s="8" t="n"/>
    </row>
    <row r="483">
      <c r="A483" s="8" t="n"/>
      <c r="B483" s="8" t="n"/>
      <c r="C483" s="8" t="n"/>
      <c r="D483" s="8" t="n"/>
      <c r="E483" s="8" t="n"/>
      <c r="F483" s="8" t="n"/>
    </row>
    <row r="484">
      <c r="A484" s="8" t="n"/>
      <c r="B484" s="8" t="n"/>
      <c r="C484" s="8" t="n"/>
      <c r="D484" s="8" t="n"/>
      <c r="E484" s="8" t="n"/>
      <c r="F484" s="8" t="n"/>
    </row>
    <row r="485">
      <c r="A485" s="8" t="n"/>
      <c r="B485" s="8" t="n"/>
      <c r="C485" s="8" t="n"/>
      <c r="D485" s="8" t="n"/>
      <c r="E485" s="8" t="n"/>
      <c r="F485" s="8" t="n"/>
    </row>
    <row r="486">
      <c r="A486" s="8" t="n"/>
      <c r="B486" s="8" t="n"/>
      <c r="C486" s="8" t="n"/>
      <c r="D486" s="8" t="n"/>
      <c r="E486" s="8" t="n"/>
      <c r="F486" s="8" t="n"/>
    </row>
    <row r="487">
      <c r="A487" s="8" t="n"/>
      <c r="B487" s="8" t="n"/>
      <c r="C487" s="8" t="n"/>
      <c r="D487" s="8" t="n"/>
      <c r="E487" s="8" t="n"/>
      <c r="F487" s="8" t="n"/>
    </row>
    <row r="488">
      <c r="A488" s="8" t="n"/>
      <c r="B488" s="8" t="n"/>
      <c r="C488" s="8" t="n"/>
      <c r="D488" s="8" t="n"/>
      <c r="E488" s="8" t="n"/>
      <c r="F488" s="8" t="n"/>
    </row>
    <row r="489">
      <c r="A489" s="8" t="n"/>
      <c r="B489" s="8" t="n"/>
      <c r="C489" s="8" t="n"/>
      <c r="D489" s="8" t="n"/>
      <c r="E489" s="8" t="n"/>
      <c r="F489" s="8" t="n"/>
    </row>
    <row r="490">
      <c r="A490" s="8" t="n"/>
      <c r="B490" s="8" t="n"/>
      <c r="C490" s="8" t="n"/>
      <c r="D490" s="8" t="n"/>
      <c r="E490" s="8" t="n"/>
      <c r="F490" s="8" t="n"/>
    </row>
    <row r="491">
      <c r="A491" s="8" t="n"/>
      <c r="B491" s="8" t="n"/>
      <c r="C491" s="8" t="n"/>
      <c r="D491" s="8" t="n"/>
      <c r="E491" s="8" t="n"/>
      <c r="F491" s="8" t="n"/>
    </row>
    <row r="492">
      <c r="A492" s="8" t="n"/>
      <c r="B492" s="8" t="n"/>
      <c r="C492" s="8" t="n"/>
      <c r="D492" s="8" t="n"/>
      <c r="E492" s="8" t="n"/>
      <c r="F492" s="8" t="n"/>
    </row>
    <row r="493">
      <c r="A493" s="8" t="n"/>
      <c r="B493" s="8" t="n"/>
      <c r="C493" s="8" t="n"/>
      <c r="D493" s="8" t="n"/>
      <c r="E493" s="8" t="n"/>
      <c r="F493" s="8" t="n"/>
    </row>
    <row r="494">
      <c r="A494" s="8" t="n"/>
      <c r="B494" s="8" t="n"/>
      <c r="C494" s="8" t="n"/>
      <c r="D494" s="8" t="n"/>
      <c r="E494" s="8" t="n"/>
      <c r="F494" s="8" t="n"/>
    </row>
    <row r="495">
      <c r="A495" s="8" t="n"/>
      <c r="B495" s="8" t="n"/>
      <c r="C495" s="8" t="n"/>
      <c r="D495" s="8" t="n"/>
      <c r="E495" s="8" t="n"/>
      <c r="F495" s="8" t="n"/>
    </row>
    <row r="496">
      <c r="A496" s="8" t="n"/>
      <c r="B496" s="8" t="n"/>
      <c r="C496" s="8" t="n"/>
      <c r="D496" s="8" t="n"/>
      <c r="E496" s="8" t="n"/>
      <c r="F496" s="8" t="n"/>
    </row>
    <row r="497">
      <c r="A497" s="8" t="n"/>
      <c r="B497" s="8" t="n"/>
      <c r="C497" s="8" t="n"/>
      <c r="D497" s="8" t="n"/>
      <c r="E497" s="8" t="n"/>
      <c r="F497" s="8" t="n"/>
    </row>
    <row r="498">
      <c r="A498" s="8" t="n"/>
      <c r="B498" s="8" t="n"/>
      <c r="C498" s="8" t="n"/>
      <c r="D498" s="8" t="n"/>
      <c r="E498" s="8" t="n"/>
      <c r="F498" s="8" t="n"/>
    </row>
    <row r="499">
      <c r="A499" s="8" t="n"/>
      <c r="B499" s="8" t="n"/>
      <c r="C499" s="8" t="n"/>
      <c r="D499" s="8" t="n"/>
      <c r="E499" s="8" t="n"/>
      <c r="F499" s="8" t="n"/>
    </row>
    <row r="500">
      <c r="A500" s="8" t="n"/>
      <c r="B500" s="8" t="n"/>
      <c r="C500" s="8" t="n"/>
      <c r="D500" s="8" t="n"/>
      <c r="E500" s="8" t="n"/>
      <c r="F500" s="8" t="n"/>
    </row>
    <row r="501">
      <c r="A501" s="8" t="n"/>
      <c r="B501" s="8" t="n"/>
      <c r="C501" s="8" t="n"/>
      <c r="D501" s="8" t="n"/>
      <c r="E501" s="8" t="n"/>
      <c r="F501" s="8" t="n"/>
    </row>
    <row r="502">
      <c r="A502" s="8" t="n"/>
      <c r="B502" s="8" t="n"/>
      <c r="C502" s="8" t="n"/>
      <c r="D502" s="8" t="n"/>
      <c r="E502" s="8" t="n"/>
      <c r="F502" s="8" t="n"/>
    </row>
    <row r="503">
      <c r="A503" s="8" t="n"/>
      <c r="B503" s="8" t="n"/>
      <c r="C503" s="8" t="n"/>
      <c r="D503" s="8" t="n"/>
      <c r="E503" s="8" t="n"/>
      <c r="F503" s="8" t="n"/>
    </row>
    <row r="504">
      <c r="A504" s="8" t="n"/>
      <c r="B504" s="8" t="n"/>
      <c r="C504" s="8" t="n"/>
      <c r="D504" s="8" t="n"/>
      <c r="E504" s="8" t="n"/>
      <c r="F504" s="8" t="n"/>
    </row>
    <row r="505">
      <c r="A505" s="8" t="n"/>
      <c r="B505" s="8" t="n"/>
      <c r="C505" s="8" t="n"/>
      <c r="D505" s="8" t="n"/>
      <c r="E505" s="8" t="n"/>
      <c r="F505" s="8" t="n"/>
    </row>
    <row r="506">
      <c r="A506" s="8" t="n"/>
      <c r="B506" s="8" t="n"/>
      <c r="C506" s="8" t="n"/>
      <c r="D506" s="8" t="n"/>
      <c r="E506" s="8" t="n"/>
      <c r="F506" s="8" t="n"/>
    </row>
    <row r="507">
      <c r="A507" s="8" t="n"/>
      <c r="B507" s="8" t="n"/>
      <c r="C507" s="8" t="n"/>
      <c r="D507" s="8" t="n"/>
      <c r="E507" s="8" t="n"/>
      <c r="F507" s="8" t="n"/>
    </row>
    <row r="508">
      <c r="A508" s="8" t="n"/>
      <c r="B508" s="8" t="n"/>
      <c r="C508" s="8" t="n"/>
      <c r="D508" s="8" t="n"/>
      <c r="E508" s="8" t="n"/>
      <c r="F508" s="8" t="n"/>
    </row>
    <row r="509">
      <c r="A509" s="8" t="n"/>
      <c r="B509" s="8" t="n"/>
      <c r="C509" s="8" t="n"/>
      <c r="D509" s="8" t="n"/>
      <c r="E509" s="8" t="n"/>
      <c r="F509" s="8" t="n"/>
    </row>
    <row r="510">
      <c r="A510" s="8" t="n"/>
      <c r="B510" s="8" t="n"/>
      <c r="C510" s="8" t="n"/>
      <c r="D510" s="8" t="n"/>
      <c r="E510" s="8" t="n"/>
      <c r="F510" s="8" t="n"/>
    </row>
    <row r="511">
      <c r="A511" s="8" t="n"/>
      <c r="B511" s="8" t="n"/>
      <c r="C511" s="8" t="n"/>
      <c r="D511" s="8" t="n"/>
      <c r="E511" s="8" t="n"/>
      <c r="F511" s="8" t="n"/>
    </row>
    <row r="512">
      <c r="A512" s="8" t="n"/>
      <c r="B512" s="8" t="n"/>
      <c r="C512" s="8" t="n"/>
      <c r="D512" s="8" t="n"/>
      <c r="E512" s="8" t="n"/>
      <c r="F512" s="8" t="n"/>
    </row>
    <row r="513">
      <c r="A513" s="8" t="n"/>
      <c r="B513" s="8" t="n"/>
      <c r="C513" s="8" t="n"/>
      <c r="D513" s="8" t="n"/>
      <c r="E513" s="8" t="n"/>
      <c r="F513" s="8" t="n"/>
    </row>
    <row r="514">
      <c r="A514" s="8" t="n"/>
      <c r="B514" s="8" t="n"/>
      <c r="C514" s="8" t="n"/>
      <c r="D514" s="8" t="n"/>
      <c r="E514" s="8" t="n"/>
      <c r="F514" s="8" t="n"/>
    </row>
    <row r="515">
      <c r="A515" s="8" t="n"/>
      <c r="B515" s="8" t="n"/>
      <c r="C515" s="8" t="n"/>
      <c r="D515" s="8" t="n"/>
      <c r="E515" s="8" t="n"/>
      <c r="F515" s="8" t="n"/>
    </row>
    <row r="516">
      <c r="A516" s="8" t="n"/>
      <c r="B516" s="8" t="n"/>
      <c r="C516" s="8" t="n"/>
      <c r="D516" s="8" t="n"/>
      <c r="E516" s="8" t="n"/>
      <c r="F516" s="8" t="n"/>
    </row>
    <row r="517">
      <c r="A517" s="8" t="n"/>
      <c r="B517" s="8" t="n"/>
      <c r="C517" s="8" t="n"/>
      <c r="D517" s="8" t="n"/>
      <c r="E517" s="8" t="n"/>
      <c r="F517" s="8" t="n"/>
    </row>
    <row r="518">
      <c r="A518" s="8" t="n"/>
      <c r="B518" s="8" t="n"/>
      <c r="C518" s="8" t="n"/>
      <c r="D518" s="8" t="n"/>
      <c r="E518" s="8" t="n"/>
      <c r="F518" s="8" t="n"/>
    </row>
    <row r="519">
      <c r="A519" s="8" t="n"/>
      <c r="B519" s="8" t="n"/>
      <c r="C519" s="8" t="n"/>
      <c r="D519" s="8" t="n"/>
      <c r="E519" s="8" t="n"/>
      <c r="F519" s="8" t="n"/>
    </row>
    <row r="520">
      <c r="A520" s="8" t="n"/>
      <c r="B520" s="8" t="n"/>
      <c r="C520" s="8" t="n"/>
      <c r="D520" s="8" t="n"/>
      <c r="E520" s="8" t="n"/>
      <c r="F520" s="8" t="n"/>
    </row>
    <row r="521">
      <c r="A521" s="8" t="n"/>
      <c r="B521" s="8" t="n"/>
      <c r="C521" s="8" t="n"/>
      <c r="D521" s="8" t="n"/>
      <c r="E521" s="8" t="n"/>
      <c r="F521" s="8" t="n"/>
    </row>
    <row r="522">
      <c r="A522" s="8" t="n"/>
      <c r="B522" s="8" t="n"/>
      <c r="C522" s="8" t="n"/>
      <c r="D522" s="8" t="n"/>
      <c r="E522" s="8" t="n"/>
      <c r="F522" s="8" t="n"/>
    </row>
    <row r="523">
      <c r="A523" s="8" t="n"/>
      <c r="B523" s="8" t="n"/>
      <c r="C523" s="8" t="n"/>
      <c r="D523" s="8" t="n"/>
      <c r="E523" s="8" t="n"/>
      <c r="F523" s="8" t="n"/>
    </row>
    <row r="524">
      <c r="A524" s="8" t="n"/>
      <c r="B524" s="8" t="n"/>
      <c r="C524" s="8" t="n"/>
      <c r="D524" s="8" t="n"/>
      <c r="E524" s="8" t="n"/>
      <c r="F524" s="8" t="n"/>
    </row>
    <row r="525">
      <c r="A525" s="8" t="n"/>
      <c r="B525" s="8" t="n"/>
      <c r="C525" s="8" t="n"/>
      <c r="D525" s="8" t="n"/>
      <c r="E525" s="8" t="n"/>
      <c r="F525" s="8" t="n"/>
    </row>
    <row r="526">
      <c r="A526" s="8" t="n"/>
      <c r="B526" s="8" t="n"/>
      <c r="C526" s="8" t="n"/>
      <c r="D526" s="8" t="n"/>
      <c r="E526" s="8" t="n"/>
      <c r="F526" s="8" t="n"/>
    </row>
    <row r="527">
      <c r="A527" s="8" t="n"/>
      <c r="B527" s="8" t="n"/>
      <c r="C527" s="8" t="n"/>
      <c r="D527" s="8" t="n"/>
      <c r="E527" s="8" t="n"/>
      <c r="F527" s="8" t="n"/>
    </row>
    <row r="528">
      <c r="A528" s="8" t="n"/>
      <c r="B528" s="8" t="n"/>
      <c r="C528" s="8" t="n"/>
      <c r="D528" s="8" t="n"/>
      <c r="E528" s="8" t="n"/>
      <c r="F528" s="8" t="n"/>
    </row>
    <row r="529">
      <c r="A529" s="8" t="n"/>
      <c r="B529" s="8" t="n"/>
      <c r="C529" s="8" t="n"/>
      <c r="D529" s="8" t="n"/>
      <c r="E529" s="8" t="n"/>
      <c r="F529" s="8" t="n"/>
    </row>
    <row r="530">
      <c r="A530" s="8" t="n"/>
      <c r="B530" s="8" t="n"/>
      <c r="C530" s="8" t="n"/>
      <c r="D530" s="8" t="n"/>
      <c r="E530" s="8" t="n"/>
      <c r="F530" s="8" t="n"/>
    </row>
    <row r="531">
      <c r="A531" s="8" t="n"/>
      <c r="B531" s="8" t="n"/>
      <c r="C531" s="8" t="n"/>
      <c r="D531" s="8" t="n"/>
      <c r="E531" s="8" t="n"/>
      <c r="F531" s="8" t="n"/>
    </row>
    <row r="532">
      <c r="A532" s="8" t="n"/>
      <c r="B532" s="8" t="n"/>
      <c r="C532" s="8" t="n"/>
      <c r="D532" s="8" t="n"/>
      <c r="E532" s="8" t="n"/>
      <c r="F532" s="8" t="n"/>
    </row>
    <row r="533">
      <c r="A533" s="8" t="n"/>
      <c r="B533" s="8" t="n"/>
      <c r="C533" s="8" t="n"/>
      <c r="D533" s="8" t="n"/>
      <c r="E533" s="8" t="n"/>
      <c r="F533" s="8" t="n"/>
    </row>
    <row r="534">
      <c r="A534" s="8" t="n"/>
      <c r="B534" s="8" t="n"/>
      <c r="C534" s="8" t="n"/>
      <c r="D534" s="8" t="n"/>
      <c r="E534" s="8" t="n"/>
      <c r="F534" s="8" t="n"/>
    </row>
    <row r="535">
      <c r="A535" s="8" t="n"/>
      <c r="B535" s="8" t="n"/>
      <c r="C535" s="8" t="n"/>
      <c r="D535" s="8" t="n"/>
      <c r="E535" s="8" t="n"/>
      <c r="F535" s="8" t="n"/>
    </row>
    <row r="536">
      <c r="A536" s="8" t="n"/>
      <c r="B536" s="8" t="n"/>
      <c r="C536" s="8" t="n"/>
      <c r="D536" s="8" t="n"/>
      <c r="E536" s="8" t="n"/>
      <c r="F536" s="8" t="n"/>
    </row>
    <row r="537">
      <c r="A537" s="8" t="n"/>
      <c r="B537" s="8" t="n"/>
      <c r="C537" s="8" t="n"/>
      <c r="D537" s="8" t="n"/>
      <c r="E537" s="8" t="n"/>
      <c r="F537" s="8" t="n"/>
    </row>
    <row r="538">
      <c r="A538" s="8" t="n"/>
      <c r="B538" s="8" t="n"/>
      <c r="C538" s="8" t="n"/>
      <c r="D538" s="8" t="n"/>
      <c r="E538" s="8" t="n"/>
      <c r="F538" s="8" t="n"/>
    </row>
    <row r="539">
      <c r="A539" s="8" t="n"/>
      <c r="B539" s="8" t="n"/>
      <c r="C539" s="8" t="n"/>
      <c r="D539" s="8" t="n"/>
      <c r="E539" s="8" t="n"/>
      <c r="F539" s="8" t="n"/>
    </row>
    <row r="540">
      <c r="A540" s="8" t="n"/>
      <c r="B540" s="8" t="n"/>
      <c r="C540" s="8" t="n"/>
      <c r="D540" s="8" t="n"/>
      <c r="E540" s="8" t="n"/>
      <c r="F540" s="8" t="n"/>
    </row>
    <row r="541">
      <c r="A541" s="8" t="n"/>
      <c r="B541" s="8" t="n"/>
      <c r="C541" s="8" t="n"/>
      <c r="D541" s="8" t="n"/>
      <c r="E541" s="8" t="n"/>
      <c r="F541" s="8" t="n"/>
    </row>
    <row r="542">
      <c r="A542" s="8" t="n"/>
      <c r="B542" s="8" t="n"/>
      <c r="C542" s="8" t="n"/>
      <c r="D542" s="8" t="n"/>
      <c r="E542" s="8" t="n"/>
      <c r="F542" s="8" t="n"/>
    </row>
    <row r="543">
      <c r="A543" s="8" t="n"/>
      <c r="B543" s="8" t="n"/>
      <c r="C543" s="8" t="n"/>
      <c r="D543" s="8" t="n"/>
      <c r="E543" s="8" t="n"/>
      <c r="F543" s="8" t="n"/>
    </row>
    <row r="544">
      <c r="A544" s="8" t="n"/>
      <c r="B544" s="8" t="n"/>
      <c r="C544" s="8" t="n"/>
      <c r="D544" s="8" t="n"/>
      <c r="E544" s="8" t="n"/>
      <c r="F544" s="8" t="n"/>
    </row>
    <row r="545">
      <c r="A545" s="8" t="n"/>
      <c r="B545" s="8" t="n"/>
      <c r="C545" s="8" t="n"/>
      <c r="D545" s="8" t="n"/>
      <c r="E545" s="8" t="n"/>
      <c r="F545" s="8" t="n"/>
    </row>
    <row r="546">
      <c r="A546" s="8" t="n"/>
      <c r="B546" s="8" t="n"/>
      <c r="C546" s="8" t="n"/>
      <c r="D546" s="8" t="n"/>
      <c r="E546" s="8" t="n"/>
      <c r="F546" s="8" t="n"/>
    </row>
    <row r="547">
      <c r="A547" s="8" t="n"/>
      <c r="B547" s="8" t="n"/>
      <c r="C547" s="8" t="n"/>
      <c r="D547" s="8" t="n"/>
      <c r="E547" s="8" t="n"/>
      <c r="F547" s="8" t="n"/>
    </row>
    <row r="548">
      <c r="A548" s="8" t="n"/>
      <c r="B548" s="8" t="n"/>
      <c r="C548" s="8" t="n"/>
      <c r="D548" s="8" t="n"/>
      <c r="E548" s="8" t="n"/>
      <c r="F548" s="8" t="n"/>
    </row>
    <row r="549">
      <c r="A549" s="8" t="n"/>
      <c r="B549" s="8" t="n"/>
      <c r="C549" s="8" t="n"/>
      <c r="D549" s="8" t="n"/>
      <c r="E549" s="8" t="n"/>
      <c r="F549" s="8" t="n"/>
    </row>
    <row r="550">
      <c r="A550" s="8" t="n"/>
      <c r="B550" s="8" t="n"/>
      <c r="C550" s="8" t="n"/>
      <c r="D550" s="8" t="n"/>
      <c r="E550" s="8" t="n"/>
      <c r="F550" s="8" t="n"/>
    </row>
    <row r="551">
      <c r="A551" s="8" t="n"/>
      <c r="B551" s="8" t="n"/>
      <c r="C551" s="8" t="n"/>
      <c r="D551" s="8" t="n"/>
      <c r="E551" s="8" t="n"/>
      <c r="F551" s="8" t="n"/>
    </row>
    <row r="552">
      <c r="A552" s="8" t="n"/>
      <c r="B552" s="8" t="n"/>
      <c r="C552" s="8" t="n"/>
      <c r="D552" s="8" t="n"/>
      <c r="E552" s="8" t="n"/>
      <c r="F552" s="8" t="n"/>
    </row>
    <row r="553">
      <c r="A553" s="8" t="n"/>
      <c r="B553" s="8" t="n"/>
      <c r="C553" s="8" t="n"/>
      <c r="D553" s="8" t="n"/>
      <c r="E553" s="8" t="n"/>
      <c r="F553" s="8" t="n"/>
    </row>
    <row r="554">
      <c r="A554" s="8" t="n"/>
      <c r="B554" s="8" t="n"/>
      <c r="C554" s="8" t="n"/>
      <c r="D554" s="8" t="n"/>
      <c r="E554" s="8" t="n"/>
      <c r="F554" s="8" t="n"/>
    </row>
    <row r="555">
      <c r="A555" s="8" t="n"/>
      <c r="B555" s="8" t="n"/>
      <c r="C555" s="8" t="n"/>
      <c r="D555" s="8" t="n"/>
      <c r="E555" s="8" t="n"/>
      <c r="F555" s="8" t="n"/>
    </row>
    <row r="556">
      <c r="A556" s="8" t="n"/>
      <c r="B556" s="8" t="n"/>
      <c r="C556" s="8" t="n"/>
      <c r="D556" s="8" t="n"/>
      <c r="E556" s="8" t="n"/>
      <c r="F556" s="8" t="n"/>
    </row>
    <row r="557">
      <c r="A557" s="8" t="n"/>
      <c r="B557" s="8" t="n"/>
      <c r="C557" s="8" t="n"/>
      <c r="D557" s="8" t="n"/>
      <c r="E557" s="8" t="n"/>
      <c r="F557" s="8" t="n"/>
    </row>
    <row r="558">
      <c r="A558" s="8" t="n"/>
      <c r="B558" s="8" t="n"/>
      <c r="C558" s="8" t="n"/>
      <c r="D558" s="8" t="n"/>
      <c r="E558" s="8" t="n"/>
      <c r="F558" s="8" t="n"/>
    </row>
    <row r="559">
      <c r="A559" s="8" t="n"/>
      <c r="B559" s="8" t="n"/>
      <c r="C559" s="8" t="n"/>
      <c r="D559" s="8" t="n"/>
      <c r="E559" s="8" t="n"/>
      <c r="F559" s="8" t="n"/>
    </row>
    <row r="560">
      <c r="A560" s="8" t="n"/>
      <c r="B560" s="8" t="n"/>
      <c r="C560" s="8" t="n"/>
      <c r="D560" s="8" t="n"/>
      <c r="E560" s="8" t="n"/>
      <c r="F560" s="8" t="n"/>
    </row>
    <row r="561">
      <c r="A561" s="8" t="n"/>
      <c r="B561" s="8" t="n"/>
      <c r="C561" s="8" t="n"/>
      <c r="D561" s="8" t="n"/>
      <c r="E561" s="8" t="n"/>
      <c r="F561" s="8" t="n"/>
    </row>
    <row r="562">
      <c r="A562" s="8" t="n"/>
      <c r="B562" s="8" t="n"/>
      <c r="C562" s="8" t="n"/>
      <c r="D562" s="8" t="n"/>
      <c r="E562" s="8" t="n"/>
      <c r="F562" s="8" t="n"/>
    </row>
    <row r="563">
      <c r="A563" s="8" t="n"/>
      <c r="B563" s="8" t="n"/>
      <c r="C563" s="8" t="n"/>
      <c r="D563" s="8" t="n"/>
      <c r="E563" s="8" t="n"/>
      <c r="F563" s="8" t="n"/>
    </row>
    <row r="564">
      <c r="A564" s="8" t="n"/>
      <c r="B564" s="8" t="n"/>
      <c r="C564" s="8" t="n"/>
      <c r="D564" s="8" t="n"/>
      <c r="E564" s="8" t="n"/>
      <c r="F564" s="8" t="n"/>
    </row>
    <row r="565">
      <c r="A565" s="8" t="n"/>
      <c r="B565" s="8" t="n"/>
      <c r="C565" s="8" t="n"/>
      <c r="D565" s="8" t="n"/>
      <c r="E565" s="8" t="n"/>
      <c r="F565" s="8" t="n"/>
    </row>
    <row r="566">
      <c r="A566" s="8" t="n"/>
      <c r="B566" s="8" t="n"/>
      <c r="C566" s="8" t="n"/>
      <c r="D566" s="8" t="n"/>
      <c r="E566" s="8" t="n"/>
      <c r="F566" s="8" t="n"/>
    </row>
    <row r="567">
      <c r="A567" s="8" t="n"/>
      <c r="B567" s="8" t="n"/>
      <c r="C567" s="8" t="n"/>
      <c r="D567" s="8" t="n"/>
      <c r="E567" s="8" t="n"/>
      <c r="F567" s="8" t="n"/>
    </row>
    <row r="568">
      <c r="A568" s="8" t="n"/>
      <c r="B568" s="8" t="n"/>
      <c r="C568" s="8" t="n"/>
      <c r="D568" s="8" t="n"/>
      <c r="E568" s="8" t="n"/>
      <c r="F568" s="8" t="n"/>
    </row>
    <row r="569">
      <c r="A569" s="8" t="n"/>
      <c r="B569" s="8" t="n"/>
      <c r="C569" s="8" t="n"/>
      <c r="D569" s="8" t="n"/>
      <c r="E569" s="8" t="n"/>
      <c r="F569" s="8" t="n"/>
    </row>
    <row r="570">
      <c r="A570" s="8" t="n"/>
      <c r="B570" s="8" t="n"/>
      <c r="C570" s="8" t="n"/>
      <c r="D570" s="8" t="n"/>
      <c r="E570" s="8" t="n"/>
      <c r="F570" s="8" t="n"/>
    </row>
    <row r="571">
      <c r="A571" s="8" t="n"/>
      <c r="B571" s="8" t="n"/>
      <c r="C571" s="8" t="n"/>
      <c r="D571" s="8" t="n"/>
      <c r="E571" s="8" t="n"/>
      <c r="F571" s="8" t="n"/>
    </row>
    <row r="572">
      <c r="A572" s="8" t="n"/>
      <c r="B572" s="8" t="n"/>
      <c r="C572" s="8" t="n"/>
      <c r="D572" s="8" t="n"/>
      <c r="E572" s="8" t="n"/>
      <c r="F572" s="8" t="n"/>
    </row>
    <row r="573">
      <c r="A573" s="8" t="n"/>
      <c r="B573" s="8" t="n"/>
      <c r="C573" s="8" t="n"/>
      <c r="D573" s="8" t="n"/>
      <c r="E573" s="8" t="n"/>
      <c r="F573" s="8" t="n"/>
    </row>
    <row r="574">
      <c r="A574" s="8" t="n"/>
      <c r="B574" s="8" t="n"/>
      <c r="C574" s="8" t="n"/>
      <c r="D574" s="8" t="n"/>
      <c r="E574" s="8" t="n"/>
      <c r="F574" s="8" t="n"/>
    </row>
    <row r="575">
      <c r="A575" s="8" t="n"/>
      <c r="B575" s="8" t="n"/>
      <c r="C575" s="8" t="n"/>
      <c r="D575" s="8" t="n"/>
      <c r="E575" s="8" t="n"/>
      <c r="F575" s="8" t="n"/>
    </row>
    <row r="576">
      <c r="A576" s="8" t="n"/>
      <c r="B576" s="8" t="n"/>
      <c r="C576" s="8" t="n"/>
      <c r="D576" s="8" t="n"/>
      <c r="E576" s="8" t="n"/>
      <c r="F576" s="8" t="n"/>
    </row>
    <row r="577">
      <c r="A577" s="8" t="n"/>
      <c r="B577" s="8" t="n"/>
      <c r="C577" s="8" t="n"/>
      <c r="D577" s="8" t="n"/>
      <c r="E577" s="8" t="n"/>
      <c r="F577" s="8" t="n"/>
    </row>
    <row r="578">
      <c r="A578" s="8" t="n"/>
      <c r="B578" s="8" t="n"/>
      <c r="C578" s="8" t="n"/>
      <c r="D578" s="8" t="n"/>
      <c r="E578" s="8" t="n"/>
      <c r="F578" s="8" t="n"/>
    </row>
    <row r="579">
      <c r="A579" s="8" t="n"/>
      <c r="B579" s="8" t="n"/>
      <c r="C579" s="8" t="n"/>
      <c r="D579" s="8" t="n"/>
      <c r="E579" s="8" t="n"/>
      <c r="F579" s="8" t="n"/>
    </row>
    <row r="580">
      <c r="A580" s="8" t="n"/>
      <c r="B580" s="8" t="n"/>
      <c r="C580" s="8" t="n"/>
      <c r="D580" s="8" t="n"/>
      <c r="E580" s="8" t="n"/>
      <c r="F580" s="8" t="n"/>
    </row>
    <row r="581">
      <c r="A581" s="8" t="n"/>
      <c r="B581" s="8" t="n"/>
      <c r="C581" s="8" t="n"/>
      <c r="D581" s="8" t="n"/>
      <c r="E581" s="8" t="n"/>
      <c r="F581" s="8" t="n"/>
    </row>
    <row r="582">
      <c r="A582" s="8" t="n"/>
      <c r="B582" s="8" t="n"/>
      <c r="C582" s="8" t="n"/>
      <c r="D582" s="8" t="n"/>
      <c r="E582" s="8" t="n"/>
      <c r="F582" s="8" t="n"/>
    </row>
    <row r="583">
      <c r="A583" s="8" t="n"/>
      <c r="B583" s="8" t="n"/>
      <c r="C583" s="8" t="n"/>
      <c r="D583" s="8" t="n"/>
      <c r="E583" s="8" t="n"/>
      <c r="F583" s="8" t="n"/>
    </row>
    <row r="584">
      <c r="A584" s="8" t="n"/>
      <c r="B584" s="8" t="n"/>
      <c r="C584" s="8" t="n"/>
      <c r="D584" s="8" t="n"/>
      <c r="E584" s="8" t="n"/>
      <c r="F584" s="8" t="n"/>
    </row>
    <row r="585">
      <c r="A585" s="8" t="n"/>
      <c r="B585" s="8" t="n"/>
      <c r="C585" s="8" t="n"/>
      <c r="D585" s="8" t="n"/>
      <c r="E585" s="8" t="n"/>
      <c r="F585" s="8" t="n"/>
    </row>
    <row r="586">
      <c r="A586" s="8" t="n"/>
      <c r="B586" s="8" t="n"/>
      <c r="C586" s="8" t="n"/>
      <c r="D586" s="8" t="n"/>
      <c r="E586" s="8" t="n"/>
      <c r="F586" s="8" t="n"/>
    </row>
    <row r="587">
      <c r="A587" s="8" t="n"/>
      <c r="B587" s="8" t="n"/>
      <c r="C587" s="8" t="n"/>
      <c r="D587" s="8" t="n"/>
      <c r="E587" s="8" t="n"/>
      <c r="F587" s="8" t="n"/>
    </row>
    <row r="588">
      <c r="A588" s="8" t="n"/>
      <c r="B588" s="8" t="n"/>
      <c r="C588" s="8" t="n"/>
      <c r="D588" s="8" t="n"/>
      <c r="E588" s="8" t="n"/>
      <c r="F588" s="8" t="n"/>
    </row>
    <row r="589">
      <c r="A589" s="8" t="n"/>
      <c r="B589" s="8" t="n"/>
      <c r="C589" s="8" t="n"/>
      <c r="D589" s="8" t="n"/>
      <c r="E589" s="8" t="n"/>
      <c r="F589" s="8" t="n"/>
    </row>
    <row r="590">
      <c r="A590" s="8" t="n"/>
      <c r="B590" s="8" t="n"/>
      <c r="C590" s="8" t="n"/>
      <c r="D590" s="8" t="n"/>
      <c r="E590" s="8" t="n"/>
      <c r="F590" s="8" t="n"/>
    </row>
    <row r="591">
      <c r="A591" s="8" t="n"/>
      <c r="B591" s="8" t="n"/>
      <c r="C591" s="8" t="n"/>
      <c r="D591" s="8" t="n"/>
      <c r="E591" s="8" t="n"/>
      <c r="F591" s="8" t="n"/>
    </row>
    <row r="592">
      <c r="A592" s="8" t="n"/>
      <c r="B592" s="8" t="n"/>
      <c r="C592" s="8" t="n"/>
      <c r="D592" s="8" t="n"/>
      <c r="E592" s="8" t="n"/>
      <c r="F592" s="8" t="n"/>
    </row>
    <row r="593">
      <c r="A593" s="8" t="n"/>
      <c r="B593" s="8" t="n"/>
      <c r="C593" s="8" t="n"/>
      <c r="D593" s="8" t="n"/>
      <c r="E593" s="8" t="n"/>
      <c r="F593" s="8" t="n"/>
    </row>
    <row r="594">
      <c r="A594" s="8" t="n"/>
      <c r="B594" s="8" t="n"/>
      <c r="C594" s="8" t="n"/>
      <c r="D594" s="8" t="n"/>
      <c r="E594" s="8" t="n"/>
      <c r="F594" s="8" t="n"/>
    </row>
    <row r="595">
      <c r="A595" s="8" t="n"/>
      <c r="B595" s="8" t="n"/>
      <c r="C595" s="8" t="n"/>
      <c r="D595" s="8" t="n"/>
      <c r="E595" s="8" t="n"/>
      <c r="F595" s="8" t="n"/>
    </row>
    <row r="596">
      <c r="A596" s="8" t="n"/>
      <c r="B596" s="8" t="n"/>
      <c r="C596" s="8" t="n"/>
      <c r="D596" s="8" t="n"/>
      <c r="E596" s="8" t="n"/>
      <c r="F596" s="8" t="n"/>
    </row>
    <row r="597">
      <c r="A597" s="8" t="n"/>
      <c r="B597" s="8" t="n"/>
      <c r="C597" s="8" t="n"/>
      <c r="D597" s="8" t="n"/>
      <c r="E597" s="8" t="n"/>
      <c r="F597" s="8" t="n"/>
    </row>
    <row r="598">
      <c r="A598" s="8" t="n"/>
      <c r="B598" s="8" t="n"/>
      <c r="C598" s="8" t="n"/>
      <c r="D598" s="8" t="n"/>
      <c r="E598" s="8" t="n"/>
      <c r="F598" s="8" t="n"/>
    </row>
    <row r="599">
      <c r="A599" s="8" t="n"/>
      <c r="B599" s="8" t="n"/>
      <c r="C599" s="8" t="n"/>
      <c r="D599" s="8" t="n"/>
      <c r="E599" s="8" t="n"/>
      <c r="F599" s="8" t="n"/>
    </row>
    <row r="600">
      <c r="A600" s="8" t="n"/>
      <c r="B600" s="8" t="n"/>
      <c r="C600" s="8" t="n"/>
      <c r="D600" s="8" t="n"/>
      <c r="E600" s="8" t="n"/>
      <c r="F600" s="8" t="n"/>
    </row>
    <row r="601">
      <c r="A601" s="8" t="n"/>
      <c r="B601" s="8" t="n"/>
      <c r="C601" s="8" t="n"/>
      <c r="D601" s="8" t="n"/>
      <c r="E601" s="8" t="n"/>
      <c r="F601" s="8" t="n"/>
    </row>
    <row r="602">
      <c r="A602" s="8" t="n"/>
      <c r="B602" s="8" t="n"/>
      <c r="C602" s="8" t="n"/>
      <c r="D602" s="8" t="n"/>
      <c r="E602" s="8" t="n"/>
      <c r="F602" s="8" t="n"/>
    </row>
    <row r="603">
      <c r="A603" s="8" t="n"/>
      <c r="B603" s="8" t="n"/>
      <c r="C603" s="8" t="n"/>
      <c r="D603" s="8" t="n"/>
      <c r="E603" s="8" t="n"/>
      <c r="F603" s="8" t="n"/>
    </row>
    <row r="604">
      <c r="A604" s="8" t="n"/>
      <c r="B604" s="8" t="n"/>
      <c r="C604" s="8" t="n"/>
      <c r="D604" s="8" t="n"/>
      <c r="E604" s="8" t="n"/>
      <c r="F604" s="8" t="n"/>
    </row>
    <row r="605">
      <c r="A605" s="8" t="n"/>
      <c r="B605" s="8" t="n"/>
      <c r="C605" s="8" t="n"/>
      <c r="D605" s="8" t="n"/>
      <c r="E605" s="8" t="n"/>
      <c r="F605" s="8" t="n"/>
    </row>
    <row r="606">
      <c r="A606" s="8" t="n"/>
      <c r="B606" s="8" t="n"/>
      <c r="C606" s="8" t="n"/>
      <c r="D606" s="8" t="n"/>
      <c r="E606" s="8" t="n"/>
      <c r="F606" s="8" t="n"/>
    </row>
    <row r="607">
      <c r="A607" s="8" t="n"/>
      <c r="B607" s="8" t="n"/>
      <c r="C607" s="8" t="n"/>
      <c r="D607" s="8" t="n"/>
      <c r="E607" s="8" t="n"/>
      <c r="F607" s="8" t="n"/>
    </row>
    <row r="608">
      <c r="A608" s="8" t="n"/>
      <c r="B608" s="8" t="n"/>
      <c r="C608" s="8" t="n"/>
      <c r="D608" s="8" t="n"/>
      <c r="E608" s="8" t="n"/>
      <c r="F608" s="8" t="n"/>
    </row>
    <row r="609">
      <c r="A609" s="8" t="n"/>
      <c r="B609" s="8" t="n"/>
      <c r="C609" s="8" t="n"/>
      <c r="D609" s="8" t="n"/>
      <c r="E609" s="8" t="n"/>
      <c r="F609" s="8" t="n"/>
    </row>
    <row r="610">
      <c r="A610" s="8" t="n"/>
      <c r="B610" s="8" t="n"/>
      <c r="C610" s="8" t="n"/>
      <c r="D610" s="8" t="n"/>
      <c r="E610" s="8" t="n"/>
      <c r="F610" s="8" t="n"/>
    </row>
    <row r="611">
      <c r="A611" s="8" t="n"/>
      <c r="B611" s="8" t="n"/>
      <c r="C611" s="8" t="n"/>
      <c r="D611" s="8" t="n"/>
      <c r="E611" s="8" t="n"/>
      <c r="F611" s="8" t="n"/>
    </row>
    <row r="612">
      <c r="A612" s="8" t="n"/>
      <c r="B612" s="8" t="n"/>
      <c r="C612" s="8" t="n"/>
      <c r="D612" s="8" t="n"/>
      <c r="E612" s="8" t="n"/>
      <c r="F612" s="8" t="n"/>
    </row>
    <row r="613">
      <c r="A613" s="8" t="n"/>
      <c r="B613" s="8" t="n"/>
      <c r="C613" s="8" t="n"/>
      <c r="D613" s="8" t="n"/>
      <c r="E613" s="8" t="n"/>
      <c r="F613" s="8" t="n"/>
    </row>
    <row r="614">
      <c r="A614" s="8" t="n"/>
      <c r="B614" s="8" t="n"/>
      <c r="C614" s="8" t="n"/>
      <c r="D614" s="8" t="n"/>
      <c r="E614" s="8" t="n"/>
      <c r="F614" s="8" t="n"/>
    </row>
    <row r="615">
      <c r="A615" s="8" t="n"/>
      <c r="B615" s="8" t="n"/>
      <c r="C615" s="8" t="n"/>
      <c r="D615" s="8" t="n"/>
      <c r="E615" s="8" t="n"/>
      <c r="F615" s="8" t="n"/>
    </row>
    <row r="616">
      <c r="A616" s="8" t="n"/>
      <c r="B616" s="8" t="n"/>
      <c r="C616" s="8" t="n"/>
      <c r="D616" s="8" t="n"/>
      <c r="E616" s="8" t="n"/>
      <c r="F616" s="8" t="n"/>
    </row>
    <row r="617">
      <c r="A617" s="8" t="n"/>
      <c r="B617" s="8" t="n"/>
      <c r="C617" s="8" t="n"/>
      <c r="D617" s="8" t="n"/>
      <c r="E617" s="8" t="n"/>
      <c r="F617" s="8" t="n"/>
    </row>
    <row r="618">
      <c r="A618" s="8" t="n"/>
      <c r="B618" s="8" t="n"/>
      <c r="C618" s="8" t="n"/>
      <c r="D618" s="8" t="n"/>
      <c r="E618" s="8" t="n"/>
      <c r="F618" s="8" t="n"/>
    </row>
    <row r="619">
      <c r="A619" s="8" t="n"/>
      <c r="B619" s="8" t="n"/>
      <c r="C619" s="8" t="n"/>
      <c r="D619" s="8" t="n"/>
      <c r="E619" s="8" t="n"/>
      <c r="F619" s="8" t="n"/>
    </row>
    <row r="620">
      <c r="A620" s="8" t="n"/>
      <c r="B620" s="8" t="n"/>
      <c r="C620" s="8" t="n"/>
      <c r="D620" s="8" t="n"/>
      <c r="E620" s="8" t="n"/>
      <c r="F620" s="8" t="n"/>
    </row>
    <row r="621">
      <c r="A621" s="8" t="n"/>
      <c r="B621" s="8" t="n"/>
      <c r="C621" s="8" t="n"/>
      <c r="D621" s="8" t="n"/>
      <c r="E621" s="8" t="n"/>
      <c r="F621" s="8" t="n"/>
    </row>
    <row r="622">
      <c r="A622" s="8" t="n"/>
      <c r="B622" s="8" t="n"/>
      <c r="C622" s="8" t="n"/>
      <c r="D622" s="8" t="n"/>
      <c r="E622" s="8" t="n"/>
      <c r="F622" s="8" t="n"/>
    </row>
    <row r="623">
      <c r="A623" s="8" t="n"/>
      <c r="B623" s="8" t="n"/>
      <c r="C623" s="8" t="n"/>
      <c r="D623" s="8" t="n"/>
      <c r="E623" s="8" t="n"/>
      <c r="F623" s="8" t="n"/>
    </row>
    <row r="624">
      <c r="A624" s="8" t="n"/>
      <c r="B624" s="8" t="n"/>
      <c r="C624" s="8" t="n"/>
      <c r="D624" s="8" t="n"/>
      <c r="E624" s="8" t="n"/>
      <c r="F624" s="8" t="n"/>
    </row>
    <row r="625">
      <c r="A625" s="8" t="n"/>
      <c r="B625" s="8" t="n"/>
      <c r="C625" s="8" t="n"/>
      <c r="D625" s="8" t="n"/>
      <c r="E625" s="8" t="n"/>
      <c r="F625" s="8" t="n"/>
    </row>
    <row r="626">
      <c r="A626" s="8" t="n"/>
      <c r="B626" s="8" t="n"/>
      <c r="C626" s="8" t="n"/>
      <c r="D626" s="8" t="n"/>
      <c r="E626" s="8" t="n"/>
      <c r="F626" s="8" t="n"/>
    </row>
    <row r="627">
      <c r="A627" s="8" t="n"/>
      <c r="B627" s="8" t="n"/>
      <c r="C627" s="8" t="n"/>
      <c r="D627" s="8" t="n"/>
      <c r="E627" s="8" t="n"/>
      <c r="F627" s="8" t="n"/>
    </row>
    <row r="628">
      <c r="A628" s="8" t="n"/>
      <c r="B628" s="8" t="n"/>
      <c r="C628" s="8" t="n"/>
      <c r="D628" s="8" t="n"/>
      <c r="E628" s="8" t="n"/>
      <c r="F628" s="8" t="n"/>
    </row>
    <row r="629">
      <c r="A629" s="8" t="n"/>
      <c r="B629" s="8" t="n"/>
      <c r="C629" s="8" t="n"/>
      <c r="D629" s="8" t="n"/>
      <c r="E629" s="8" t="n"/>
      <c r="F629" s="8" t="n"/>
    </row>
    <row r="630">
      <c r="A630" s="8" t="n"/>
      <c r="B630" s="8" t="n"/>
      <c r="C630" s="8" t="n"/>
      <c r="D630" s="8" t="n"/>
      <c r="E630" s="8" t="n"/>
      <c r="F630" s="8" t="n"/>
    </row>
    <row r="631">
      <c r="A631" s="8" t="n"/>
      <c r="B631" s="8" t="n"/>
      <c r="C631" s="8" t="n"/>
      <c r="D631" s="8" t="n"/>
      <c r="E631" s="8" t="n"/>
      <c r="F631" s="8" t="n"/>
    </row>
    <row r="632">
      <c r="A632" s="8" t="n"/>
      <c r="B632" s="8" t="n"/>
      <c r="C632" s="8" t="n"/>
      <c r="D632" s="8" t="n"/>
      <c r="E632" s="8" t="n"/>
      <c r="F632" s="8" t="n"/>
    </row>
    <row r="633">
      <c r="A633" s="8" t="n"/>
      <c r="B633" s="8" t="n"/>
      <c r="C633" s="8" t="n"/>
      <c r="D633" s="8" t="n"/>
      <c r="E633" s="8" t="n"/>
      <c r="F633" s="8" t="n"/>
    </row>
    <row r="634">
      <c r="A634" s="8" t="n"/>
      <c r="B634" s="8" t="n"/>
      <c r="C634" s="8" t="n"/>
      <c r="D634" s="8" t="n"/>
      <c r="E634" s="8" t="n"/>
      <c r="F634" s="8" t="n"/>
    </row>
    <row r="635">
      <c r="A635" s="8" t="n"/>
      <c r="B635" s="8" t="n"/>
      <c r="C635" s="8" t="n"/>
      <c r="D635" s="8" t="n"/>
      <c r="E635" s="8" t="n"/>
      <c r="F635" s="8" t="n"/>
    </row>
    <row r="636">
      <c r="A636" s="8" t="n"/>
      <c r="B636" s="8" t="n"/>
      <c r="C636" s="8" t="n"/>
      <c r="D636" s="8" t="n"/>
      <c r="E636" s="8" t="n"/>
      <c r="F636" s="8" t="n"/>
    </row>
    <row r="637">
      <c r="A637" s="8" t="n"/>
      <c r="B637" s="8" t="n"/>
      <c r="C637" s="8" t="n"/>
      <c r="D637" s="8" t="n"/>
      <c r="E637" s="8" t="n"/>
      <c r="F637" s="8" t="n"/>
    </row>
    <row r="638">
      <c r="A638" s="8" t="n"/>
      <c r="B638" s="8" t="n"/>
      <c r="C638" s="8" t="n"/>
      <c r="D638" s="8" t="n"/>
      <c r="E638" s="8" t="n"/>
      <c r="F638" s="8" t="n"/>
    </row>
    <row r="639">
      <c r="A639" s="8" t="n"/>
      <c r="B639" s="8" t="n"/>
      <c r="C639" s="8" t="n"/>
      <c r="D639" s="8" t="n"/>
      <c r="E639" s="8" t="n"/>
      <c r="F639" s="8" t="n"/>
    </row>
    <row r="640">
      <c r="A640" s="8" t="n"/>
      <c r="B640" s="8" t="n"/>
      <c r="C640" s="8" t="n"/>
      <c r="D640" s="8" t="n"/>
      <c r="E640" s="8" t="n"/>
      <c r="F640" s="8" t="n"/>
    </row>
    <row r="641">
      <c r="A641" s="8" t="n"/>
      <c r="B641" s="8" t="n"/>
      <c r="C641" s="8" t="n"/>
      <c r="D641" s="8" t="n"/>
      <c r="E641" s="8" t="n"/>
      <c r="F641" s="8" t="n"/>
    </row>
    <row r="642">
      <c r="A642" s="8" t="n"/>
      <c r="B642" s="8" t="n"/>
      <c r="C642" s="8" t="n"/>
      <c r="D642" s="8" t="n"/>
      <c r="E642" s="8" t="n"/>
      <c r="F642" s="8" t="n"/>
    </row>
    <row r="643">
      <c r="A643" s="8" t="n"/>
      <c r="B643" s="8" t="n"/>
      <c r="C643" s="8" t="n"/>
      <c r="D643" s="8" t="n"/>
      <c r="E643" s="8" t="n"/>
      <c r="F643" s="8" t="n"/>
    </row>
    <row r="644">
      <c r="A644" s="8" t="n"/>
      <c r="B644" s="8" t="n"/>
      <c r="C644" s="8" t="n"/>
      <c r="D644" s="8" t="n"/>
      <c r="E644" s="8" t="n"/>
      <c r="F644" s="8" t="n"/>
    </row>
    <row r="645">
      <c r="A645" s="8" t="n"/>
      <c r="B645" s="8" t="n"/>
      <c r="C645" s="8" t="n"/>
      <c r="D645" s="8" t="n"/>
      <c r="E645" s="8" t="n"/>
      <c r="F645" s="8" t="n"/>
    </row>
    <row r="646">
      <c r="A646" s="8" t="n"/>
      <c r="B646" s="8" t="n"/>
      <c r="C646" s="8" t="n"/>
      <c r="D646" s="8" t="n"/>
      <c r="E646" s="8" t="n"/>
      <c r="F646" s="8" t="n"/>
    </row>
    <row r="647">
      <c r="A647" s="8" t="n"/>
      <c r="B647" s="8" t="n"/>
      <c r="C647" s="8" t="n"/>
      <c r="D647" s="8" t="n"/>
      <c r="E647" s="8" t="n"/>
      <c r="F647" s="8" t="n"/>
    </row>
    <row r="648">
      <c r="A648" s="8" t="n"/>
      <c r="B648" s="8" t="n"/>
      <c r="C648" s="8" t="n"/>
      <c r="D648" s="8" t="n"/>
      <c r="E648" s="8" t="n"/>
      <c r="F648" s="8" t="n"/>
    </row>
    <row r="649">
      <c r="A649" s="8" t="n"/>
      <c r="B649" s="8" t="n"/>
      <c r="C649" s="8" t="n"/>
      <c r="D649" s="8" t="n"/>
      <c r="E649" s="8" t="n"/>
      <c r="F649" s="8" t="n"/>
    </row>
    <row r="650">
      <c r="A650" s="8" t="n"/>
      <c r="B650" s="8" t="n"/>
      <c r="C650" s="8" t="n"/>
      <c r="D650" s="8" t="n"/>
      <c r="E650" s="8" t="n"/>
      <c r="F650" s="8" t="n"/>
    </row>
    <row r="651">
      <c r="A651" s="8" t="n"/>
      <c r="B651" s="8" t="n"/>
      <c r="C651" s="8" t="n"/>
      <c r="D651" s="8" t="n"/>
      <c r="E651" s="8" t="n"/>
      <c r="F651" s="8" t="n"/>
    </row>
    <row r="652">
      <c r="A652" s="8" t="n"/>
      <c r="B652" s="8" t="n"/>
      <c r="C652" s="8" t="n"/>
      <c r="D652" s="8" t="n"/>
      <c r="E652" s="8" t="n"/>
      <c r="F652" s="8" t="n"/>
    </row>
    <row r="653">
      <c r="A653" s="8" t="n"/>
      <c r="B653" s="8" t="n"/>
      <c r="C653" s="8" t="n"/>
      <c r="D653" s="8" t="n"/>
      <c r="E653" s="8" t="n"/>
      <c r="F653" s="8" t="n"/>
    </row>
    <row r="654">
      <c r="A654" s="8" t="n"/>
      <c r="B654" s="8" t="n"/>
      <c r="C654" s="8" t="n"/>
      <c r="D654" s="8" t="n"/>
      <c r="E654" s="8" t="n"/>
      <c r="F654" s="8" t="n"/>
    </row>
    <row r="655">
      <c r="A655" s="8" t="n"/>
      <c r="B655" s="8" t="n"/>
      <c r="C655" s="8" t="n"/>
      <c r="D655" s="8" t="n"/>
      <c r="E655" s="8" t="n"/>
      <c r="F655" s="8" t="n"/>
    </row>
    <row r="656">
      <c r="A656" s="8" t="n"/>
      <c r="B656" s="8" t="n"/>
      <c r="C656" s="8" t="n"/>
      <c r="D656" s="8" t="n"/>
      <c r="E656" s="8" t="n"/>
      <c r="F656" s="8" t="n"/>
    </row>
    <row r="657">
      <c r="A657" s="8" t="n"/>
      <c r="B657" s="8" t="n"/>
      <c r="C657" s="8" t="n"/>
      <c r="D657" s="8" t="n"/>
      <c r="E657" s="8" t="n"/>
      <c r="F657" s="8" t="n"/>
    </row>
    <row r="658">
      <c r="A658" s="8" t="n"/>
      <c r="B658" s="8" t="n"/>
      <c r="C658" s="8" t="n"/>
      <c r="D658" s="8" t="n"/>
      <c r="E658" s="8" t="n"/>
      <c r="F658" s="8" t="n"/>
    </row>
    <row r="659">
      <c r="A659" s="8" t="n"/>
      <c r="B659" s="8" t="n"/>
      <c r="C659" s="8" t="n"/>
      <c r="D659" s="8" t="n"/>
      <c r="E659" s="8" t="n"/>
      <c r="F659" s="8" t="n"/>
    </row>
    <row r="660">
      <c r="A660" s="8" t="n"/>
      <c r="B660" s="8" t="n"/>
      <c r="C660" s="8" t="n"/>
      <c r="D660" s="8" t="n"/>
      <c r="E660" s="8" t="n"/>
      <c r="F660" s="8" t="n"/>
    </row>
    <row r="661">
      <c r="A661" s="8" t="n"/>
      <c r="B661" s="8" t="n"/>
      <c r="C661" s="8" t="n"/>
      <c r="D661" s="8" t="n"/>
      <c r="E661" s="8" t="n"/>
      <c r="F661" s="8" t="n"/>
    </row>
    <row r="662">
      <c r="A662" s="8" t="n"/>
      <c r="B662" s="8" t="n"/>
      <c r="C662" s="8" t="n"/>
      <c r="D662" s="8" t="n"/>
      <c r="E662" s="8" t="n"/>
      <c r="F662" s="8" t="n"/>
    </row>
    <row r="663">
      <c r="A663" s="8" t="n"/>
      <c r="B663" s="8" t="n"/>
      <c r="C663" s="8" t="n"/>
      <c r="D663" s="8" t="n"/>
      <c r="E663" s="8" t="n"/>
      <c r="F663" s="8" t="n"/>
    </row>
    <row r="664">
      <c r="A664" s="8" t="n"/>
      <c r="B664" s="8" t="n"/>
      <c r="C664" s="8" t="n"/>
      <c r="D664" s="8" t="n"/>
      <c r="E664" s="8" t="n"/>
      <c r="F664" s="8" t="n"/>
    </row>
    <row r="665">
      <c r="A665" s="8" t="n"/>
      <c r="B665" s="8" t="n"/>
      <c r="C665" s="8" t="n"/>
      <c r="D665" s="8" t="n"/>
      <c r="E665" s="8" t="n"/>
      <c r="F665" s="8" t="n"/>
    </row>
    <row r="666">
      <c r="A666" s="8" t="n"/>
      <c r="B666" s="8" t="n"/>
      <c r="C666" s="8" t="n"/>
      <c r="D666" s="8" t="n"/>
      <c r="E666" s="8" t="n"/>
      <c r="F666" s="8" t="n"/>
    </row>
    <row r="667">
      <c r="A667" s="8" t="n"/>
      <c r="B667" s="8" t="n"/>
      <c r="C667" s="8" t="n"/>
      <c r="D667" s="8" t="n"/>
      <c r="E667" s="8" t="n"/>
      <c r="F667" s="8" t="n"/>
    </row>
    <row r="668">
      <c r="A668" s="8" t="n"/>
      <c r="B668" s="8" t="n"/>
      <c r="C668" s="8" t="n"/>
      <c r="D668" s="8" t="n"/>
      <c r="E668" s="8" t="n"/>
      <c r="F668" s="8" t="n"/>
    </row>
    <row r="669">
      <c r="A669" s="8" t="n"/>
      <c r="B669" s="8" t="n"/>
      <c r="C669" s="8" t="n"/>
      <c r="D669" s="8" t="n"/>
      <c r="E669" s="8" t="n"/>
      <c r="F669" s="8" t="n"/>
    </row>
    <row r="670">
      <c r="A670" s="8" t="n"/>
      <c r="B670" s="8" t="n"/>
      <c r="C670" s="8" t="n"/>
      <c r="D670" s="8" t="n"/>
      <c r="E670" s="8" t="n"/>
      <c r="F670" s="8" t="n"/>
    </row>
    <row r="671">
      <c r="A671" s="8" t="n"/>
      <c r="B671" s="8" t="n"/>
      <c r="C671" s="8" t="n"/>
      <c r="D671" s="8" t="n"/>
      <c r="E671" s="8" t="n"/>
      <c r="F671" s="8" t="n"/>
    </row>
    <row r="672">
      <c r="A672" s="8" t="n"/>
      <c r="B672" s="8" t="n"/>
      <c r="C672" s="8" t="n"/>
      <c r="D672" s="8" t="n"/>
      <c r="E672" s="8" t="n"/>
      <c r="F672" s="8" t="n"/>
    </row>
    <row r="673">
      <c r="A673" s="8" t="n"/>
      <c r="B673" s="8" t="n"/>
      <c r="C673" s="8" t="n"/>
      <c r="D673" s="8" t="n"/>
      <c r="E673" s="8" t="n"/>
      <c r="F673" s="8" t="n"/>
    </row>
    <row r="674">
      <c r="A674" s="8" t="n"/>
      <c r="B674" s="8" t="n"/>
      <c r="C674" s="8" t="n"/>
      <c r="D674" s="8" t="n"/>
      <c r="E674" s="8" t="n"/>
      <c r="F674" s="8" t="n"/>
    </row>
    <row r="675">
      <c r="A675" s="8" t="n"/>
      <c r="B675" s="8" t="n"/>
      <c r="C675" s="8" t="n"/>
      <c r="D675" s="8" t="n"/>
      <c r="E675" s="8" t="n"/>
      <c r="F675" s="8" t="n"/>
    </row>
    <row r="676">
      <c r="A676" s="8" t="n"/>
      <c r="B676" s="8" t="n"/>
      <c r="C676" s="8" t="n"/>
      <c r="D676" s="8" t="n"/>
      <c r="E676" s="8" t="n"/>
      <c r="F676" s="8" t="n"/>
    </row>
    <row r="677">
      <c r="A677" s="8" t="n"/>
      <c r="B677" s="8" t="n"/>
      <c r="C677" s="8" t="n"/>
      <c r="D677" s="8" t="n"/>
      <c r="E677" s="8" t="n"/>
      <c r="F677" s="8" t="n"/>
    </row>
    <row r="678">
      <c r="A678" s="8" t="n"/>
      <c r="B678" s="8" t="n"/>
      <c r="C678" s="8" t="n"/>
      <c r="D678" s="8" t="n"/>
      <c r="E678" s="8" t="n"/>
      <c r="F678" s="8" t="n"/>
    </row>
    <row r="679">
      <c r="A679" s="8" t="n"/>
      <c r="B679" s="8" t="n"/>
      <c r="C679" s="8" t="n"/>
      <c r="D679" s="8" t="n"/>
      <c r="E679" s="8" t="n"/>
      <c r="F679" s="8" t="n"/>
    </row>
    <row r="680">
      <c r="A680" s="8" t="n"/>
      <c r="B680" s="8" t="n"/>
      <c r="C680" s="8" t="n"/>
      <c r="D680" s="8" t="n"/>
      <c r="E680" s="8" t="n"/>
      <c r="F680" s="8" t="n"/>
    </row>
    <row r="681">
      <c r="A681" s="8" t="n"/>
      <c r="B681" s="8" t="n"/>
      <c r="C681" s="8" t="n"/>
      <c r="D681" s="8" t="n"/>
      <c r="E681" s="8" t="n"/>
      <c r="F681" s="8" t="n"/>
    </row>
    <row r="682">
      <c r="A682" s="8" t="n"/>
      <c r="B682" s="8" t="n"/>
      <c r="C682" s="8" t="n"/>
      <c r="D682" s="8" t="n"/>
      <c r="E682" s="8" t="n"/>
      <c r="F682" s="8" t="n"/>
    </row>
    <row r="683">
      <c r="A683" s="8" t="n"/>
      <c r="B683" s="8" t="n"/>
      <c r="C683" s="8" t="n"/>
      <c r="D683" s="8" t="n"/>
      <c r="E683" s="8" t="n"/>
      <c r="F683" s="8" t="n"/>
    </row>
    <row r="684">
      <c r="A684" s="8" t="n"/>
      <c r="B684" s="8" t="n"/>
      <c r="C684" s="8" t="n"/>
      <c r="D684" s="8" t="n"/>
      <c r="E684" s="8" t="n"/>
      <c r="F684" s="8" t="n"/>
    </row>
    <row r="685">
      <c r="A685" s="8" t="n"/>
      <c r="B685" s="8" t="n"/>
      <c r="C685" s="8" t="n"/>
      <c r="D685" s="8" t="n"/>
      <c r="E685" s="8" t="n"/>
      <c r="F685" s="8" t="n"/>
    </row>
    <row r="686">
      <c r="A686" s="8" t="n"/>
      <c r="B686" s="8" t="n"/>
      <c r="C686" s="8" t="n"/>
      <c r="D686" s="8" t="n"/>
      <c r="E686" s="8" t="n"/>
      <c r="F686" s="8" t="n"/>
    </row>
    <row r="687">
      <c r="A687" s="8" t="n"/>
      <c r="B687" s="8" t="n"/>
      <c r="C687" s="8" t="n"/>
      <c r="D687" s="8" t="n"/>
      <c r="E687" s="8" t="n"/>
      <c r="F687" s="8" t="n"/>
    </row>
    <row r="688">
      <c r="A688" s="8" t="n"/>
      <c r="B688" s="8" t="n"/>
      <c r="C688" s="8" t="n"/>
      <c r="D688" s="8" t="n"/>
      <c r="E688" s="8" t="n"/>
      <c r="F688" s="8" t="n"/>
    </row>
    <row r="689">
      <c r="A689" s="8" t="n"/>
      <c r="B689" s="8" t="n"/>
      <c r="C689" s="8" t="n"/>
      <c r="D689" s="8" t="n"/>
      <c r="E689" s="8" t="n"/>
      <c r="F689" s="8" t="n"/>
    </row>
    <row r="690">
      <c r="A690" s="8" t="n"/>
      <c r="B690" s="8" t="n"/>
      <c r="C690" s="8" t="n"/>
      <c r="D690" s="8" t="n"/>
      <c r="E690" s="8" t="n"/>
      <c r="F690" s="8" t="n"/>
    </row>
    <row r="691">
      <c r="A691" s="8" t="n"/>
      <c r="B691" s="8" t="n"/>
      <c r="C691" s="8" t="n"/>
      <c r="D691" s="8" t="n"/>
      <c r="E691" s="8" t="n"/>
      <c r="F691" s="8" t="n"/>
    </row>
    <row r="692">
      <c r="A692" s="8" t="n"/>
      <c r="B692" s="8" t="n"/>
      <c r="C692" s="8" t="n"/>
      <c r="D692" s="8" t="n"/>
      <c r="E692" s="8" t="n"/>
      <c r="F692" s="8" t="n"/>
    </row>
    <row r="693">
      <c r="A693" s="8" t="n"/>
      <c r="B693" s="8" t="n"/>
      <c r="C693" s="8" t="n"/>
      <c r="D693" s="8" t="n"/>
      <c r="E693" s="8" t="n"/>
      <c r="F693" s="8" t="n"/>
    </row>
    <row r="694">
      <c r="A694" s="8" t="n"/>
      <c r="B694" s="8" t="n"/>
      <c r="C694" s="8" t="n"/>
      <c r="D694" s="8" t="n"/>
      <c r="E694" s="8" t="n"/>
      <c r="F694" s="8" t="n"/>
    </row>
    <row r="695">
      <c r="A695" s="8" t="n"/>
      <c r="B695" s="8" t="n"/>
      <c r="C695" s="8" t="n"/>
      <c r="D695" s="8" t="n"/>
      <c r="E695" s="8" t="n"/>
      <c r="F695" s="8" t="n"/>
    </row>
    <row r="696">
      <c r="A696" s="8" t="n"/>
      <c r="B696" s="8" t="n"/>
      <c r="C696" s="8" t="n"/>
      <c r="D696" s="8" t="n"/>
      <c r="E696" s="8" t="n"/>
      <c r="F696" s="8" t="n"/>
    </row>
    <row r="697">
      <c r="A697" s="8" t="n"/>
      <c r="B697" s="8" t="n"/>
      <c r="C697" s="8" t="n"/>
      <c r="D697" s="8" t="n"/>
      <c r="E697" s="8" t="n"/>
      <c r="F697" s="8" t="n"/>
    </row>
    <row r="698">
      <c r="A698" s="8" t="n"/>
      <c r="B698" s="8" t="n"/>
      <c r="C698" s="8" t="n"/>
      <c r="D698" s="8" t="n"/>
      <c r="E698" s="8" t="n"/>
      <c r="F698" s="8" t="n"/>
    </row>
    <row r="699">
      <c r="A699" s="8" t="n"/>
      <c r="B699" s="8" t="n"/>
      <c r="C699" s="8" t="n"/>
      <c r="D699" s="8" t="n"/>
      <c r="E699" s="8" t="n"/>
      <c r="F699" s="8" t="n"/>
    </row>
    <row r="700">
      <c r="A700" s="8" t="n"/>
      <c r="B700" s="8" t="n"/>
      <c r="C700" s="8" t="n"/>
      <c r="D700" s="8" t="n"/>
      <c r="E700" s="8" t="n"/>
      <c r="F700" s="8" t="n"/>
    </row>
    <row r="701">
      <c r="A701" s="8" t="n"/>
      <c r="B701" s="8" t="n"/>
      <c r="C701" s="8" t="n"/>
      <c r="D701" s="8" t="n"/>
      <c r="E701" s="8" t="n"/>
      <c r="F701" s="8" t="n"/>
    </row>
    <row r="702">
      <c r="A702" s="8" t="n"/>
      <c r="B702" s="8" t="n"/>
      <c r="C702" s="8" t="n"/>
      <c r="D702" s="8" t="n"/>
      <c r="E702" s="8" t="n"/>
      <c r="F702" s="8" t="n"/>
    </row>
    <row r="703">
      <c r="A703" s="8" t="n"/>
      <c r="B703" s="8" t="n"/>
      <c r="C703" s="8" t="n"/>
      <c r="D703" s="8" t="n"/>
      <c r="E703" s="8" t="n"/>
      <c r="F703" s="8" t="n"/>
    </row>
    <row r="704">
      <c r="A704" s="8" t="n"/>
      <c r="B704" s="8" t="n"/>
      <c r="C704" s="8" t="n"/>
      <c r="D704" s="8" t="n"/>
      <c r="E704" s="8" t="n"/>
      <c r="F704" s="8" t="n"/>
    </row>
    <row r="705">
      <c r="A705" s="8" t="n"/>
      <c r="B705" s="8" t="n"/>
      <c r="C705" s="8" t="n"/>
      <c r="D705" s="8" t="n"/>
      <c r="E705" s="8" t="n"/>
      <c r="F705" s="8" t="n"/>
    </row>
    <row r="706">
      <c r="A706" s="8" t="n"/>
      <c r="B706" s="8" t="n"/>
      <c r="C706" s="8" t="n"/>
      <c r="D706" s="8" t="n"/>
      <c r="E706" s="8" t="n"/>
      <c r="F706" s="8" t="n"/>
    </row>
    <row r="707">
      <c r="A707" s="8" t="n"/>
      <c r="B707" s="8" t="n"/>
      <c r="C707" s="8" t="n"/>
      <c r="D707" s="8" t="n"/>
      <c r="E707" s="8" t="n"/>
      <c r="F707" s="8" t="n"/>
    </row>
    <row r="708">
      <c r="A708" s="8" t="n"/>
      <c r="B708" s="8" t="n"/>
      <c r="C708" s="8" t="n"/>
      <c r="D708" s="8" t="n"/>
      <c r="E708" s="8" t="n"/>
      <c r="F708" s="8" t="n"/>
    </row>
    <row r="709">
      <c r="A709" s="8" t="n"/>
      <c r="B709" s="8" t="n"/>
      <c r="C709" s="8" t="n"/>
      <c r="D709" s="8" t="n"/>
      <c r="E709" s="8" t="n"/>
      <c r="F709" s="8" t="n"/>
    </row>
    <row r="710">
      <c r="A710" s="8" t="n"/>
      <c r="B710" s="8" t="n"/>
      <c r="C710" s="8" t="n"/>
      <c r="D710" s="8" t="n"/>
      <c r="E710" s="8" t="n"/>
      <c r="F710" s="8" t="n"/>
    </row>
    <row r="711">
      <c r="A711" s="8" t="n"/>
      <c r="B711" s="8" t="n"/>
      <c r="C711" s="8" t="n"/>
      <c r="D711" s="8" t="n"/>
      <c r="E711" s="8" t="n"/>
      <c r="F711" s="8" t="n"/>
    </row>
    <row r="712">
      <c r="A712" s="8" t="n"/>
      <c r="B712" s="8" t="n"/>
      <c r="C712" s="8" t="n"/>
      <c r="D712" s="8" t="n"/>
      <c r="E712" s="8" t="n"/>
      <c r="F712" s="8" t="n"/>
    </row>
    <row r="713">
      <c r="A713" s="8" t="n"/>
      <c r="B713" s="8" t="n"/>
      <c r="C713" s="8" t="n"/>
      <c r="D713" s="8" t="n"/>
      <c r="E713" s="8" t="n"/>
      <c r="F713" s="8" t="n"/>
    </row>
    <row r="714">
      <c r="A714" s="8" t="n"/>
      <c r="B714" s="8" t="n"/>
      <c r="C714" s="8" t="n"/>
      <c r="D714" s="8" t="n"/>
      <c r="E714" s="8" t="n"/>
      <c r="F714" s="8" t="n"/>
    </row>
    <row r="715">
      <c r="A715" s="8" t="n"/>
      <c r="B715" s="8" t="n"/>
      <c r="C715" s="8" t="n"/>
      <c r="D715" s="8" t="n"/>
      <c r="E715" s="8" t="n"/>
      <c r="F715" s="8" t="n"/>
    </row>
    <row r="716">
      <c r="A716" s="8" t="n"/>
      <c r="B716" s="8" t="n"/>
      <c r="C716" s="8" t="n"/>
      <c r="D716" s="8" t="n"/>
      <c r="E716" s="8" t="n"/>
      <c r="F716" s="8" t="n"/>
    </row>
    <row r="717">
      <c r="A717" s="8" t="n"/>
      <c r="B717" s="8" t="n"/>
      <c r="C717" s="8" t="n"/>
      <c r="D717" s="8" t="n"/>
      <c r="E717" s="8" t="n"/>
      <c r="F717" s="8" t="n"/>
    </row>
    <row r="718">
      <c r="A718" s="8" t="n"/>
      <c r="B718" s="8" t="n"/>
      <c r="C718" s="8" t="n"/>
      <c r="D718" s="8" t="n"/>
      <c r="E718" s="8" t="n"/>
      <c r="F718" s="8" t="n"/>
    </row>
    <row r="719">
      <c r="A719" s="8" t="n"/>
      <c r="B719" s="8" t="n"/>
      <c r="C719" s="8" t="n"/>
      <c r="D719" s="8" t="n"/>
      <c r="E719" s="8" t="n"/>
      <c r="F719" s="8" t="n"/>
    </row>
    <row r="720">
      <c r="A720" s="8" t="n"/>
      <c r="B720" s="8" t="n"/>
      <c r="C720" s="8" t="n"/>
      <c r="D720" s="8" t="n"/>
      <c r="E720" s="8" t="n"/>
      <c r="F720" s="8" t="n"/>
    </row>
    <row r="721">
      <c r="A721" s="8" t="n"/>
      <c r="B721" s="8" t="n"/>
      <c r="C721" s="8" t="n"/>
      <c r="D721" s="8" t="n"/>
      <c r="E721" s="8" t="n"/>
      <c r="F721" s="8" t="n"/>
    </row>
    <row r="722">
      <c r="A722" s="8" t="n"/>
      <c r="B722" s="8" t="n"/>
      <c r="C722" s="8" t="n"/>
      <c r="D722" s="8" t="n"/>
      <c r="E722" s="8" t="n"/>
      <c r="F722" s="8" t="n"/>
    </row>
    <row r="723">
      <c r="A723" s="8" t="n"/>
      <c r="B723" s="8" t="n"/>
      <c r="C723" s="8" t="n"/>
      <c r="D723" s="8" t="n"/>
      <c r="E723" s="8" t="n"/>
      <c r="F723" s="8" t="n"/>
    </row>
    <row r="724">
      <c r="A724" s="8" t="n"/>
      <c r="B724" s="8" t="n"/>
      <c r="C724" s="8" t="n"/>
      <c r="D724" s="8" t="n"/>
      <c r="E724" s="8" t="n"/>
      <c r="F724" s="8" t="n"/>
    </row>
    <row r="725">
      <c r="A725" s="8" t="n"/>
      <c r="B725" s="8" t="n"/>
      <c r="C725" s="8" t="n"/>
      <c r="D725" s="8" t="n"/>
      <c r="E725" s="8" t="n"/>
      <c r="F725" s="8" t="n"/>
    </row>
    <row r="726">
      <c r="A726" s="8" t="n"/>
      <c r="B726" s="8" t="n"/>
      <c r="C726" s="8" t="n"/>
      <c r="D726" s="8" t="n"/>
      <c r="E726" s="8" t="n"/>
      <c r="F726" s="8" t="n"/>
    </row>
    <row r="727">
      <c r="A727" s="8" t="n"/>
      <c r="B727" s="8" t="n"/>
      <c r="C727" s="8" t="n"/>
      <c r="D727" s="8" t="n"/>
      <c r="E727" s="8" t="n"/>
      <c r="F727" s="8" t="n"/>
    </row>
    <row r="728">
      <c r="A728" s="8" t="n"/>
      <c r="B728" s="8" t="n"/>
      <c r="C728" s="8" t="n"/>
      <c r="D728" s="8" t="n"/>
      <c r="E728" s="8" t="n"/>
      <c r="F728" s="8" t="n"/>
    </row>
    <row r="729">
      <c r="A729" s="8" t="n"/>
      <c r="B729" s="8" t="n"/>
      <c r="C729" s="8" t="n"/>
      <c r="D729" s="8" t="n"/>
      <c r="E729" s="8" t="n"/>
      <c r="F729" s="8" t="n"/>
    </row>
    <row r="730">
      <c r="A730" s="8" t="n"/>
      <c r="B730" s="8" t="n"/>
      <c r="C730" s="8" t="n"/>
      <c r="D730" s="8" t="n"/>
      <c r="E730" s="8" t="n"/>
      <c r="F730" s="8" t="n"/>
    </row>
    <row r="731">
      <c r="A731" s="8" t="n"/>
      <c r="B731" s="8" t="n"/>
      <c r="C731" s="8" t="n"/>
      <c r="D731" s="8" t="n"/>
      <c r="E731" s="8" t="n"/>
      <c r="F731" s="8" t="n"/>
    </row>
    <row r="732">
      <c r="A732" s="8" t="n"/>
      <c r="B732" s="8" t="n"/>
      <c r="C732" s="8" t="n"/>
      <c r="D732" s="8" t="n"/>
      <c r="E732" s="8" t="n"/>
      <c r="F732" s="8" t="n"/>
    </row>
    <row r="733">
      <c r="A733" s="8" t="n"/>
      <c r="B733" s="8" t="n"/>
      <c r="C733" s="8" t="n"/>
      <c r="D733" s="8" t="n"/>
      <c r="E733" s="8" t="n"/>
      <c r="F733" s="8" t="n"/>
    </row>
    <row r="734">
      <c r="A734" s="8" t="n"/>
      <c r="B734" s="8" t="n"/>
      <c r="C734" s="8" t="n"/>
      <c r="D734" s="8" t="n"/>
      <c r="E734" s="8" t="n"/>
      <c r="F734" s="8" t="n"/>
    </row>
    <row r="735">
      <c r="A735" s="8" t="n"/>
      <c r="B735" s="8" t="n"/>
      <c r="C735" s="8" t="n"/>
      <c r="D735" s="8" t="n"/>
      <c r="E735" s="8" t="n"/>
      <c r="F735" s="8" t="n"/>
    </row>
    <row r="736">
      <c r="A736" s="8" t="n"/>
      <c r="B736" s="8" t="n"/>
      <c r="C736" s="8" t="n"/>
      <c r="D736" s="8" t="n"/>
      <c r="E736" s="8" t="n"/>
      <c r="F736" s="8" t="n"/>
    </row>
    <row r="737">
      <c r="A737" s="8" t="n"/>
      <c r="B737" s="8" t="n"/>
      <c r="C737" s="8" t="n"/>
      <c r="D737" s="8" t="n"/>
      <c r="E737" s="8" t="n"/>
      <c r="F737" s="8" t="n"/>
    </row>
    <row r="738">
      <c r="A738" s="8" t="n"/>
      <c r="B738" s="8" t="n"/>
      <c r="C738" s="8" t="n"/>
      <c r="D738" s="8" t="n"/>
      <c r="E738" s="8" t="n"/>
      <c r="F738" s="8" t="n"/>
    </row>
    <row r="739">
      <c r="A739" s="8" t="n"/>
      <c r="B739" s="8" t="n"/>
      <c r="C739" s="8" t="n"/>
      <c r="D739" s="8" t="n"/>
      <c r="E739" s="8" t="n"/>
      <c r="F739" s="8" t="n"/>
    </row>
    <row r="740">
      <c r="A740" s="8" t="n"/>
      <c r="B740" s="8" t="n"/>
      <c r="C740" s="8" t="n"/>
      <c r="D740" s="8" t="n"/>
      <c r="E740" s="8" t="n"/>
      <c r="F740" s="8" t="n"/>
    </row>
    <row r="741">
      <c r="A741" s="8" t="n"/>
      <c r="B741" s="8" t="n"/>
      <c r="C741" s="8" t="n"/>
      <c r="D741" s="8" t="n"/>
      <c r="E741" s="8" t="n"/>
      <c r="F741" s="8" t="n"/>
    </row>
    <row r="742">
      <c r="A742" s="8" t="n"/>
      <c r="B742" s="8" t="n"/>
      <c r="C742" s="8" t="n"/>
      <c r="D742" s="8" t="n"/>
      <c r="E742" s="8" t="n"/>
      <c r="F742" s="8" t="n"/>
    </row>
    <row r="743">
      <c r="A743" s="8" t="n"/>
      <c r="B743" s="8" t="n"/>
      <c r="C743" s="8" t="n"/>
      <c r="D743" s="8" t="n"/>
      <c r="E743" s="8" t="n"/>
      <c r="F743" s="8" t="n"/>
    </row>
    <row r="744">
      <c r="A744" s="8" t="n"/>
      <c r="B744" s="8" t="n"/>
      <c r="C744" s="8" t="n"/>
      <c r="D744" s="8" t="n"/>
      <c r="E744" s="8" t="n"/>
      <c r="F744" s="8" t="n"/>
    </row>
    <row r="745">
      <c r="A745" s="8" t="n"/>
      <c r="B745" s="8" t="n"/>
      <c r="C745" s="8" t="n"/>
      <c r="D745" s="8" t="n"/>
      <c r="E745" s="8" t="n"/>
      <c r="F745" s="8" t="n"/>
    </row>
    <row r="746">
      <c r="A746" s="8" t="n"/>
      <c r="B746" s="8" t="n"/>
      <c r="C746" s="8" t="n"/>
      <c r="D746" s="8" t="n"/>
      <c r="E746" s="8" t="n"/>
      <c r="F746" s="8" t="n"/>
    </row>
    <row r="747">
      <c r="A747" s="8" t="n"/>
      <c r="B747" s="8" t="n"/>
      <c r="C747" s="8" t="n"/>
      <c r="D747" s="8" t="n"/>
      <c r="E747" s="8" t="n"/>
      <c r="F747" s="8" t="n"/>
    </row>
    <row r="748">
      <c r="A748" s="8" t="n"/>
      <c r="B748" s="8" t="n"/>
      <c r="C748" s="8" t="n"/>
      <c r="D748" s="8" t="n"/>
      <c r="E748" s="8" t="n"/>
      <c r="F748" s="8" t="n"/>
    </row>
    <row r="749">
      <c r="A749" s="8" t="n"/>
      <c r="B749" s="8" t="n"/>
      <c r="C749" s="8" t="n"/>
      <c r="D749" s="8" t="n"/>
      <c r="E749" s="8" t="n"/>
      <c r="F749" s="8" t="n"/>
    </row>
    <row r="750">
      <c r="A750" s="8" t="n"/>
      <c r="B750" s="8" t="n"/>
      <c r="C750" s="8" t="n"/>
      <c r="D750" s="8" t="n"/>
      <c r="E750" s="8" t="n"/>
      <c r="F750" s="8" t="n"/>
    </row>
    <row r="751">
      <c r="A751" s="8" t="n"/>
      <c r="B751" s="8" t="n"/>
      <c r="C751" s="8" t="n"/>
      <c r="D751" s="8" t="n"/>
      <c r="E751" s="8" t="n"/>
      <c r="F751" s="8" t="n"/>
    </row>
    <row r="752">
      <c r="A752" s="8" t="n"/>
      <c r="B752" s="8" t="n"/>
      <c r="C752" s="8" t="n"/>
      <c r="D752" s="8" t="n"/>
      <c r="E752" s="8" t="n"/>
      <c r="F752" s="8" t="n"/>
    </row>
    <row r="753">
      <c r="A753" s="8" t="n"/>
      <c r="B753" s="8" t="n"/>
      <c r="C753" s="8" t="n"/>
      <c r="D753" s="8" t="n"/>
      <c r="E753" s="8" t="n"/>
      <c r="F753" s="8" t="n"/>
    </row>
    <row r="754">
      <c r="A754" s="8" t="n"/>
      <c r="B754" s="8" t="n"/>
      <c r="C754" s="8" t="n"/>
      <c r="D754" s="8" t="n"/>
      <c r="E754" s="8" t="n"/>
      <c r="F754" s="8" t="n"/>
    </row>
    <row r="755">
      <c r="A755" s="8" t="n"/>
      <c r="B755" s="8" t="n"/>
      <c r="C755" s="8" t="n"/>
      <c r="D755" s="8" t="n"/>
      <c r="E755" s="8" t="n"/>
      <c r="F755" s="8" t="n"/>
    </row>
    <row r="756">
      <c r="A756" s="8" t="n"/>
      <c r="B756" s="8" t="n"/>
      <c r="C756" s="8" t="n"/>
      <c r="D756" s="8" t="n"/>
      <c r="E756" s="8" t="n"/>
      <c r="F756" s="8" t="n"/>
    </row>
    <row r="757">
      <c r="A757" s="8" t="n"/>
      <c r="B757" s="8" t="n"/>
      <c r="C757" s="8" t="n"/>
      <c r="D757" s="8" t="n"/>
      <c r="E757" s="8" t="n"/>
      <c r="F757" s="8" t="n"/>
    </row>
    <row r="758">
      <c r="A758" s="8" t="n"/>
      <c r="B758" s="8" t="n"/>
      <c r="C758" s="8" t="n"/>
      <c r="D758" s="8" t="n"/>
      <c r="E758" s="8" t="n"/>
      <c r="F758" s="8" t="n"/>
    </row>
    <row r="759">
      <c r="A759" s="8" t="n"/>
      <c r="B759" s="8" t="n"/>
      <c r="C759" s="8" t="n"/>
      <c r="D759" s="8" t="n"/>
      <c r="E759" s="8" t="n"/>
      <c r="F759" s="8" t="n"/>
    </row>
    <row r="760">
      <c r="A760" s="8" t="n"/>
      <c r="B760" s="8" t="n"/>
      <c r="C760" s="8" t="n"/>
      <c r="D760" s="8" t="n"/>
      <c r="E760" s="8" t="n"/>
      <c r="F760" s="8" t="n"/>
    </row>
    <row r="761">
      <c r="A761" s="8" t="n"/>
      <c r="B761" s="8" t="n"/>
      <c r="C761" s="8" t="n"/>
      <c r="D761" s="8" t="n"/>
      <c r="E761" s="8" t="n"/>
      <c r="F761" s="8" t="n"/>
    </row>
    <row r="762">
      <c r="A762" s="8" t="n"/>
      <c r="B762" s="8" t="n"/>
      <c r="C762" s="8" t="n"/>
      <c r="D762" s="8" t="n"/>
      <c r="E762" s="8" t="n"/>
      <c r="F762" s="8" t="n"/>
    </row>
    <row r="763">
      <c r="A763" s="8" t="n"/>
      <c r="B763" s="8" t="n"/>
      <c r="C763" s="8" t="n"/>
      <c r="D763" s="8" t="n"/>
      <c r="E763" s="8" t="n"/>
      <c r="F763" s="8" t="n"/>
    </row>
    <row r="764">
      <c r="A764" s="8" t="n"/>
      <c r="B764" s="8" t="n"/>
      <c r="C764" s="8" t="n"/>
      <c r="D764" s="8" t="n"/>
      <c r="E764" s="8" t="n"/>
      <c r="F764" s="8" t="n"/>
    </row>
    <row r="765">
      <c r="A765" s="8" t="n"/>
      <c r="B765" s="8" t="n"/>
      <c r="C765" s="8" t="n"/>
      <c r="D765" s="8" t="n"/>
      <c r="E765" s="8" t="n"/>
      <c r="F765" s="8" t="n"/>
    </row>
    <row r="766">
      <c r="A766" s="8" t="n"/>
      <c r="B766" s="8" t="n"/>
      <c r="C766" s="8" t="n"/>
      <c r="D766" s="8" t="n"/>
      <c r="E766" s="8" t="n"/>
      <c r="F766" s="8" t="n"/>
    </row>
    <row r="767">
      <c r="A767" s="8" t="n"/>
      <c r="B767" s="8" t="n"/>
      <c r="C767" s="8" t="n"/>
      <c r="D767" s="8" t="n"/>
      <c r="E767" s="8" t="n"/>
      <c r="F767" s="8" t="n"/>
    </row>
    <row r="768">
      <c r="A768" s="8" t="n"/>
      <c r="B768" s="8" t="n"/>
      <c r="C768" s="8" t="n"/>
      <c r="D768" s="8" t="n"/>
      <c r="E768" s="8" t="n"/>
      <c r="F768" s="8" t="n"/>
    </row>
    <row r="769">
      <c r="A769" s="8" t="n"/>
      <c r="B769" s="8" t="n"/>
      <c r="C769" s="8" t="n"/>
      <c r="D769" s="8" t="n"/>
      <c r="E769" s="8" t="n"/>
      <c r="F769" s="8" t="n"/>
    </row>
    <row r="770">
      <c r="A770" s="8" t="n"/>
      <c r="B770" s="8" t="n"/>
      <c r="C770" s="8" t="n"/>
      <c r="D770" s="8" t="n"/>
      <c r="E770" s="8" t="n"/>
      <c r="F770" s="8" t="n"/>
    </row>
    <row r="771">
      <c r="A771" s="8" t="n"/>
      <c r="B771" s="8" t="n"/>
      <c r="C771" s="8" t="n"/>
      <c r="D771" s="8" t="n"/>
      <c r="E771" s="8" t="n"/>
      <c r="F771" s="8" t="n"/>
    </row>
    <row r="772">
      <c r="A772" s="8" t="n"/>
      <c r="B772" s="8" t="n"/>
      <c r="C772" s="8" t="n"/>
      <c r="D772" s="8" t="n"/>
      <c r="E772" s="8" t="n"/>
      <c r="F772" s="8" t="n"/>
    </row>
    <row r="773">
      <c r="A773" s="8" t="n"/>
      <c r="B773" s="8" t="n"/>
      <c r="C773" s="8" t="n"/>
      <c r="D773" s="8" t="n"/>
      <c r="E773" s="8" t="n"/>
      <c r="F773" s="8" t="n"/>
    </row>
    <row r="774">
      <c r="A774" s="8" t="n"/>
      <c r="B774" s="8" t="n"/>
      <c r="C774" s="8" t="n"/>
      <c r="D774" s="8" t="n"/>
      <c r="E774" s="8" t="n"/>
      <c r="F774" s="8" t="n"/>
    </row>
    <row r="775">
      <c r="A775" s="8" t="n"/>
      <c r="B775" s="8" t="n"/>
      <c r="C775" s="8" t="n"/>
      <c r="D775" s="8" t="n"/>
      <c r="E775" s="8" t="n"/>
      <c r="F775" s="8" t="n"/>
    </row>
    <row r="776">
      <c r="A776" s="8" t="n"/>
      <c r="B776" s="8" t="n"/>
      <c r="C776" s="8" t="n"/>
      <c r="D776" s="8" t="n"/>
      <c r="E776" s="8" t="n"/>
      <c r="F776" s="8" t="n"/>
    </row>
    <row r="777">
      <c r="A777" s="8" t="n"/>
      <c r="B777" s="8" t="n"/>
      <c r="C777" s="8" t="n"/>
      <c r="D777" s="8" t="n"/>
      <c r="E777" s="8" t="n"/>
      <c r="F777" s="8" t="n"/>
    </row>
    <row r="778">
      <c r="A778" s="8" t="n"/>
      <c r="B778" s="8" t="n"/>
      <c r="C778" s="8" t="n"/>
      <c r="D778" s="8" t="n"/>
      <c r="E778" s="8" t="n"/>
      <c r="F778" s="8" t="n"/>
    </row>
    <row r="779">
      <c r="A779" s="8" t="n"/>
      <c r="B779" s="8" t="n"/>
      <c r="C779" s="8" t="n"/>
      <c r="D779" s="8" t="n"/>
      <c r="E779" s="8" t="n"/>
      <c r="F779" s="8" t="n"/>
    </row>
    <row r="780">
      <c r="A780" s="8" t="n"/>
      <c r="B780" s="8" t="n"/>
      <c r="C780" s="8" t="n"/>
      <c r="D780" s="8" t="n"/>
      <c r="E780" s="8" t="n"/>
      <c r="F780" s="8" t="n"/>
    </row>
    <row r="781">
      <c r="A781" s="8" t="n"/>
      <c r="B781" s="8" t="n"/>
      <c r="C781" s="8" t="n"/>
      <c r="D781" s="8" t="n"/>
      <c r="E781" s="8" t="n"/>
      <c r="F781" s="8" t="n"/>
    </row>
    <row r="782">
      <c r="A782" s="8" t="n"/>
      <c r="B782" s="8" t="n"/>
      <c r="C782" s="8" t="n"/>
      <c r="D782" s="8" t="n"/>
      <c r="E782" s="8" t="n"/>
      <c r="F782" s="8" t="n"/>
    </row>
    <row r="783">
      <c r="A783" s="8" t="n"/>
      <c r="B783" s="8" t="n"/>
      <c r="C783" s="8" t="n"/>
      <c r="D783" s="8" t="n"/>
      <c r="E783" s="8" t="n"/>
      <c r="F783" s="8" t="n"/>
    </row>
    <row r="784">
      <c r="A784" s="8" t="n"/>
      <c r="B784" s="8" t="n"/>
      <c r="C784" s="8" t="n"/>
      <c r="D784" s="8" t="n"/>
      <c r="E784" s="8" t="n"/>
      <c r="F784" s="8" t="n"/>
    </row>
    <row r="785">
      <c r="A785" s="8" t="n"/>
      <c r="B785" s="8" t="n"/>
      <c r="C785" s="8" t="n"/>
      <c r="D785" s="8" t="n"/>
      <c r="E785" s="8" t="n"/>
      <c r="F785" s="8" t="n"/>
    </row>
    <row r="786">
      <c r="A786" s="8" t="n"/>
      <c r="B786" s="8" t="n"/>
      <c r="C786" s="8" t="n"/>
      <c r="D786" s="8" t="n"/>
      <c r="E786" s="8" t="n"/>
      <c r="F786" s="8" t="n"/>
    </row>
    <row r="787">
      <c r="A787" s="8" t="n"/>
      <c r="B787" s="8" t="n"/>
      <c r="C787" s="8" t="n"/>
      <c r="D787" s="8" t="n"/>
      <c r="E787" s="8" t="n"/>
      <c r="F787" s="8" t="n"/>
    </row>
    <row r="788">
      <c r="A788" s="8" t="n"/>
      <c r="B788" s="8" t="n"/>
      <c r="C788" s="8" t="n"/>
      <c r="D788" s="8" t="n"/>
      <c r="E788" s="8" t="n"/>
      <c r="F788" s="8" t="n"/>
    </row>
    <row r="789">
      <c r="A789" s="8" t="n"/>
      <c r="B789" s="8" t="n"/>
      <c r="C789" s="8" t="n"/>
      <c r="D789" s="8" t="n"/>
      <c r="E789" s="8" t="n"/>
      <c r="F789" s="8" t="n"/>
    </row>
    <row r="790">
      <c r="A790" s="8" t="n"/>
      <c r="B790" s="8" t="n"/>
      <c r="C790" s="8" t="n"/>
      <c r="D790" s="8" t="n"/>
      <c r="E790" s="8" t="n"/>
      <c r="F790" s="8" t="n"/>
    </row>
    <row r="791">
      <c r="A791" s="8" t="n"/>
      <c r="B791" s="8" t="n"/>
      <c r="C791" s="8" t="n"/>
      <c r="D791" s="8" t="n"/>
      <c r="E791" s="8" t="n"/>
      <c r="F791" s="8" t="n"/>
    </row>
    <row r="792">
      <c r="A792" s="8" t="n"/>
      <c r="B792" s="8" t="n"/>
      <c r="C792" s="8" t="n"/>
      <c r="D792" s="8" t="n"/>
      <c r="E792" s="8" t="n"/>
      <c r="F792" s="8" t="n"/>
    </row>
    <row r="793">
      <c r="A793" s="8" t="n"/>
      <c r="B793" s="8" t="n"/>
      <c r="C793" s="8" t="n"/>
      <c r="D793" s="8" t="n"/>
      <c r="E793" s="8" t="n"/>
      <c r="F793" s="8" t="n"/>
    </row>
    <row r="794">
      <c r="A794" s="8" t="n"/>
      <c r="B794" s="8" t="n"/>
      <c r="C794" s="8" t="n"/>
      <c r="D794" s="8" t="n"/>
      <c r="E794" s="8" t="n"/>
      <c r="F794" s="8" t="n"/>
    </row>
    <row r="795">
      <c r="A795" s="8" t="n"/>
      <c r="B795" s="8" t="n"/>
      <c r="C795" s="8" t="n"/>
      <c r="D795" s="8" t="n"/>
      <c r="E795" s="8" t="n"/>
      <c r="F795" s="8" t="n"/>
    </row>
    <row r="796">
      <c r="A796" s="8" t="n"/>
      <c r="B796" s="8" t="n"/>
      <c r="C796" s="8" t="n"/>
      <c r="D796" s="8" t="n"/>
      <c r="E796" s="8" t="n"/>
      <c r="F796" s="8" t="n"/>
    </row>
    <row r="797">
      <c r="A797" s="8" t="n"/>
      <c r="B797" s="8" t="n"/>
      <c r="C797" s="8" t="n"/>
      <c r="D797" s="8" t="n"/>
      <c r="E797" s="8" t="n"/>
      <c r="F797" s="8" t="n"/>
    </row>
    <row r="798">
      <c r="A798" s="8" t="n"/>
      <c r="B798" s="8" t="n"/>
      <c r="C798" s="8" t="n"/>
      <c r="D798" s="8" t="n"/>
      <c r="E798" s="8" t="n"/>
      <c r="F798" s="8" t="n"/>
    </row>
    <row r="799">
      <c r="A799" s="8" t="n"/>
      <c r="B799" s="8" t="n"/>
      <c r="C799" s="8" t="n"/>
      <c r="D799" s="8" t="n"/>
      <c r="E799" s="8" t="n"/>
      <c r="F799" s="8" t="n"/>
    </row>
    <row r="800">
      <c r="A800" s="8" t="n"/>
      <c r="B800" s="8" t="n"/>
      <c r="C800" s="8" t="n"/>
      <c r="D800" s="8" t="n"/>
      <c r="E800" s="8" t="n"/>
      <c r="F800" s="8" t="n"/>
    </row>
    <row r="801">
      <c r="A801" s="8" t="n"/>
      <c r="B801" s="8" t="n"/>
      <c r="C801" s="8" t="n"/>
      <c r="D801" s="8" t="n"/>
      <c r="E801" s="8" t="n"/>
      <c r="F801" s="8" t="n"/>
    </row>
    <row r="802">
      <c r="A802" s="8" t="n"/>
      <c r="B802" s="8" t="n"/>
      <c r="C802" s="8" t="n"/>
      <c r="D802" s="8" t="n"/>
      <c r="E802" s="8" t="n"/>
      <c r="F802" s="8" t="n"/>
    </row>
    <row r="803">
      <c r="A803" s="8" t="n"/>
      <c r="B803" s="8" t="n"/>
      <c r="C803" s="8" t="n"/>
      <c r="D803" s="8" t="n"/>
      <c r="E803" s="8" t="n"/>
      <c r="F803" s="8" t="n"/>
    </row>
  </sheetData>
  <mergeCells count="1">
    <mergeCell ref="A1:F1"/>
  </mergeCells>
  <dataValidations count="1">
    <dataValidation sqref="H4:H304" showDropDown="1" showInputMessage="0" showErrorMessage="0" allowBlank="1" type="list">
      <formula1>=Constants!$A$93:$A$100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5"/>
  <sheetViews>
    <sheetView workbookViewId="0">
      <selection activeCell="A1" sqref="A1"/>
    </sheetView>
  </sheetViews>
  <sheetFormatPr baseColWidth="8" defaultRowHeight="15"/>
  <cols>
    <col hidden="1" width="10" customWidth="1" min="1" max="1"/>
    <col width="12" customWidth="1" min="2" max="2"/>
    <col width="18" customWidth="1" min="3" max="3"/>
    <col width="10" customWidth="1" min="4" max="4"/>
    <col width="12" customWidth="1" min="5" max="5"/>
    <col width="8" customWidth="1" min="6" max="6"/>
    <col width="18" customWidth="1" min="7" max="7"/>
    <col width="28"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8" customWidth="1" min="17" max="17"/>
  </cols>
  <sheetData>
    <row r="1">
      <c r="A1" s="1" t="inlineStr">
        <is>
          <t>INPUT_TRIMLINES (catalog-driven trim; app writes line items per room)</t>
        </is>
      </c>
    </row>
    <row r="3">
      <c r="A3" s="12" t="inlineStr">
        <is>
          <t>Green = inputs. App writes JobID/RoomID keys. Add rows freely.</t>
        </is>
      </c>
    </row>
    <row r="5">
      <c r="A5" s="5" t="inlineStr">
        <is>
          <t>JobID</t>
        </is>
      </c>
      <c r="B5" s="5" t="inlineStr">
        <is>
          <t>RoomID</t>
        </is>
      </c>
      <c r="C5" s="5" t="inlineStr">
        <is>
          <t>TrimItemID</t>
        </is>
      </c>
      <c r="D5" s="5" t="inlineStr">
        <is>
          <t>Qty</t>
        </is>
      </c>
      <c r="E5" s="5" t="inlineStr">
        <is>
          <t>PrimerMode</t>
        </is>
      </c>
      <c r="F5" s="5" t="inlineStr">
        <is>
          <t>Coats</t>
        </is>
      </c>
      <c r="G5" s="5" t="inlineStr">
        <is>
          <t>PrepLevelOverride</t>
        </is>
      </c>
      <c r="H5" s="5" t="inlineStr">
        <is>
          <t>Notes</t>
        </is>
      </c>
      <c r="I5" s="5" t="inlineStr">
        <is>
          <t>Unit (calc)</t>
        </is>
      </c>
      <c r="J5" s="5" t="inlineStr">
        <is>
          <t>PrepMins (calc)</t>
        </is>
      </c>
      <c r="K5" s="5" t="inlineStr">
        <is>
          <t>PaintMins (calc)</t>
        </is>
      </c>
      <c r="L5" s="5" t="inlineStr">
        <is>
          <t>PrimerMins (calc)</t>
        </is>
      </c>
      <c r="M5" s="5" t="inlineStr">
        <is>
          <t>TotalMins (calc)</t>
        </is>
      </c>
      <c r="N5" s="5" t="inlineStr">
        <is>
          <t>LaborHours (calc)</t>
        </is>
      </c>
      <c r="O5" s="5" t="inlineStr">
        <is>
          <t>Labor$ (calc)</t>
        </is>
      </c>
      <c r="P5" s="5" t="inlineStr">
        <is>
          <t>Material$ (calc)</t>
        </is>
      </c>
      <c r="Q5" s="5" t="inlineStr">
        <is>
          <t>Total$ w/Markup (calc)</t>
        </is>
      </c>
    </row>
    <row r="6">
      <c r="A6" s="8" t="n"/>
      <c r="B6" s="8" t="n"/>
      <c r="C6" s="8" t="n"/>
      <c r="D6" s="8" t="n"/>
      <c r="E6" s="8" t="n"/>
      <c r="F6" s="8" t="n"/>
      <c r="G6" s="8" t="n"/>
      <c r="H6" s="8" t="n"/>
      <c r="I6" s="6">
        <f>IF(OR(A6="",C6=""),"", XLOOKUP(C6, Constants!$A:$A, Constants!$C:$C, ""))</f>
        <v/>
      </c>
      <c r="J6" s="6">
        <f>IF(OR(A6="",C6=""),"", D6 * (IF(G6="", 1, XLOOKUP(G6, Constants!$E$10:$E$30, Constants!$F$10:$F$30, 1))) * XLOOKUP(C6, Constants!$A:$A, Constants!$D:$D, 0))</f>
        <v/>
      </c>
      <c r="K6" s="6">
        <f>IF(OR(A6="",C6=""),"", D6 * F6 * XLOOKUP(C6, Constants!$A:$A, Constants!$E:$E, 0))</f>
        <v/>
      </c>
      <c r="L6" s="6">
        <f>IF(OR(A6="",C6=""),"", IF(E6="None",0, D6 * IF(E6="Full",1,XLOOKUP("PrimerSpotFactor",Constants!$A$20:$A$40,Constants!$B$20:$B$40,0.35)) * XLOOKUP(C6, Constants!$A:$A, Constants!$F:$F, 0)))</f>
        <v/>
      </c>
      <c r="M6" s="6">
        <f>IF(OR(A6="",C6=""),"", J6+K6+L6)</f>
        <v/>
      </c>
      <c r="N6" s="6">
        <f>IF(OR(A6="",C6=""),"", M6/60)</f>
        <v/>
      </c>
      <c r="O6" s="6">
        <f>IF(OR(A6="",C6=""),"", N6*(IF(XLOOKUP('Job Control'!$B$3, INPUT_JobSettings!$A:$A, INPUT_JobSettings!$F:$F, "")&lt;&gt;"", XLOOKUP('Job Control'!$B$3, INPUT_JobSettings!$A:$A, INPUT_JobSettings!$F:$F, ""), Summary!$B$4)))</f>
        <v/>
      </c>
      <c r="P6" s="6">
        <f>IF(OR(A6="",C6=""),"", 0)</f>
        <v/>
      </c>
      <c r="Q6" s="6">
        <f>IF(OR(A6="",C6=""),"", (O6+P6)*(IF(XLOOKUP('Job Control'!$B$3, INPUT_JobSettings!$A:$A, INPUT_JobSettings!$G:$G, "")&lt;&gt;"", XLOOKUP('Job Control'!$B$3, INPUT_JobSettings!$A:$A, INPUT_JobSettings!$G:$G, ""), Summary!$B$5)))</f>
        <v/>
      </c>
    </row>
    <row r="7">
      <c r="A7" s="8" t="n"/>
      <c r="B7" s="8" t="n"/>
      <c r="C7" s="8" t="n"/>
      <c r="D7" s="8" t="n"/>
      <c r="E7" s="8" t="n"/>
      <c r="F7" s="8" t="n"/>
      <c r="G7" s="8" t="n"/>
      <c r="H7" s="8" t="n"/>
      <c r="I7" s="6">
        <f>IF(OR(A7="",C7=""),"", XLOOKUP(C7, Constants!$A:$A, Constants!$C:$C, ""))</f>
        <v/>
      </c>
      <c r="J7" s="6">
        <f>IF(OR(A7="",C7=""),"", D7 * (IF(G7="", 1, XLOOKUP(G7, Constants!$E$10:$E$30, Constants!$F$10:$F$30, 1))) * XLOOKUP(C7, Constants!$A:$A, Constants!$D:$D, 0))</f>
        <v/>
      </c>
      <c r="K7" s="6">
        <f>IF(OR(A7="",C7=""),"", D7 * F7 * XLOOKUP(C7, Constants!$A:$A, Constants!$E:$E, 0))</f>
        <v/>
      </c>
      <c r="L7" s="6">
        <f>IF(OR(A7="",C7=""),"", IF(E7="None",0, D7 * IF(E7="Full",1,XLOOKUP("PrimerSpotFactor",Constants!$A$20:$A$40,Constants!$B$20:$B$40,0.35)) * XLOOKUP(C7, Constants!$A:$A, Constants!$F:$F, 0)))</f>
        <v/>
      </c>
      <c r="M7" s="6">
        <f>IF(OR(A7="",C7=""),"", J7+K7+L7)</f>
        <v/>
      </c>
      <c r="N7" s="6">
        <f>IF(OR(A7="",C7=""),"", M7/60)</f>
        <v/>
      </c>
      <c r="O7" s="6">
        <f>IF(OR(A7="",C7=""),"", N7*(IF(XLOOKUP('Job Control'!$B$3, INPUT_JobSettings!$A:$A, INPUT_JobSettings!$F:$F, "")&lt;&gt;"", XLOOKUP('Job Control'!$B$3, INPUT_JobSettings!$A:$A, INPUT_JobSettings!$F:$F, ""), Summary!$B$4)))</f>
        <v/>
      </c>
      <c r="P7" s="6">
        <f>IF(OR(A7="",C7=""),"", 0)</f>
        <v/>
      </c>
      <c r="Q7" s="6">
        <f>IF(OR(A7="",C7=""),"", (O7+P7)*(IF(XLOOKUP('Job Control'!$B$3, INPUT_JobSettings!$A:$A, INPUT_JobSettings!$G:$G, "")&lt;&gt;"", XLOOKUP('Job Control'!$B$3, INPUT_JobSettings!$A:$A, INPUT_JobSettings!$G:$G, ""), Summary!$B$5)))</f>
        <v/>
      </c>
    </row>
    <row r="8">
      <c r="A8" s="8" t="n"/>
      <c r="B8" s="8" t="n"/>
      <c r="C8" s="8" t="n"/>
      <c r="D8" s="8" t="n"/>
      <c r="E8" s="8" t="n"/>
      <c r="F8" s="8" t="n"/>
      <c r="G8" s="8" t="n"/>
      <c r="H8" s="8" t="n"/>
      <c r="I8" s="6">
        <f>IF(OR(A8="",C8=""),"", XLOOKUP(C8, Constants!$A:$A, Constants!$C:$C, ""))</f>
        <v/>
      </c>
      <c r="J8" s="6">
        <f>IF(OR(A8="",C8=""),"", D8 * (IF(G8="", 1, XLOOKUP(G8, Constants!$E$10:$E$30, Constants!$F$10:$F$30, 1))) * XLOOKUP(C8, Constants!$A:$A, Constants!$D:$D, 0))</f>
        <v/>
      </c>
      <c r="K8" s="6">
        <f>IF(OR(A8="",C8=""),"", D8 * F8 * XLOOKUP(C8, Constants!$A:$A, Constants!$E:$E, 0))</f>
        <v/>
      </c>
      <c r="L8" s="6">
        <f>IF(OR(A8="",C8=""),"", IF(E8="None",0, D8 * IF(E8="Full",1,XLOOKUP("PrimerSpotFactor",Constants!$A$20:$A$40,Constants!$B$20:$B$40,0.35)) * XLOOKUP(C8, Constants!$A:$A, Constants!$F:$F, 0)))</f>
        <v/>
      </c>
      <c r="M8" s="6">
        <f>IF(OR(A8="",C8=""),"", J8+K8+L8)</f>
        <v/>
      </c>
      <c r="N8" s="6">
        <f>IF(OR(A8="",C8=""),"", M8/60)</f>
        <v/>
      </c>
      <c r="O8" s="6">
        <f>IF(OR(A8="",C8=""),"", N8*(IF(XLOOKUP('Job Control'!$B$3, INPUT_JobSettings!$A:$A, INPUT_JobSettings!$F:$F, "")&lt;&gt;"", XLOOKUP('Job Control'!$B$3, INPUT_JobSettings!$A:$A, INPUT_JobSettings!$F:$F, ""), Summary!$B$4)))</f>
        <v/>
      </c>
      <c r="P8" s="6">
        <f>IF(OR(A8="",C8=""),"", 0)</f>
        <v/>
      </c>
      <c r="Q8" s="6">
        <f>IF(OR(A8="",C8=""),"", (O8+P8)*(IF(XLOOKUP('Job Control'!$B$3, INPUT_JobSettings!$A:$A, INPUT_JobSettings!$G:$G, "")&lt;&gt;"", XLOOKUP('Job Control'!$B$3, INPUT_JobSettings!$A:$A, INPUT_JobSettings!$G:$G, ""), Summary!$B$5)))</f>
        <v/>
      </c>
    </row>
    <row r="9">
      <c r="A9" s="8" t="n"/>
      <c r="B9" s="8" t="n"/>
      <c r="C9" s="8" t="n"/>
      <c r="D9" s="8" t="n"/>
      <c r="E9" s="8" t="n"/>
      <c r="F9" s="8" t="n"/>
      <c r="G9" s="8" t="n"/>
      <c r="H9" s="8" t="n"/>
      <c r="I9" s="6">
        <f>IF(OR(A9="",C9=""),"", XLOOKUP(C9, Constants!$A:$A, Constants!$C:$C, ""))</f>
        <v/>
      </c>
      <c r="J9" s="6">
        <f>IF(OR(A9="",C9=""),"", D9 * (IF(G9="", 1, XLOOKUP(G9, Constants!$E$10:$E$30, Constants!$F$10:$F$30, 1))) * XLOOKUP(C9, Constants!$A:$A, Constants!$D:$D, 0))</f>
        <v/>
      </c>
      <c r="K9" s="6">
        <f>IF(OR(A9="",C9=""),"", D9 * F9 * XLOOKUP(C9, Constants!$A:$A, Constants!$E:$E, 0))</f>
        <v/>
      </c>
      <c r="L9" s="6">
        <f>IF(OR(A9="",C9=""),"", IF(E9="None",0, D9 * IF(E9="Full",1,XLOOKUP("PrimerSpotFactor",Constants!$A$20:$A$40,Constants!$B$20:$B$40,0.35)) * XLOOKUP(C9, Constants!$A:$A, Constants!$F:$F, 0)))</f>
        <v/>
      </c>
      <c r="M9" s="6">
        <f>IF(OR(A9="",C9=""),"", J9+K9+L9)</f>
        <v/>
      </c>
      <c r="N9" s="6">
        <f>IF(OR(A9="",C9=""),"", M9/60)</f>
        <v/>
      </c>
      <c r="O9" s="6">
        <f>IF(OR(A9="",C9=""),"", N9*(IF(XLOOKUP('Job Control'!$B$3, INPUT_JobSettings!$A:$A, INPUT_JobSettings!$F:$F, "")&lt;&gt;"", XLOOKUP('Job Control'!$B$3, INPUT_JobSettings!$A:$A, INPUT_JobSettings!$F:$F, ""), Summary!$B$4)))</f>
        <v/>
      </c>
      <c r="P9" s="6">
        <f>IF(OR(A9="",C9=""),"", 0)</f>
        <v/>
      </c>
      <c r="Q9" s="6">
        <f>IF(OR(A9="",C9=""),"", (O9+P9)*(IF(XLOOKUP('Job Control'!$B$3, INPUT_JobSettings!$A:$A, INPUT_JobSettings!$G:$G, "")&lt;&gt;"", XLOOKUP('Job Control'!$B$3, INPUT_JobSettings!$A:$A, INPUT_JobSettings!$G:$G, ""), Summary!$B$5)))</f>
        <v/>
      </c>
    </row>
    <row r="10">
      <c r="A10" s="8" t="n"/>
      <c r="B10" s="8" t="n"/>
      <c r="C10" s="8" t="n"/>
      <c r="D10" s="8" t="n"/>
      <c r="E10" s="8" t="n"/>
      <c r="F10" s="8" t="n"/>
      <c r="G10" s="8" t="n"/>
      <c r="H10" s="8" t="n"/>
      <c r="I10" s="6">
        <f>IF(OR(A10="",C10=""),"", XLOOKUP(C10, Constants!$A:$A, Constants!$C:$C, ""))</f>
        <v/>
      </c>
      <c r="J10" s="6">
        <f>IF(OR(A10="",C10=""),"", D10 * (IF(G10="", 1, XLOOKUP(G10, Constants!$E$10:$E$30, Constants!$F$10:$F$30, 1))) * XLOOKUP(C10, Constants!$A:$A, Constants!$D:$D, 0))</f>
        <v/>
      </c>
      <c r="K10" s="6">
        <f>IF(OR(A10="",C10=""),"", D10 * F10 * XLOOKUP(C10, Constants!$A:$A, Constants!$E:$E, 0))</f>
        <v/>
      </c>
      <c r="L10" s="6">
        <f>IF(OR(A10="",C10=""),"", IF(E10="None",0, D10 * IF(E10="Full",1,XLOOKUP("PrimerSpotFactor",Constants!$A$20:$A$40,Constants!$B$20:$B$40,0.35)) * XLOOKUP(C10, Constants!$A:$A, Constants!$F:$F, 0)))</f>
        <v/>
      </c>
      <c r="M10" s="6">
        <f>IF(OR(A10="",C10=""),"", J10+K10+L10)</f>
        <v/>
      </c>
      <c r="N10" s="6">
        <f>IF(OR(A10="",C10=""),"", M10/60)</f>
        <v/>
      </c>
      <c r="O10" s="6">
        <f>IF(OR(A10="",C10=""),"", N10*(IF(XLOOKUP('Job Control'!$B$3, INPUT_JobSettings!$A:$A, INPUT_JobSettings!$F:$F, "")&lt;&gt;"", XLOOKUP('Job Control'!$B$3, INPUT_JobSettings!$A:$A, INPUT_JobSettings!$F:$F, ""), Summary!$B$4)))</f>
        <v/>
      </c>
      <c r="P10" s="6">
        <f>IF(OR(A10="",C10=""),"", 0)</f>
        <v/>
      </c>
      <c r="Q10" s="6">
        <f>IF(OR(A10="",C10=""),"", (O10+P10)*(IF(XLOOKUP('Job Control'!$B$3, INPUT_JobSettings!$A:$A, INPUT_JobSettings!$G:$G, "")&lt;&gt;"", XLOOKUP('Job Control'!$B$3, INPUT_JobSettings!$A:$A, INPUT_JobSettings!$G:$G, ""), Summary!$B$5)))</f>
        <v/>
      </c>
    </row>
    <row r="11">
      <c r="A11" s="8" t="n"/>
      <c r="B11" s="8" t="n"/>
      <c r="C11" s="8" t="n"/>
      <c r="D11" s="8" t="n"/>
      <c r="E11" s="8" t="n"/>
      <c r="F11" s="8" t="n"/>
      <c r="G11" s="8" t="n"/>
      <c r="H11" s="8" t="n"/>
      <c r="I11" s="6">
        <f>IF(OR(A11="",C11=""),"", XLOOKUP(C11, Constants!$A:$A, Constants!$C:$C, ""))</f>
        <v/>
      </c>
      <c r="J11" s="6">
        <f>IF(OR(A11="",C11=""),"", D11 * (IF(G11="", 1, XLOOKUP(G11, Constants!$E$10:$E$30, Constants!$F$10:$F$30, 1))) * XLOOKUP(C11, Constants!$A:$A, Constants!$D:$D, 0))</f>
        <v/>
      </c>
      <c r="K11" s="6">
        <f>IF(OR(A11="",C11=""),"", D11 * F11 * XLOOKUP(C11, Constants!$A:$A, Constants!$E:$E, 0))</f>
        <v/>
      </c>
      <c r="L11" s="6">
        <f>IF(OR(A11="",C11=""),"", IF(E11="None",0, D11 * IF(E11="Full",1,XLOOKUP("PrimerSpotFactor",Constants!$A$20:$A$40,Constants!$B$20:$B$40,0.35)) * XLOOKUP(C11, Constants!$A:$A, Constants!$F:$F, 0)))</f>
        <v/>
      </c>
      <c r="M11" s="6">
        <f>IF(OR(A11="",C11=""),"", J11+K11+L11)</f>
        <v/>
      </c>
      <c r="N11" s="6">
        <f>IF(OR(A11="",C11=""),"", M11/60)</f>
        <v/>
      </c>
      <c r="O11" s="6">
        <f>IF(OR(A11="",C11=""),"", N11*(IF(XLOOKUP('Job Control'!$B$3, INPUT_JobSettings!$A:$A, INPUT_JobSettings!$F:$F, "")&lt;&gt;"", XLOOKUP('Job Control'!$B$3, INPUT_JobSettings!$A:$A, INPUT_JobSettings!$F:$F, ""), Summary!$B$4)))</f>
        <v/>
      </c>
      <c r="P11" s="6">
        <f>IF(OR(A11="",C11=""),"", 0)</f>
        <v/>
      </c>
      <c r="Q11" s="6">
        <f>IF(OR(A11="",C11=""),"", (O11+P11)*(IF(XLOOKUP('Job Control'!$B$3, INPUT_JobSettings!$A:$A, INPUT_JobSettings!$G:$G, "")&lt;&gt;"", XLOOKUP('Job Control'!$B$3, INPUT_JobSettings!$A:$A, INPUT_JobSettings!$G:$G, ""), Summary!$B$5)))</f>
        <v/>
      </c>
    </row>
    <row r="12">
      <c r="A12" s="8" t="n"/>
      <c r="B12" s="8" t="n"/>
      <c r="C12" s="8" t="n"/>
      <c r="D12" s="8" t="n"/>
      <c r="E12" s="8" t="n"/>
      <c r="F12" s="8" t="n"/>
      <c r="G12" s="8" t="n"/>
      <c r="H12" s="8" t="n"/>
      <c r="I12" s="6">
        <f>IF(OR(A12="",C12=""),"", XLOOKUP(C12, Constants!$A:$A, Constants!$C:$C, ""))</f>
        <v/>
      </c>
      <c r="J12" s="6">
        <f>IF(OR(A12="",C12=""),"", D12 * (IF(G12="", 1, XLOOKUP(G12, Constants!$E$10:$E$30, Constants!$F$10:$F$30, 1))) * XLOOKUP(C12, Constants!$A:$A, Constants!$D:$D, 0))</f>
        <v/>
      </c>
      <c r="K12" s="6">
        <f>IF(OR(A12="",C12=""),"", D12 * F12 * XLOOKUP(C12, Constants!$A:$A, Constants!$E:$E, 0))</f>
        <v/>
      </c>
      <c r="L12" s="6">
        <f>IF(OR(A12="",C12=""),"", IF(E12="None",0, D12 * IF(E12="Full",1,XLOOKUP("PrimerSpotFactor",Constants!$A$20:$A$40,Constants!$B$20:$B$40,0.35)) * XLOOKUP(C12, Constants!$A:$A, Constants!$F:$F, 0)))</f>
        <v/>
      </c>
      <c r="M12" s="6">
        <f>IF(OR(A12="",C12=""),"", J12+K12+L12)</f>
        <v/>
      </c>
      <c r="N12" s="6">
        <f>IF(OR(A12="",C12=""),"", M12/60)</f>
        <v/>
      </c>
      <c r="O12" s="6">
        <f>IF(OR(A12="",C12=""),"", N12*(IF(XLOOKUP('Job Control'!$B$3, INPUT_JobSettings!$A:$A, INPUT_JobSettings!$F:$F, "")&lt;&gt;"", XLOOKUP('Job Control'!$B$3, INPUT_JobSettings!$A:$A, INPUT_JobSettings!$F:$F, ""), Summary!$B$4)))</f>
        <v/>
      </c>
      <c r="P12" s="6">
        <f>IF(OR(A12="",C12=""),"", 0)</f>
        <v/>
      </c>
      <c r="Q12" s="6">
        <f>IF(OR(A12="",C12=""),"", (O12+P12)*(IF(XLOOKUP('Job Control'!$B$3, INPUT_JobSettings!$A:$A, INPUT_JobSettings!$G:$G, "")&lt;&gt;"", XLOOKUP('Job Control'!$B$3, INPUT_JobSettings!$A:$A, INPUT_JobSettings!$G:$G, ""), Summary!$B$5)))</f>
        <v/>
      </c>
    </row>
    <row r="13">
      <c r="A13" s="8" t="n"/>
      <c r="B13" s="8" t="n"/>
      <c r="C13" s="8" t="n"/>
      <c r="D13" s="8" t="n"/>
      <c r="E13" s="8" t="n"/>
      <c r="F13" s="8" t="n"/>
      <c r="G13" s="8" t="n"/>
      <c r="H13" s="8" t="n"/>
      <c r="I13" s="6">
        <f>IF(OR(A13="",C13=""),"", XLOOKUP(C13, Constants!$A:$A, Constants!$C:$C, ""))</f>
        <v/>
      </c>
      <c r="J13" s="6">
        <f>IF(OR(A13="",C13=""),"", D13 * (IF(G13="", 1, XLOOKUP(G13, Constants!$E$10:$E$30, Constants!$F$10:$F$30, 1))) * XLOOKUP(C13, Constants!$A:$A, Constants!$D:$D, 0))</f>
        <v/>
      </c>
      <c r="K13" s="6">
        <f>IF(OR(A13="",C13=""),"", D13 * F13 * XLOOKUP(C13, Constants!$A:$A, Constants!$E:$E, 0))</f>
        <v/>
      </c>
      <c r="L13" s="6">
        <f>IF(OR(A13="",C13=""),"", IF(E13="None",0, D13 * IF(E13="Full",1,XLOOKUP("PrimerSpotFactor",Constants!$A$20:$A$40,Constants!$B$20:$B$40,0.35)) * XLOOKUP(C13, Constants!$A:$A, Constants!$F:$F, 0)))</f>
        <v/>
      </c>
      <c r="M13" s="6">
        <f>IF(OR(A13="",C13=""),"", J13+K13+L13)</f>
        <v/>
      </c>
      <c r="N13" s="6">
        <f>IF(OR(A13="",C13=""),"", M13/60)</f>
        <v/>
      </c>
      <c r="O13" s="6">
        <f>IF(OR(A13="",C13=""),"", N13*(IF(XLOOKUP('Job Control'!$B$3, INPUT_JobSettings!$A:$A, INPUT_JobSettings!$F:$F, "")&lt;&gt;"", XLOOKUP('Job Control'!$B$3, INPUT_JobSettings!$A:$A, INPUT_JobSettings!$F:$F, ""), Summary!$B$4)))</f>
        <v/>
      </c>
      <c r="P13" s="6">
        <f>IF(OR(A13="",C13=""),"", 0)</f>
        <v/>
      </c>
      <c r="Q13" s="6">
        <f>IF(OR(A13="",C13=""),"", (O13+P13)*(IF(XLOOKUP('Job Control'!$B$3, INPUT_JobSettings!$A:$A, INPUT_JobSettings!$G:$G, "")&lt;&gt;"", XLOOKUP('Job Control'!$B$3, INPUT_JobSettings!$A:$A, INPUT_JobSettings!$G:$G, ""), Summary!$B$5)))</f>
        <v/>
      </c>
    </row>
    <row r="14">
      <c r="A14" s="8" t="n"/>
      <c r="B14" s="8" t="n"/>
      <c r="C14" s="8" t="n"/>
      <c r="D14" s="8" t="n"/>
      <c r="E14" s="8" t="n"/>
      <c r="F14" s="8" t="n"/>
      <c r="G14" s="8" t="n"/>
      <c r="H14" s="8" t="n"/>
      <c r="I14" s="6">
        <f>IF(OR(A14="",C14=""),"", XLOOKUP(C14, Constants!$A:$A, Constants!$C:$C, ""))</f>
        <v/>
      </c>
      <c r="J14" s="6">
        <f>IF(OR(A14="",C14=""),"", D14 * (IF(G14="", 1, XLOOKUP(G14, Constants!$E$10:$E$30, Constants!$F$10:$F$30, 1))) * XLOOKUP(C14, Constants!$A:$A, Constants!$D:$D, 0))</f>
        <v/>
      </c>
      <c r="K14" s="6">
        <f>IF(OR(A14="",C14=""),"", D14 * F14 * XLOOKUP(C14, Constants!$A:$A, Constants!$E:$E, 0))</f>
        <v/>
      </c>
      <c r="L14" s="6">
        <f>IF(OR(A14="",C14=""),"", IF(E14="None",0, D14 * IF(E14="Full",1,XLOOKUP("PrimerSpotFactor",Constants!$A$20:$A$40,Constants!$B$20:$B$40,0.35)) * XLOOKUP(C14, Constants!$A:$A, Constants!$F:$F, 0)))</f>
        <v/>
      </c>
      <c r="M14" s="6">
        <f>IF(OR(A14="",C14=""),"", J14+K14+L14)</f>
        <v/>
      </c>
      <c r="N14" s="6">
        <f>IF(OR(A14="",C14=""),"", M14/60)</f>
        <v/>
      </c>
      <c r="O14" s="6">
        <f>IF(OR(A14="",C14=""),"", N14*(IF(XLOOKUP('Job Control'!$B$3, INPUT_JobSettings!$A:$A, INPUT_JobSettings!$F:$F, "")&lt;&gt;"", XLOOKUP('Job Control'!$B$3, INPUT_JobSettings!$A:$A, INPUT_JobSettings!$F:$F, ""), Summary!$B$4)))</f>
        <v/>
      </c>
      <c r="P14" s="6">
        <f>IF(OR(A14="",C14=""),"", 0)</f>
        <v/>
      </c>
      <c r="Q14" s="6">
        <f>IF(OR(A14="",C14=""),"", (O14+P14)*(IF(XLOOKUP('Job Control'!$B$3, INPUT_JobSettings!$A:$A, INPUT_JobSettings!$G:$G, "")&lt;&gt;"", XLOOKUP('Job Control'!$B$3, INPUT_JobSettings!$A:$A, INPUT_JobSettings!$G:$G, ""), Summary!$B$5)))</f>
        <v/>
      </c>
    </row>
    <row r="15">
      <c r="A15" s="8" t="n"/>
      <c r="B15" s="8" t="n"/>
      <c r="C15" s="8" t="n"/>
      <c r="D15" s="8" t="n"/>
      <c r="E15" s="8" t="n"/>
      <c r="F15" s="8" t="n"/>
      <c r="G15" s="8" t="n"/>
      <c r="H15" s="8" t="n"/>
      <c r="I15" s="6">
        <f>IF(OR(A15="",C15=""),"", XLOOKUP(C15, Constants!$A:$A, Constants!$C:$C, ""))</f>
        <v/>
      </c>
      <c r="J15" s="6">
        <f>IF(OR(A15="",C15=""),"", D15 * (IF(G15="", 1, XLOOKUP(G15, Constants!$E$10:$E$30, Constants!$F$10:$F$30, 1))) * XLOOKUP(C15, Constants!$A:$A, Constants!$D:$D, 0))</f>
        <v/>
      </c>
      <c r="K15" s="6">
        <f>IF(OR(A15="",C15=""),"", D15 * F15 * XLOOKUP(C15, Constants!$A:$A, Constants!$E:$E, 0))</f>
        <v/>
      </c>
      <c r="L15" s="6">
        <f>IF(OR(A15="",C15=""),"", IF(E15="None",0, D15 * IF(E15="Full",1,XLOOKUP("PrimerSpotFactor",Constants!$A$20:$A$40,Constants!$B$20:$B$40,0.35)) * XLOOKUP(C15, Constants!$A:$A, Constants!$F:$F, 0)))</f>
        <v/>
      </c>
      <c r="M15" s="6">
        <f>IF(OR(A15="",C15=""),"", J15+K15+L15)</f>
        <v/>
      </c>
      <c r="N15" s="6">
        <f>IF(OR(A15="",C15=""),"", M15/60)</f>
        <v/>
      </c>
      <c r="O15" s="6">
        <f>IF(OR(A15="",C15=""),"", N15*(IF(XLOOKUP('Job Control'!$B$3, INPUT_JobSettings!$A:$A, INPUT_JobSettings!$F:$F, "")&lt;&gt;"", XLOOKUP('Job Control'!$B$3, INPUT_JobSettings!$A:$A, INPUT_JobSettings!$F:$F, ""), Summary!$B$4)))</f>
        <v/>
      </c>
      <c r="P15" s="6">
        <f>IF(OR(A15="",C15=""),"", 0)</f>
        <v/>
      </c>
      <c r="Q15" s="6">
        <f>IF(OR(A15="",C15=""),"", (O15+P15)*(IF(XLOOKUP('Job Control'!$B$3, INPUT_JobSettings!$A:$A, INPUT_JobSettings!$G:$G, "")&lt;&gt;"", XLOOKUP('Job Control'!$B$3, INPUT_JobSettings!$A:$A, INPUT_JobSettings!$G:$G, ""), Summary!$B$5)))</f>
        <v/>
      </c>
    </row>
    <row r="16">
      <c r="A16" s="8" t="n"/>
      <c r="B16" s="8" t="n"/>
      <c r="C16" s="8" t="n"/>
      <c r="D16" s="8" t="n"/>
      <c r="E16" s="8" t="n"/>
      <c r="F16" s="8" t="n"/>
      <c r="G16" s="8" t="n"/>
      <c r="H16" s="8" t="n"/>
      <c r="I16" s="6">
        <f>IF(OR(A16="",C16=""),"", XLOOKUP(C16, Constants!$A:$A, Constants!$C:$C, ""))</f>
        <v/>
      </c>
      <c r="J16" s="6">
        <f>IF(OR(A16="",C16=""),"", D16 * (IF(G16="", 1, XLOOKUP(G16, Constants!$E$10:$E$30, Constants!$F$10:$F$30, 1))) * XLOOKUP(C16, Constants!$A:$A, Constants!$D:$D, 0))</f>
        <v/>
      </c>
      <c r="K16" s="6">
        <f>IF(OR(A16="",C16=""),"", D16 * F16 * XLOOKUP(C16, Constants!$A:$A, Constants!$E:$E, 0))</f>
        <v/>
      </c>
      <c r="L16" s="6">
        <f>IF(OR(A16="",C16=""),"", IF(E16="None",0, D16 * IF(E16="Full",1,XLOOKUP("PrimerSpotFactor",Constants!$A$20:$A$40,Constants!$B$20:$B$40,0.35)) * XLOOKUP(C16, Constants!$A:$A, Constants!$F:$F, 0)))</f>
        <v/>
      </c>
      <c r="M16" s="6">
        <f>IF(OR(A16="",C16=""),"", J16+K16+L16)</f>
        <v/>
      </c>
      <c r="N16" s="6">
        <f>IF(OR(A16="",C16=""),"", M16/60)</f>
        <v/>
      </c>
      <c r="O16" s="6">
        <f>IF(OR(A16="",C16=""),"", N16*(IF(XLOOKUP('Job Control'!$B$3, INPUT_JobSettings!$A:$A, INPUT_JobSettings!$F:$F, "")&lt;&gt;"", XLOOKUP('Job Control'!$B$3, INPUT_JobSettings!$A:$A, INPUT_JobSettings!$F:$F, ""), Summary!$B$4)))</f>
        <v/>
      </c>
      <c r="P16" s="6">
        <f>IF(OR(A16="",C16=""),"", 0)</f>
        <v/>
      </c>
      <c r="Q16" s="6">
        <f>IF(OR(A16="",C16=""),"", (O16+P16)*(IF(XLOOKUP('Job Control'!$B$3, INPUT_JobSettings!$A:$A, INPUT_JobSettings!$G:$G, "")&lt;&gt;"", XLOOKUP('Job Control'!$B$3, INPUT_JobSettings!$A:$A, INPUT_JobSettings!$G:$G, ""), Summary!$B$5)))</f>
        <v/>
      </c>
    </row>
    <row r="17">
      <c r="A17" s="8" t="n"/>
      <c r="B17" s="8" t="n"/>
      <c r="C17" s="8" t="n"/>
      <c r="D17" s="8" t="n"/>
      <c r="E17" s="8" t="n"/>
      <c r="F17" s="8" t="n"/>
      <c r="G17" s="8" t="n"/>
      <c r="H17" s="8" t="n"/>
      <c r="I17" s="6">
        <f>IF(OR(A17="",C17=""),"", XLOOKUP(C17, Constants!$A:$A, Constants!$C:$C, ""))</f>
        <v/>
      </c>
      <c r="J17" s="6">
        <f>IF(OR(A17="",C17=""),"", D17 * (IF(G17="", 1, XLOOKUP(G17, Constants!$E$10:$E$30, Constants!$F$10:$F$30, 1))) * XLOOKUP(C17, Constants!$A:$A, Constants!$D:$D, 0))</f>
        <v/>
      </c>
      <c r="K17" s="6">
        <f>IF(OR(A17="",C17=""),"", D17 * F17 * XLOOKUP(C17, Constants!$A:$A, Constants!$E:$E, 0))</f>
        <v/>
      </c>
      <c r="L17" s="6">
        <f>IF(OR(A17="",C17=""),"", IF(E17="None",0, D17 * IF(E17="Full",1,XLOOKUP("PrimerSpotFactor",Constants!$A$20:$A$40,Constants!$B$20:$B$40,0.35)) * XLOOKUP(C17, Constants!$A:$A, Constants!$F:$F, 0)))</f>
        <v/>
      </c>
      <c r="M17" s="6">
        <f>IF(OR(A17="",C17=""),"", J17+K17+L17)</f>
        <v/>
      </c>
      <c r="N17" s="6">
        <f>IF(OR(A17="",C17=""),"", M17/60)</f>
        <v/>
      </c>
      <c r="O17" s="6">
        <f>IF(OR(A17="",C17=""),"", N17*(IF(XLOOKUP('Job Control'!$B$3, INPUT_JobSettings!$A:$A, INPUT_JobSettings!$F:$F, "")&lt;&gt;"", XLOOKUP('Job Control'!$B$3, INPUT_JobSettings!$A:$A, INPUT_JobSettings!$F:$F, ""), Summary!$B$4)))</f>
        <v/>
      </c>
      <c r="P17" s="6">
        <f>IF(OR(A17="",C17=""),"", 0)</f>
        <v/>
      </c>
      <c r="Q17" s="6">
        <f>IF(OR(A17="",C17=""),"", (O17+P17)*(IF(XLOOKUP('Job Control'!$B$3, INPUT_JobSettings!$A:$A, INPUT_JobSettings!$G:$G, "")&lt;&gt;"", XLOOKUP('Job Control'!$B$3, INPUT_JobSettings!$A:$A, INPUT_JobSettings!$G:$G, ""), Summary!$B$5)))</f>
        <v/>
      </c>
    </row>
    <row r="18">
      <c r="A18" s="8" t="n"/>
      <c r="B18" s="8" t="n"/>
      <c r="C18" s="8" t="n"/>
      <c r="D18" s="8" t="n"/>
      <c r="E18" s="8" t="n"/>
      <c r="F18" s="8" t="n"/>
      <c r="G18" s="8" t="n"/>
      <c r="H18" s="8" t="n"/>
      <c r="I18" s="6">
        <f>IF(OR(A18="",C18=""),"", XLOOKUP(C18, Constants!$A:$A, Constants!$C:$C, ""))</f>
        <v/>
      </c>
      <c r="J18" s="6">
        <f>IF(OR(A18="",C18=""),"", D18 * (IF(G18="", 1, XLOOKUP(G18, Constants!$E$10:$E$30, Constants!$F$10:$F$30, 1))) * XLOOKUP(C18, Constants!$A:$A, Constants!$D:$D, 0))</f>
        <v/>
      </c>
      <c r="K18" s="6">
        <f>IF(OR(A18="",C18=""),"", D18 * F18 * XLOOKUP(C18, Constants!$A:$A, Constants!$E:$E, 0))</f>
        <v/>
      </c>
      <c r="L18" s="6">
        <f>IF(OR(A18="",C18=""),"", IF(E18="None",0, D18 * IF(E18="Full",1,XLOOKUP("PrimerSpotFactor",Constants!$A$20:$A$40,Constants!$B$20:$B$40,0.35)) * XLOOKUP(C18, Constants!$A:$A, Constants!$F:$F, 0)))</f>
        <v/>
      </c>
      <c r="M18" s="6">
        <f>IF(OR(A18="",C18=""),"", J18+K18+L18)</f>
        <v/>
      </c>
      <c r="N18" s="6">
        <f>IF(OR(A18="",C18=""),"", M18/60)</f>
        <v/>
      </c>
      <c r="O18" s="6">
        <f>IF(OR(A18="",C18=""),"", N18*(IF(XLOOKUP('Job Control'!$B$3, INPUT_JobSettings!$A:$A, INPUT_JobSettings!$F:$F, "")&lt;&gt;"", XLOOKUP('Job Control'!$B$3, INPUT_JobSettings!$A:$A, INPUT_JobSettings!$F:$F, ""), Summary!$B$4)))</f>
        <v/>
      </c>
      <c r="P18" s="6">
        <f>IF(OR(A18="",C18=""),"", 0)</f>
        <v/>
      </c>
      <c r="Q18" s="6">
        <f>IF(OR(A18="",C18=""),"", (O18+P18)*(IF(XLOOKUP('Job Control'!$B$3, INPUT_JobSettings!$A:$A, INPUT_JobSettings!$G:$G, "")&lt;&gt;"", XLOOKUP('Job Control'!$B$3, INPUT_JobSettings!$A:$A, INPUT_JobSettings!$G:$G, ""), Summary!$B$5)))</f>
        <v/>
      </c>
    </row>
    <row r="19">
      <c r="A19" s="8" t="n"/>
      <c r="B19" s="8" t="n"/>
      <c r="C19" s="8" t="n"/>
      <c r="D19" s="8" t="n"/>
      <c r="E19" s="8" t="n"/>
      <c r="F19" s="8" t="n"/>
      <c r="G19" s="8" t="n"/>
      <c r="H19" s="8" t="n"/>
      <c r="I19" s="6">
        <f>IF(OR(A19="",C19=""),"", XLOOKUP(C19, Constants!$A:$A, Constants!$C:$C, ""))</f>
        <v/>
      </c>
      <c r="J19" s="6">
        <f>IF(OR(A19="",C19=""),"", D19 * (IF(G19="", 1, XLOOKUP(G19, Constants!$E$10:$E$30, Constants!$F$10:$F$30, 1))) * XLOOKUP(C19, Constants!$A:$A, Constants!$D:$D, 0))</f>
        <v/>
      </c>
      <c r="K19" s="6">
        <f>IF(OR(A19="",C19=""),"", D19 * F19 * XLOOKUP(C19, Constants!$A:$A, Constants!$E:$E, 0))</f>
        <v/>
      </c>
      <c r="L19" s="6">
        <f>IF(OR(A19="",C19=""),"", IF(E19="None",0, D19 * IF(E19="Full",1,XLOOKUP("PrimerSpotFactor",Constants!$A$20:$A$40,Constants!$B$20:$B$40,0.35)) * XLOOKUP(C19, Constants!$A:$A, Constants!$F:$F, 0)))</f>
        <v/>
      </c>
      <c r="M19" s="6">
        <f>IF(OR(A19="",C19=""),"", J19+K19+L19)</f>
        <v/>
      </c>
      <c r="N19" s="6">
        <f>IF(OR(A19="",C19=""),"", M19/60)</f>
        <v/>
      </c>
      <c r="O19" s="6">
        <f>IF(OR(A19="",C19=""),"", N19*(IF(XLOOKUP('Job Control'!$B$3, INPUT_JobSettings!$A:$A, INPUT_JobSettings!$F:$F, "")&lt;&gt;"", XLOOKUP('Job Control'!$B$3, INPUT_JobSettings!$A:$A, INPUT_JobSettings!$F:$F, ""), Summary!$B$4)))</f>
        <v/>
      </c>
      <c r="P19" s="6">
        <f>IF(OR(A19="",C19=""),"", 0)</f>
        <v/>
      </c>
      <c r="Q19" s="6">
        <f>IF(OR(A19="",C19=""),"", (O19+P19)*(IF(XLOOKUP('Job Control'!$B$3, INPUT_JobSettings!$A:$A, INPUT_JobSettings!$G:$G, "")&lt;&gt;"", XLOOKUP('Job Control'!$B$3, INPUT_JobSettings!$A:$A, INPUT_JobSettings!$G:$G, ""), Summary!$B$5)))</f>
        <v/>
      </c>
    </row>
    <row r="20">
      <c r="A20" s="8" t="n"/>
      <c r="B20" s="8" t="n"/>
      <c r="C20" s="8" t="n"/>
      <c r="D20" s="8" t="n"/>
      <c r="E20" s="8" t="n"/>
      <c r="F20" s="8" t="n"/>
      <c r="G20" s="8" t="n"/>
      <c r="H20" s="8" t="n"/>
      <c r="I20" s="6">
        <f>IF(OR(A20="",C20=""),"", XLOOKUP(C20, Constants!$A:$A, Constants!$C:$C, ""))</f>
        <v/>
      </c>
      <c r="J20" s="6">
        <f>IF(OR(A20="",C20=""),"", D20 * (IF(G20="", 1, XLOOKUP(G20, Constants!$E$10:$E$30, Constants!$F$10:$F$30, 1))) * XLOOKUP(C20, Constants!$A:$A, Constants!$D:$D, 0))</f>
        <v/>
      </c>
      <c r="K20" s="6">
        <f>IF(OR(A20="",C20=""),"", D20 * F20 * XLOOKUP(C20, Constants!$A:$A, Constants!$E:$E, 0))</f>
        <v/>
      </c>
      <c r="L20" s="6">
        <f>IF(OR(A20="",C20=""),"", IF(E20="None",0, D20 * IF(E20="Full",1,XLOOKUP("PrimerSpotFactor",Constants!$A$20:$A$40,Constants!$B$20:$B$40,0.35)) * XLOOKUP(C20, Constants!$A:$A, Constants!$F:$F, 0)))</f>
        <v/>
      </c>
      <c r="M20" s="6">
        <f>IF(OR(A20="",C20=""),"", J20+K20+L20)</f>
        <v/>
      </c>
      <c r="N20" s="6">
        <f>IF(OR(A20="",C20=""),"", M20/60)</f>
        <v/>
      </c>
      <c r="O20" s="6">
        <f>IF(OR(A20="",C20=""),"", N20*(IF(XLOOKUP('Job Control'!$B$3, INPUT_JobSettings!$A:$A, INPUT_JobSettings!$F:$F, "")&lt;&gt;"", XLOOKUP('Job Control'!$B$3, INPUT_JobSettings!$A:$A, INPUT_JobSettings!$F:$F, ""), Summary!$B$4)))</f>
        <v/>
      </c>
      <c r="P20" s="6">
        <f>IF(OR(A20="",C20=""),"", 0)</f>
        <v/>
      </c>
      <c r="Q20" s="6">
        <f>IF(OR(A20="",C20=""),"", (O20+P20)*(IF(XLOOKUP('Job Control'!$B$3, INPUT_JobSettings!$A:$A, INPUT_JobSettings!$G:$G, "")&lt;&gt;"", XLOOKUP('Job Control'!$B$3, INPUT_JobSettings!$A:$A, INPUT_JobSettings!$G:$G, ""), Summary!$B$5)))</f>
        <v/>
      </c>
    </row>
    <row r="21">
      <c r="A21" s="8" t="n"/>
      <c r="B21" s="8" t="n"/>
      <c r="C21" s="8" t="n"/>
      <c r="D21" s="8" t="n"/>
      <c r="E21" s="8" t="n"/>
      <c r="F21" s="8" t="n"/>
      <c r="G21" s="8" t="n"/>
      <c r="H21" s="8" t="n"/>
      <c r="I21" s="6">
        <f>IF(OR(A21="",C21=""),"", XLOOKUP(C21, Constants!$A:$A, Constants!$C:$C, ""))</f>
        <v/>
      </c>
      <c r="J21" s="6">
        <f>IF(OR(A21="",C21=""),"", D21 * (IF(G21="", 1, XLOOKUP(G21, Constants!$E$10:$E$30, Constants!$F$10:$F$30, 1))) * XLOOKUP(C21, Constants!$A:$A, Constants!$D:$D, 0))</f>
        <v/>
      </c>
      <c r="K21" s="6">
        <f>IF(OR(A21="",C21=""),"", D21 * F21 * XLOOKUP(C21, Constants!$A:$A, Constants!$E:$E, 0))</f>
        <v/>
      </c>
      <c r="L21" s="6">
        <f>IF(OR(A21="",C21=""),"", IF(E21="None",0, D21 * IF(E21="Full",1,XLOOKUP("PrimerSpotFactor",Constants!$A$20:$A$40,Constants!$B$20:$B$40,0.35)) * XLOOKUP(C21, Constants!$A:$A, Constants!$F:$F, 0)))</f>
        <v/>
      </c>
      <c r="M21" s="6">
        <f>IF(OR(A21="",C21=""),"", J21+K21+L21)</f>
        <v/>
      </c>
      <c r="N21" s="6">
        <f>IF(OR(A21="",C21=""),"", M21/60)</f>
        <v/>
      </c>
      <c r="O21" s="6">
        <f>IF(OR(A21="",C21=""),"", N21*(IF(XLOOKUP('Job Control'!$B$3, INPUT_JobSettings!$A:$A, INPUT_JobSettings!$F:$F, "")&lt;&gt;"", XLOOKUP('Job Control'!$B$3, INPUT_JobSettings!$A:$A, INPUT_JobSettings!$F:$F, ""), Summary!$B$4)))</f>
        <v/>
      </c>
      <c r="P21" s="6">
        <f>IF(OR(A21="",C21=""),"", 0)</f>
        <v/>
      </c>
      <c r="Q21" s="6">
        <f>IF(OR(A21="",C21=""),"", (O21+P21)*(IF(XLOOKUP('Job Control'!$B$3, INPUT_JobSettings!$A:$A, INPUT_JobSettings!$G:$G, "")&lt;&gt;"", XLOOKUP('Job Control'!$B$3, INPUT_JobSettings!$A:$A, INPUT_JobSettings!$G:$G, ""), Summary!$B$5)))</f>
        <v/>
      </c>
    </row>
    <row r="22">
      <c r="A22" s="8" t="n"/>
      <c r="B22" s="8" t="n"/>
      <c r="C22" s="8" t="n"/>
      <c r="D22" s="8" t="n"/>
      <c r="E22" s="8" t="n"/>
      <c r="F22" s="8" t="n"/>
      <c r="G22" s="8" t="n"/>
      <c r="H22" s="8" t="n"/>
      <c r="I22" s="6">
        <f>IF(OR(A22="",C22=""),"", XLOOKUP(C22, Constants!$A:$A, Constants!$C:$C, ""))</f>
        <v/>
      </c>
      <c r="J22" s="6">
        <f>IF(OR(A22="",C22=""),"", D22 * (IF(G22="", 1, XLOOKUP(G22, Constants!$E$10:$E$30, Constants!$F$10:$F$30, 1))) * XLOOKUP(C22, Constants!$A:$A, Constants!$D:$D, 0))</f>
        <v/>
      </c>
      <c r="K22" s="6">
        <f>IF(OR(A22="",C22=""),"", D22 * F22 * XLOOKUP(C22, Constants!$A:$A, Constants!$E:$E, 0))</f>
        <v/>
      </c>
      <c r="L22" s="6">
        <f>IF(OR(A22="",C22=""),"", IF(E22="None",0, D22 * IF(E22="Full",1,XLOOKUP("PrimerSpotFactor",Constants!$A$20:$A$40,Constants!$B$20:$B$40,0.35)) * XLOOKUP(C22, Constants!$A:$A, Constants!$F:$F, 0)))</f>
        <v/>
      </c>
      <c r="M22" s="6">
        <f>IF(OR(A22="",C22=""),"", J22+K22+L22)</f>
        <v/>
      </c>
      <c r="N22" s="6">
        <f>IF(OR(A22="",C22=""),"", M22/60)</f>
        <v/>
      </c>
      <c r="O22" s="6">
        <f>IF(OR(A22="",C22=""),"", N22*(IF(XLOOKUP('Job Control'!$B$3, INPUT_JobSettings!$A:$A, INPUT_JobSettings!$F:$F, "")&lt;&gt;"", XLOOKUP('Job Control'!$B$3, INPUT_JobSettings!$A:$A, INPUT_JobSettings!$F:$F, ""), Summary!$B$4)))</f>
        <v/>
      </c>
      <c r="P22" s="6">
        <f>IF(OR(A22="",C22=""),"", 0)</f>
        <v/>
      </c>
      <c r="Q22" s="6">
        <f>IF(OR(A22="",C22=""),"", (O22+P22)*(IF(XLOOKUP('Job Control'!$B$3, INPUT_JobSettings!$A:$A, INPUT_JobSettings!$G:$G, "")&lt;&gt;"", XLOOKUP('Job Control'!$B$3, INPUT_JobSettings!$A:$A, INPUT_JobSettings!$G:$G, ""), Summary!$B$5)))</f>
        <v/>
      </c>
    </row>
    <row r="23">
      <c r="A23" s="8" t="n"/>
      <c r="B23" s="8" t="n"/>
      <c r="C23" s="8" t="n"/>
      <c r="D23" s="8" t="n"/>
      <c r="E23" s="8" t="n"/>
      <c r="F23" s="8" t="n"/>
      <c r="G23" s="8" t="n"/>
      <c r="H23" s="8" t="n"/>
      <c r="I23" s="6">
        <f>IF(OR(A23="",C23=""),"", XLOOKUP(C23, Constants!$A:$A, Constants!$C:$C, ""))</f>
        <v/>
      </c>
      <c r="J23" s="6">
        <f>IF(OR(A23="",C23=""),"", D23 * (IF(G23="", 1, XLOOKUP(G23, Constants!$E$10:$E$30, Constants!$F$10:$F$30, 1))) * XLOOKUP(C23, Constants!$A:$A, Constants!$D:$D, 0))</f>
        <v/>
      </c>
      <c r="K23" s="6">
        <f>IF(OR(A23="",C23=""),"", D23 * F23 * XLOOKUP(C23, Constants!$A:$A, Constants!$E:$E, 0))</f>
        <v/>
      </c>
      <c r="L23" s="6">
        <f>IF(OR(A23="",C23=""),"", IF(E23="None",0, D23 * IF(E23="Full",1,XLOOKUP("PrimerSpotFactor",Constants!$A$20:$A$40,Constants!$B$20:$B$40,0.35)) * XLOOKUP(C23, Constants!$A:$A, Constants!$F:$F, 0)))</f>
        <v/>
      </c>
      <c r="M23" s="6">
        <f>IF(OR(A23="",C23=""),"", J23+K23+L23)</f>
        <v/>
      </c>
      <c r="N23" s="6">
        <f>IF(OR(A23="",C23=""),"", M23/60)</f>
        <v/>
      </c>
      <c r="O23" s="6">
        <f>IF(OR(A23="",C23=""),"", N23*(IF(XLOOKUP('Job Control'!$B$3, INPUT_JobSettings!$A:$A, INPUT_JobSettings!$F:$F, "")&lt;&gt;"", XLOOKUP('Job Control'!$B$3, INPUT_JobSettings!$A:$A, INPUT_JobSettings!$F:$F, ""), Summary!$B$4)))</f>
        <v/>
      </c>
      <c r="P23" s="6">
        <f>IF(OR(A23="",C23=""),"", 0)</f>
        <v/>
      </c>
      <c r="Q23" s="6">
        <f>IF(OR(A23="",C23=""),"", (O23+P23)*(IF(XLOOKUP('Job Control'!$B$3, INPUT_JobSettings!$A:$A, INPUT_JobSettings!$G:$G, "")&lt;&gt;"", XLOOKUP('Job Control'!$B$3, INPUT_JobSettings!$A:$A, INPUT_JobSettings!$G:$G, ""), Summary!$B$5)))</f>
        <v/>
      </c>
    </row>
    <row r="24">
      <c r="A24" s="8" t="n"/>
      <c r="B24" s="8" t="n"/>
      <c r="C24" s="8" t="n"/>
      <c r="D24" s="8" t="n"/>
      <c r="E24" s="8" t="n"/>
      <c r="F24" s="8" t="n"/>
      <c r="G24" s="8" t="n"/>
      <c r="H24" s="8" t="n"/>
      <c r="I24" s="6">
        <f>IF(OR(A24="",C24=""),"", XLOOKUP(C24, Constants!$A:$A, Constants!$C:$C, ""))</f>
        <v/>
      </c>
      <c r="J24" s="6">
        <f>IF(OR(A24="",C24=""),"", D24 * (IF(G24="", 1, XLOOKUP(G24, Constants!$E$10:$E$30, Constants!$F$10:$F$30, 1))) * XLOOKUP(C24, Constants!$A:$A, Constants!$D:$D, 0))</f>
        <v/>
      </c>
      <c r="K24" s="6">
        <f>IF(OR(A24="",C24=""),"", D24 * F24 * XLOOKUP(C24, Constants!$A:$A, Constants!$E:$E, 0))</f>
        <v/>
      </c>
      <c r="L24" s="6">
        <f>IF(OR(A24="",C24=""),"", IF(E24="None",0, D24 * IF(E24="Full",1,XLOOKUP("PrimerSpotFactor",Constants!$A$20:$A$40,Constants!$B$20:$B$40,0.35)) * XLOOKUP(C24, Constants!$A:$A, Constants!$F:$F, 0)))</f>
        <v/>
      </c>
      <c r="M24" s="6">
        <f>IF(OR(A24="",C24=""),"", J24+K24+L24)</f>
        <v/>
      </c>
      <c r="N24" s="6">
        <f>IF(OR(A24="",C24=""),"", M24/60)</f>
        <v/>
      </c>
      <c r="O24" s="6">
        <f>IF(OR(A24="",C24=""),"", N24*(IF(XLOOKUP('Job Control'!$B$3, INPUT_JobSettings!$A:$A, INPUT_JobSettings!$F:$F, "")&lt;&gt;"", XLOOKUP('Job Control'!$B$3, INPUT_JobSettings!$A:$A, INPUT_JobSettings!$F:$F, ""), Summary!$B$4)))</f>
        <v/>
      </c>
      <c r="P24" s="6">
        <f>IF(OR(A24="",C24=""),"", 0)</f>
        <v/>
      </c>
      <c r="Q24" s="6">
        <f>IF(OR(A24="",C24=""),"", (O24+P24)*(IF(XLOOKUP('Job Control'!$B$3, INPUT_JobSettings!$A:$A, INPUT_JobSettings!$G:$G, "")&lt;&gt;"", XLOOKUP('Job Control'!$B$3, INPUT_JobSettings!$A:$A, INPUT_JobSettings!$G:$G, ""), Summary!$B$5)))</f>
        <v/>
      </c>
    </row>
    <row r="25">
      <c r="A25" s="8" t="n"/>
      <c r="B25" s="8" t="n"/>
      <c r="C25" s="8" t="n"/>
      <c r="D25" s="8" t="n"/>
      <c r="E25" s="8" t="n"/>
      <c r="F25" s="8" t="n"/>
      <c r="G25" s="8" t="n"/>
      <c r="H25" s="8" t="n"/>
      <c r="I25" s="6">
        <f>IF(OR(A25="",C25=""),"", XLOOKUP(C25, Constants!$A:$A, Constants!$C:$C, ""))</f>
        <v/>
      </c>
      <c r="J25" s="6">
        <f>IF(OR(A25="",C25=""),"", D25 * (IF(G25="", 1, XLOOKUP(G25, Constants!$E$10:$E$30, Constants!$F$10:$F$30, 1))) * XLOOKUP(C25, Constants!$A:$A, Constants!$D:$D, 0))</f>
        <v/>
      </c>
      <c r="K25" s="6">
        <f>IF(OR(A25="",C25=""),"", D25 * F25 * XLOOKUP(C25, Constants!$A:$A, Constants!$E:$E, 0))</f>
        <v/>
      </c>
      <c r="L25" s="6">
        <f>IF(OR(A25="",C25=""),"", IF(E25="None",0, D25 * IF(E25="Full",1,XLOOKUP("PrimerSpotFactor",Constants!$A$20:$A$40,Constants!$B$20:$B$40,0.35)) * XLOOKUP(C25, Constants!$A:$A, Constants!$F:$F, 0)))</f>
        <v/>
      </c>
      <c r="M25" s="6">
        <f>IF(OR(A25="",C25=""),"", J25+K25+L25)</f>
        <v/>
      </c>
      <c r="N25" s="6">
        <f>IF(OR(A25="",C25=""),"", M25/60)</f>
        <v/>
      </c>
      <c r="O25" s="6">
        <f>IF(OR(A25="",C25=""),"", N25*(IF(XLOOKUP('Job Control'!$B$3, INPUT_JobSettings!$A:$A, INPUT_JobSettings!$F:$F, "")&lt;&gt;"", XLOOKUP('Job Control'!$B$3, INPUT_JobSettings!$A:$A, INPUT_JobSettings!$F:$F, ""), Summary!$B$4)))</f>
        <v/>
      </c>
      <c r="P25" s="6">
        <f>IF(OR(A25="",C25=""),"", 0)</f>
        <v/>
      </c>
      <c r="Q25" s="6">
        <f>IF(OR(A25="",C25=""),"", (O25+P25)*(IF(XLOOKUP('Job Control'!$B$3, INPUT_JobSettings!$A:$A, INPUT_JobSettings!$G:$G, "")&lt;&gt;"", XLOOKUP('Job Control'!$B$3, INPUT_JobSettings!$A:$A, INPUT_JobSettings!$G:$G, ""), Summary!$B$5)))</f>
        <v/>
      </c>
    </row>
    <row r="26">
      <c r="A26" s="8" t="n"/>
      <c r="B26" s="8" t="n"/>
      <c r="C26" s="8" t="n"/>
      <c r="D26" s="8" t="n"/>
      <c r="E26" s="8" t="n"/>
      <c r="F26" s="8" t="n"/>
      <c r="G26" s="8" t="n"/>
      <c r="H26" s="8" t="n"/>
      <c r="I26" s="6">
        <f>IF(OR(A26="",C26=""),"", XLOOKUP(C26, Constants!$A:$A, Constants!$C:$C, ""))</f>
        <v/>
      </c>
      <c r="J26" s="6">
        <f>IF(OR(A26="",C26=""),"", D26 * (IF(G26="", 1, XLOOKUP(G26, Constants!$E$10:$E$30, Constants!$F$10:$F$30, 1))) * XLOOKUP(C26, Constants!$A:$A, Constants!$D:$D, 0))</f>
        <v/>
      </c>
      <c r="K26" s="6">
        <f>IF(OR(A26="",C26=""),"", D26 * F26 * XLOOKUP(C26, Constants!$A:$A, Constants!$E:$E, 0))</f>
        <v/>
      </c>
      <c r="L26" s="6">
        <f>IF(OR(A26="",C26=""),"", IF(E26="None",0, D26 * IF(E26="Full",1,XLOOKUP("PrimerSpotFactor",Constants!$A$20:$A$40,Constants!$B$20:$B$40,0.35)) * XLOOKUP(C26, Constants!$A:$A, Constants!$F:$F, 0)))</f>
        <v/>
      </c>
      <c r="M26" s="6">
        <f>IF(OR(A26="",C26=""),"", J26+K26+L26)</f>
        <v/>
      </c>
      <c r="N26" s="6">
        <f>IF(OR(A26="",C26=""),"", M26/60)</f>
        <v/>
      </c>
      <c r="O26" s="6">
        <f>IF(OR(A26="",C26=""),"", N26*(IF(XLOOKUP('Job Control'!$B$3, INPUT_JobSettings!$A:$A, INPUT_JobSettings!$F:$F, "")&lt;&gt;"", XLOOKUP('Job Control'!$B$3, INPUT_JobSettings!$A:$A, INPUT_JobSettings!$F:$F, ""), Summary!$B$4)))</f>
        <v/>
      </c>
      <c r="P26" s="6">
        <f>IF(OR(A26="",C26=""),"", 0)</f>
        <v/>
      </c>
      <c r="Q26" s="6">
        <f>IF(OR(A26="",C26=""),"", (O26+P26)*(IF(XLOOKUP('Job Control'!$B$3, INPUT_JobSettings!$A:$A, INPUT_JobSettings!$G:$G, "")&lt;&gt;"", XLOOKUP('Job Control'!$B$3, INPUT_JobSettings!$A:$A, INPUT_JobSettings!$G:$G, ""), Summary!$B$5)))</f>
        <v/>
      </c>
    </row>
    <row r="27">
      <c r="A27" s="8" t="n"/>
      <c r="B27" s="8" t="n"/>
      <c r="C27" s="8" t="n"/>
      <c r="D27" s="8" t="n"/>
      <c r="E27" s="8" t="n"/>
      <c r="F27" s="8" t="n"/>
      <c r="G27" s="8" t="n"/>
      <c r="H27" s="8" t="n"/>
      <c r="I27" s="6">
        <f>IF(OR(A27="",C27=""),"", XLOOKUP(C27, Constants!$A:$A, Constants!$C:$C, ""))</f>
        <v/>
      </c>
      <c r="J27" s="6">
        <f>IF(OR(A27="",C27=""),"", D27 * (IF(G27="", 1, XLOOKUP(G27, Constants!$E$10:$E$30, Constants!$F$10:$F$30, 1))) * XLOOKUP(C27, Constants!$A:$A, Constants!$D:$D, 0))</f>
        <v/>
      </c>
      <c r="K27" s="6">
        <f>IF(OR(A27="",C27=""),"", D27 * F27 * XLOOKUP(C27, Constants!$A:$A, Constants!$E:$E, 0))</f>
        <v/>
      </c>
      <c r="L27" s="6">
        <f>IF(OR(A27="",C27=""),"", IF(E27="None",0, D27 * IF(E27="Full",1,XLOOKUP("PrimerSpotFactor",Constants!$A$20:$A$40,Constants!$B$20:$B$40,0.35)) * XLOOKUP(C27, Constants!$A:$A, Constants!$F:$F, 0)))</f>
        <v/>
      </c>
      <c r="M27" s="6">
        <f>IF(OR(A27="",C27=""),"", J27+K27+L27)</f>
        <v/>
      </c>
      <c r="N27" s="6">
        <f>IF(OR(A27="",C27=""),"", M27/60)</f>
        <v/>
      </c>
      <c r="O27" s="6">
        <f>IF(OR(A27="",C27=""),"", N27*(IF(XLOOKUP('Job Control'!$B$3, INPUT_JobSettings!$A:$A, INPUT_JobSettings!$F:$F, "")&lt;&gt;"", XLOOKUP('Job Control'!$B$3, INPUT_JobSettings!$A:$A, INPUT_JobSettings!$F:$F, ""), Summary!$B$4)))</f>
        <v/>
      </c>
      <c r="P27" s="6">
        <f>IF(OR(A27="",C27=""),"", 0)</f>
        <v/>
      </c>
      <c r="Q27" s="6">
        <f>IF(OR(A27="",C27=""),"", (O27+P27)*(IF(XLOOKUP('Job Control'!$B$3, INPUT_JobSettings!$A:$A, INPUT_JobSettings!$G:$G, "")&lt;&gt;"", XLOOKUP('Job Control'!$B$3, INPUT_JobSettings!$A:$A, INPUT_JobSettings!$G:$G, ""), Summary!$B$5)))</f>
        <v/>
      </c>
    </row>
    <row r="28">
      <c r="A28" s="8" t="n"/>
      <c r="B28" s="8" t="n"/>
      <c r="C28" s="8" t="n"/>
      <c r="D28" s="8" t="n"/>
      <c r="E28" s="8" t="n"/>
      <c r="F28" s="8" t="n"/>
      <c r="G28" s="8" t="n"/>
      <c r="H28" s="8" t="n"/>
      <c r="I28" s="6">
        <f>IF(OR(A28="",C28=""),"", XLOOKUP(C28, Constants!$A:$A, Constants!$C:$C, ""))</f>
        <v/>
      </c>
      <c r="J28" s="6">
        <f>IF(OR(A28="",C28=""),"", D28 * (IF(G28="", 1, XLOOKUP(G28, Constants!$E$10:$E$30, Constants!$F$10:$F$30, 1))) * XLOOKUP(C28, Constants!$A:$A, Constants!$D:$D, 0))</f>
        <v/>
      </c>
      <c r="K28" s="6">
        <f>IF(OR(A28="",C28=""),"", D28 * F28 * XLOOKUP(C28, Constants!$A:$A, Constants!$E:$E, 0))</f>
        <v/>
      </c>
      <c r="L28" s="6">
        <f>IF(OR(A28="",C28=""),"", IF(E28="None",0, D28 * IF(E28="Full",1,XLOOKUP("PrimerSpotFactor",Constants!$A$20:$A$40,Constants!$B$20:$B$40,0.35)) * XLOOKUP(C28, Constants!$A:$A, Constants!$F:$F, 0)))</f>
        <v/>
      </c>
      <c r="M28" s="6">
        <f>IF(OR(A28="",C28=""),"", J28+K28+L28)</f>
        <v/>
      </c>
      <c r="N28" s="6">
        <f>IF(OR(A28="",C28=""),"", M28/60)</f>
        <v/>
      </c>
      <c r="O28" s="6">
        <f>IF(OR(A28="",C28=""),"", N28*(IF(XLOOKUP('Job Control'!$B$3, INPUT_JobSettings!$A:$A, INPUT_JobSettings!$F:$F, "")&lt;&gt;"", XLOOKUP('Job Control'!$B$3, INPUT_JobSettings!$A:$A, INPUT_JobSettings!$F:$F, ""), Summary!$B$4)))</f>
        <v/>
      </c>
      <c r="P28" s="6">
        <f>IF(OR(A28="",C28=""),"", 0)</f>
        <v/>
      </c>
      <c r="Q28" s="6">
        <f>IF(OR(A28="",C28=""),"", (O28+P28)*(IF(XLOOKUP('Job Control'!$B$3, INPUT_JobSettings!$A:$A, INPUT_JobSettings!$G:$G, "")&lt;&gt;"", XLOOKUP('Job Control'!$B$3, INPUT_JobSettings!$A:$A, INPUT_JobSettings!$G:$G, ""), Summary!$B$5)))</f>
        <v/>
      </c>
    </row>
    <row r="29">
      <c r="A29" s="8" t="n"/>
      <c r="B29" s="8" t="n"/>
      <c r="C29" s="8" t="n"/>
      <c r="D29" s="8" t="n"/>
      <c r="E29" s="8" t="n"/>
      <c r="F29" s="8" t="n"/>
      <c r="G29" s="8" t="n"/>
      <c r="H29" s="8" t="n"/>
      <c r="I29" s="6">
        <f>IF(OR(A29="",C29=""),"", XLOOKUP(C29, Constants!$A:$A, Constants!$C:$C, ""))</f>
        <v/>
      </c>
      <c r="J29" s="6">
        <f>IF(OR(A29="",C29=""),"", D29 * (IF(G29="", 1, XLOOKUP(G29, Constants!$E$10:$E$30, Constants!$F$10:$F$30, 1))) * XLOOKUP(C29, Constants!$A:$A, Constants!$D:$D, 0))</f>
        <v/>
      </c>
      <c r="K29" s="6">
        <f>IF(OR(A29="",C29=""),"", D29 * F29 * XLOOKUP(C29, Constants!$A:$A, Constants!$E:$E, 0))</f>
        <v/>
      </c>
      <c r="L29" s="6">
        <f>IF(OR(A29="",C29=""),"", IF(E29="None",0, D29 * IF(E29="Full",1,XLOOKUP("PrimerSpotFactor",Constants!$A$20:$A$40,Constants!$B$20:$B$40,0.35)) * XLOOKUP(C29, Constants!$A:$A, Constants!$F:$F, 0)))</f>
        <v/>
      </c>
      <c r="M29" s="6">
        <f>IF(OR(A29="",C29=""),"", J29+K29+L29)</f>
        <v/>
      </c>
      <c r="N29" s="6">
        <f>IF(OR(A29="",C29=""),"", M29/60)</f>
        <v/>
      </c>
      <c r="O29" s="6">
        <f>IF(OR(A29="",C29=""),"", N29*(IF(XLOOKUP('Job Control'!$B$3, INPUT_JobSettings!$A:$A, INPUT_JobSettings!$F:$F, "")&lt;&gt;"", XLOOKUP('Job Control'!$B$3, INPUT_JobSettings!$A:$A, INPUT_JobSettings!$F:$F, ""), Summary!$B$4)))</f>
        <v/>
      </c>
      <c r="P29" s="6">
        <f>IF(OR(A29="",C29=""),"", 0)</f>
        <v/>
      </c>
      <c r="Q29" s="6">
        <f>IF(OR(A29="",C29=""),"", (O29+P29)*(IF(XLOOKUP('Job Control'!$B$3, INPUT_JobSettings!$A:$A, INPUT_JobSettings!$G:$G, "")&lt;&gt;"", XLOOKUP('Job Control'!$B$3, INPUT_JobSettings!$A:$A, INPUT_JobSettings!$G:$G, ""), Summary!$B$5)))</f>
        <v/>
      </c>
    </row>
    <row r="30">
      <c r="A30" s="8" t="n"/>
      <c r="B30" s="8" t="n"/>
      <c r="C30" s="8" t="n"/>
      <c r="D30" s="8" t="n"/>
      <c r="E30" s="8" t="n"/>
      <c r="F30" s="8" t="n"/>
      <c r="G30" s="8" t="n"/>
      <c r="H30" s="8" t="n"/>
      <c r="I30" s="6">
        <f>IF(OR(A30="",C30=""),"", XLOOKUP(C30, Constants!$A:$A, Constants!$C:$C, ""))</f>
        <v/>
      </c>
      <c r="J30" s="6">
        <f>IF(OR(A30="",C30=""),"", D30 * (IF(G30="", 1, XLOOKUP(G30, Constants!$E$10:$E$30, Constants!$F$10:$F$30, 1))) * XLOOKUP(C30, Constants!$A:$A, Constants!$D:$D, 0))</f>
        <v/>
      </c>
      <c r="K30" s="6">
        <f>IF(OR(A30="",C30=""),"", D30 * F30 * XLOOKUP(C30, Constants!$A:$A, Constants!$E:$E, 0))</f>
        <v/>
      </c>
      <c r="L30" s="6">
        <f>IF(OR(A30="",C30=""),"", IF(E30="None",0, D30 * IF(E30="Full",1,XLOOKUP("PrimerSpotFactor",Constants!$A$20:$A$40,Constants!$B$20:$B$40,0.35)) * XLOOKUP(C30, Constants!$A:$A, Constants!$F:$F, 0)))</f>
        <v/>
      </c>
      <c r="M30" s="6">
        <f>IF(OR(A30="",C30=""),"", J30+K30+L30)</f>
        <v/>
      </c>
      <c r="N30" s="6">
        <f>IF(OR(A30="",C30=""),"", M30/60)</f>
        <v/>
      </c>
      <c r="O30" s="6">
        <f>IF(OR(A30="",C30=""),"", N30*(IF(XLOOKUP('Job Control'!$B$3, INPUT_JobSettings!$A:$A, INPUT_JobSettings!$F:$F, "")&lt;&gt;"", XLOOKUP('Job Control'!$B$3, INPUT_JobSettings!$A:$A, INPUT_JobSettings!$F:$F, ""), Summary!$B$4)))</f>
        <v/>
      </c>
      <c r="P30" s="6">
        <f>IF(OR(A30="",C30=""),"", 0)</f>
        <v/>
      </c>
      <c r="Q30" s="6">
        <f>IF(OR(A30="",C30=""),"", (O30+P30)*(IF(XLOOKUP('Job Control'!$B$3, INPUT_JobSettings!$A:$A, INPUT_JobSettings!$G:$G, "")&lt;&gt;"", XLOOKUP('Job Control'!$B$3, INPUT_JobSettings!$A:$A, INPUT_JobSettings!$G:$G, ""), Summary!$B$5)))</f>
        <v/>
      </c>
    </row>
    <row r="31">
      <c r="A31" s="8" t="n"/>
      <c r="B31" s="8" t="n"/>
      <c r="C31" s="8" t="n"/>
      <c r="D31" s="8" t="n"/>
      <c r="E31" s="8" t="n"/>
      <c r="F31" s="8" t="n"/>
      <c r="G31" s="8" t="n"/>
      <c r="H31" s="8" t="n"/>
      <c r="I31" s="6">
        <f>IF(OR(A31="",C31=""),"", XLOOKUP(C31, Constants!$A:$A, Constants!$C:$C, ""))</f>
        <v/>
      </c>
      <c r="J31" s="6">
        <f>IF(OR(A31="",C31=""),"", D31 * (IF(G31="", 1, XLOOKUP(G31, Constants!$E$10:$E$30, Constants!$F$10:$F$30, 1))) * XLOOKUP(C31, Constants!$A:$A, Constants!$D:$D, 0))</f>
        <v/>
      </c>
      <c r="K31" s="6">
        <f>IF(OR(A31="",C31=""),"", D31 * F31 * XLOOKUP(C31, Constants!$A:$A, Constants!$E:$E, 0))</f>
        <v/>
      </c>
      <c r="L31" s="6">
        <f>IF(OR(A31="",C31=""),"", IF(E31="None",0, D31 * IF(E31="Full",1,XLOOKUP("PrimerSpotFactor",Constants!$A$20:$A$40,Constants!$B$20:$B$40,0.35)) * XLOOKUP(C31, Constants!$A:$A, Constants!$F:$F, 0)))</f>
        <v/>
      </c>
      <c r="M31" s="6">
        <f>IF(OR(A31="",C31=""),"", J31+K31+L31)</f>
        <v/>
      </c>
      <c r="N31" s="6">
        <f>IF(OR(A31="",C31=""),"", M31/60)</f>
        <v/>
      </c>
      <c r="O31" s="6">
        <f>IF(OR(A31="",C31=""),"", N31*(IF(XLOOKUP('Job Control'!$B$3, INPUT_JobSettings!$A:$A, INPUT_JobSettings!$F:$F, "")&lt;&gt;"", XLOOKUP('Job Control'!$B$3, INPUT_JobSettings!$A:$A, INPUT_JobSettings!$F:$F, ""), Summary!$B$4)))</f>
        <v/>
      </c>
      <c r="P31" s="6">
        <f>IF(OR(A31="",C31=""),"", 0)</f>
        <v/>
      </c>
      <c r="Q31" s="6">
        <f>IF(OR(A31="",C31=""),"", (O31+P31)*(IF(XLOOKUP('Job Control'!$B$3, INPUT_JobSettings!$A:$A, INPUT_JobSettings!$G:$G, "")&lt;&gt;"", XLOOKUP('Job Control'!$B$3, INPUT_JobSettings!$A:$A, INPUT_JobSettings!$G:$G, ""), Summary!$B$5)))</f>
        <v/>
      </c>
    </row>
    <row r="32">
      <c r="A32" s="8" t="n"/>
      <c r="B32" s="8" t="n"/>
      <c r="C32" s="8" t="n"/>
      <c r="D32" s="8" t="n"/>
      <c r="E32" s="8" t="n"/>
      <c r="F32" s="8" t="n"/>
      <c r="G32" s="8" t="n"/>
      <c r="H32" s="8" t="n"/>
      <c r="I32" s="6">
        <f>IF(OR(A32="",C32=""),"", XLOOKUP(C32, Constants!$A:$A, Constants!$C:$C, ""))</f>
        <v/>
      </c>
      <c r="J32" s="6">
        <f>IF(OR(A32="",C32=""),"", D32 * (IF(G32="", 1, XLOOKUP(G32, Constants!$E$10:$E$30, Constants!$F$10:$F$30, 1))) * XLOOKUP(C32, Constants!$A:$A, Constants!$D:$D, 0))</f>
        <v/>
      </c>
      <c r="K32" s="6">
        <f>IF(OR(A32="",C32=""),"", D32 * F32 * XLOOKUP(C32, Constants!$A:$A, Constants!$E:$E, 0))</f>
        <v/>
      </c>
      <c r="L32" s="6">
        <f>IF(OR(A32="",C32=""),"", IF(E32="None",0, D32 * IF(E32="Full",1,XLOOKUP("PrimerSpotFactor",Constants!$A$20:$A$40,Constants!$B$20:$B$40,0.35)) * XLOOKUP(C32, Constants!$A:$A, Constants!$F:$F, 0)))</f>
        <v/>
      </c>
      <c r="M32" s="6">
        <f>IF(OR(A32="",C32=""),"", J32+K32+L32)</f>
        <v/>
      </c>
      <c r="N32" s="6">
        <f>IF(OR(A32="",C32=""),"", M32/60)</f>
        <v/>
      </c>
      <c r="O32" s="6">
        <f>IF(OR(A32="",C32=""),"", N32*(IF(XLOOKUP('Job Control'!$B$3, INPUT_JobSettings!$A:$A, INPUT_JobSettings!$F:$F, "")&lt;&gt;"", XLOOKUP('Job Control'!$B$3, INPUT_JobSettings!$A:$A, INPUT_JobSettings!$F:$F, ""), Summary!$B$4)))</f>
        <v/>
      </c>
      <c r="P32" s="6">
        <f>IF(OR(A32="",C32=""),"", 0)</f>
        <v/>
      </c>
      <c r="Q32" s="6">
        <f>IF(OR(A32="",C32=""),"", (O32+P32)*(IF(XLOOKUP('Job Control'!$B$3, INPUT_JobSettings!$A:$A, INPUT_JobSettings!$G:$G, "")&lt;&gt;"", XLOOKUP('Job Control'!$B$3, INPUT_JobSettings!$A:$A, INPUT_JobSettings!$G:$G, ""), Summary!$B$5)))</f>
        <v/>
      </c>
    </row>
    <row r="33">
      <c r="A33" s="8" t="n"/>
      <c r="B33" s="8" t="n"/>
      <c r="C33" s="8" t="n"/>
      <c r="D33" s="8" t="n"/>
      <c r="E33" s="8" t="n"/>
      <c r="F33" s="8" t="n"/>
      <c r="G33" s="8" t="n"/>
      <c r="H33" s="8" t="n"/>
      <c r="I33" s="6">
        <f>IF(OR(A33="",C33=""),"", XLOOKUP(C33, Constants!$A:$A, Constants!$C:$C, ""))</f>
        <v/>
      </c>
      <c r="J33" s="6">
        <f>IF(OR(A33="",C33=""),"", D33 * (IF(G33="", 1, XLOOKUP(G33, Constants!$E$10:$E$30, Constants!$F$10:$F$30, 1))) * XLOOKUP(C33, Constants!$A:$A, Constants!$D:$D, 0))</f>
        <v/>
      </c>
      <c r="K33" s="6">
        <f>IF(OR(A33="",C33=""),"", D33 * F33 * XLOOKUP(C33, Constants!$A:$A, Constants!$E:$E, 0))</f>
        <v/>
      </c>
      <c r="L33" s="6">
        <f>IF(OR(A33="",C33=""),"", IF(E33="None",0, D33 * IF(E33="Full",1,XLOOKUP("PrimerSpotFactor",Constants!$A$20:$A$40,Constants!$B$20:$B$40,0.35)) * XLOOKUP(C33, Constants!$A:$A, Constants!$F:$F, 0)))</f>
        <v/>
      </c>
      <c r="M33" s="6">
        <f>IF(OR(A33="",C33=""),"", J33+K33+L33)</f>
        <v/>
      </c>
      <c r="N33" s="6">
        <f>IF(OR(A33="",C33=""),"", M33/60)</f>
        <v/>
      </c>
      <c r="O33" s="6">
        <f>IF(OR(A33="",C33=""),"", N33*(IF(XLOOKUP('Job Control'!$B$3, INPUT_JobSettings!$A:$A, INPUT_JobSettings!$F:$F, "")&lt;&gt;"", XLOOKUP('Job Control'!$B$3, INPUT_JobSettings!$A:$A, INPUT_JobSettings!$F:$F, ""), Summary!$B$4)))</f>
        <v/>
      </c>
      <c r="P33" s="6">
        <f>IF(OR(A33="",C33=""),"", 0)</f>
        <v/>
      </c>
      <c r="Q33" s="6">
        <f>IF(OR(A33="",C33=""),"", (O33+P33)*(IF(XLOOKUP('Job Control'!$B$3, INPUT_JobSettings!$A:$A, INPUT_JobSettings!$G:$G, "")&lt;&gt;"", XLOOKUP('Job Control'!$B$3, INPUT_JobSettings!$A:$A, INPUT_JobSettings!$G:$G, ""), Summary!$B$5)))</f>
        <v/>
      </c>
    </row>
    <row r="34">
      <c r="A34" s="8" t="n"/>
      <c r="B34" s="8" t="n"/>
      <c r="C34" s="8" t="n"/>
      <c r="D34" s="8" t="n"/>
      <c r="E34" s="8" t="n"/>
      <c r="F34" s="8" t="n"/>
      <c r="G34" s="8" t="n"/>
      <c r="H34" s="8" t="n"/>
      <c r="I34" s="6">
        <f>IF(OR(A34="",C34=""),"", XLOOKUP(C34, Constants!$A:$A, Constants!$C:$C, ""))</f>
        <v/>
      </c>
      <c r="J34" s="6">
        <f>IF(OR(A34="",C34=""),"", D34 * (IF(G34="", 1, XLOOKUP(G34, Constants!$E$10:$E$30, Constants!$F$10:$F$30, 1))) * XLOOKUP(C34, Constants!$A:$A, Constants!$D:$D, 0))</f>
        <v/>
      </c>
      <c r="K34" s="6">
        <f>IF(OR(A34="",C34=""),"", D34 * F34 * XLOOKUP(C34, Constants!$A:$A, Constants!$E:$E, 0))</f>
        <v/>
      </c>
      <c r="L34" s="6">
        <f>IF(OR(A34="",C34=""),"", IF(E34="None",0, D34 * IF(E34="Full",1,XLOOKUP("PrimerSpotFactor",Constants!$A$20:$A$40,Constants!$B$20:$B$40,0.35)) * XLOOKUP(C34, Constants!$A:$A, Constants!$F:$F, 0)))</f>
        <v/>
      </c>
      <c r="M34" s="6">
        <f>IF(OR(A34="",C34=""),"", J34+K34+L34)</f>
        <v/>
      </c>
      <c r="N34" s="6">
        <f>IF(OR(A34="",C34=""),"", M34/60)</f>
        <v/>
      </c>
      <c r="O34" s="6">
        <f>IF(OR(A34="",C34=""),"", N34*(IF(XLOOKUP('Job Control'!$B$3, INPUT_JobSettings!$A:$A, INPUT_JobSettings!$F:$F, "")&lt;&gt;"", XLOOKUP('Job Control'!$B$3, INPUT_JobSettings!$A:$A, INPUT_JobSettings!$F:$F, ""), Summary!$B$4)))</f>
        <v/>
      </c>
      <c r="P34" s="6">
        <f>IF(OR(A34="",C34=""),"", 0)</f>
        <v/>
      </c>
      <c r="Q34" s="6">
        <f>IF(OR(A34="",C34=""),"", (O34+P34)*(IF(XLOOKUP('Job Control'!$B$3, INPUT_JobSettings!$A:$A, INPUT_JobSettings!$G:$G, "")&lt;&gt;"", XLOOKUP('Job Control'!$B$3, INPUT_JobSettings!$A:$A, INPUT_JobSettings!$G:$G, ""), Summary!$B$5)))</f>
        <v/>
      </c>
    </row>
    <row r="35">
      <c r="A35" s="8" t="n"/>
      <c r="B35" s="8" t="n"/>
      <c r="C35" s="8" t="n"/>
      <c r="D35" s="8" t="n"/>
      <c r="E35" s="8" t="n"/>
      <c r="F35" s="8" t="n"/>
      <c r="G35" s="8" t="n"/>
      <c r="H35" s="8" t="n"/>
      <c r="I35" s="6">
        <f>IF(OR(A35="",C35=""),"", XLOOKUP(C35, Constants!$A:$A, Constants!$C:$C, ""))</f>
        <v/>
      </c>
      <c r="J35" s="6">
        <f>IF(OR(A35="",C35=""),"", D35 * (IF(G35="", 1, XLOOKUP(G35, Constants!$E$10:$E$30, Constants!$F$10:$F$30, 1))) * XLOOKUP(C35, Constants!$A:$A, Constants!$D:$D, 0))</f>
        <v/>
      </c>
      <c r="K35" s="6">
        <f>IF(OR(A35="",C35=""),"", D35 * F35 * XLOOKUP(C35, Constants!$A:$A, Constants!$E:$E, 0))</f>
        <v/>
      </c>
      <c r="L35" s="6">
        <f>IF(OR(A35="",C35=""),"", IF(E35="None",0, D35 * IF(E35="Full",1,XLOOKUP("PrimerSpotFactor",Constants!$A$20:$A$40,Constants!$B$20:$B$40,0.35)) * XLOOKUP(C35, Constants!$A:$A, Constants!$F:$F, 0)))</f>
        <v/>
      </c>
      <c r="M35" s="6">
        <f>IF(OR(A35="",C35=""),"", J35+K35+L35)</f>
        <v/>
      </c>
      <c r="N35" s="6">
        <f>IF(OR(A35="",C35=""),"", M35/60)</f>
        <v/>
      </c>
      <c r="O35" s="6">
        <f>IF(OR(A35="",C35=""),"", N35*(IF(XLOOKUP('Job Control'!$B$3, INPUT_JobSettings!$A:$A, INPUT_JobSettings!$F:$F, "")&lt;&gt;"", XLOOKUP('Job Control'!$B$3, INPUT_JobSettings!$A:$A, INPUT_JobSettings!$F:$F, ""), Summary!$B$4)))</f>
        <v/>
      </c>
      <c r="P35" s="6">
        <f>IF(OR(A35="",C35=""),"", 0)</f>
        <v/>
      </c>
      <c r="Q35" s="6">
        <f>IF(OR(A35="",C35=""),"", (O35+P35)*(IF(XLOOKUP('Job Control'!$B$3, INPUT_JobSettings!$A:$A, INPUT_JobSettings!$G:$G, "")&lt;&gt;"", XLOOKUP('Job Control'!$B$3, INPUT_JobSettings!$A:$A, INPUT_JobSettings!$G:$G, ""), Summary!$B$5)))</f>
        <v/>
      </c>
    </row>
    <row r="36">
      <c r="A36" s="8" t="n"/>
      <c r="B36" s="8" t="n"/>
      <c r="C36" s="8" t="n"/>
      <c r="D36" s="8" t="n"/>
      <c r="E36" s="8" t="n"/>
      <c r="F36" s="8" t="n"/>
      <c r="G36" s="8" t="n"/>
      <c r="H36" s="8" t="n"/>
      <c r="I36" s="6">
        <f>IF(OR(A36="",C36=""),"", XLOOKUP(C36, Constants!$A:$A, Constants!$C:$C, ""))</f>
        <v/>
      </c>
      <c r="J36" s="6">
        <f>IF(OR(A36="",C36=""),"", D36 * (IF(G36="", 1, XLOOKUP(G36, Constants!$E$10:$E$30, Constants!$F$10:$F$30, 1))) * XLOOKUP(C36, Constants!$A:$A, Constants!$D:$D, 0))</f>
        <v/>
      </c>
      <c r="K36" s="6">
        <f>IF(OR(A36="",C36=""),"", D36 * F36 * XLOOKUP(C36, Constants!$A:$A, Constants!$E:$E, 0))</f>
        <v/>
      </c>
      <c r="L36" s="6">
        <f>IF(OR(A36="",C36=""),"", IF(E36="None",0, D36 * IF(E36="Full",1,XLOOKUP("PrimerSpotFactor",Constants!$A$20:$A$40,Constants!$B$20:$B$40,0.35)) * XLOOKUP(C36, Constants!$A:$A, Constants!$F:$F, 0)))</f>
        <v/>
      </c>
      <c r="M36" s="6">
        <f>IF(OR(A36="",C36=""),"", J36+K36+L36)</f>
        <v/>
      </c>
      <c r="N36" s="6">
        <f>IF(OR(A36="",C36=""),"", M36/60)</f>
        <v/>
      </c>
      <c r="O36" s="6">
        <f>IF(OR(A36="",C36=""),"", N36*(IF(XLOOKUP('Job Control'!$B$3, INPUT_JobSettings!$A:$A, INPUT_JobSettings!$F:$F, "")&lt;&gt;"", XLOOKUP('Job Control'!$B$3, INPUT_JobSettings!$A:$A, INPUT_JobSettings!$F:$F, ""), Summary!$B$4)))</f>
        <v/>
      </c>
      <c r="P36" s="6">
        <f>IF(OR(A36="",C36=""),"", 0)</f>
        <v/>
      </c>
      <c r="Q36" s="6">
        <f>IF(OR(A36="",C36=""),"", (O36+P36)*(IF(XLOOKUP('Job Control'!$B$3, INPUT_JobSettings!$A:$A, INPUT_JobSettings!$G:$G, "")&lt;&gt;"", XLOOKUP('Job Control'!$B$3, INPUT_JobSettings!$A:$A, INPUT_JobSettings!$G:$G, ""), Summary!$B$5)))</f>
        <v/>
      </c>
    </row>
    <row r="37">
      <c r="A37" s="8" t="n"/>
      <c r="B37" s="8" t="n"/>
      <c r="C37" s="8" t="n"/>
      <c r="D37" s="8" t="n"/>
      <c r="E37" s="8" t="n"/>
      <c r="F37" s="8" t="n"/>
      <c r="G37" s="8" t="n"/>
      <c r="H37" s="8" t="n"/>
      <c r="I37" s="6">
        <f>IF(OR(A37="",C37=""),"", XLOOKUP(C37, Constants!$A:$A, Constants!$C:$C, ""))</f>
        <v/>
      </c>
      <c r="J37" s="6">
        <f>IF(OR(A37="",C37=""),"", D37 * (IF(G37="", 1, XLOOKUP(G37, Constants!$E$10:$E$30, Constants!$F$10:$F$30, 1))) * XLOOKUP(C37, Constants!$A:$A, Constants!$D:$D, 0))</f>
        <v/>
      </c>
      <c r="K37" s="6">
        <f>IF(OR(A37="",C37=""),"", D37 * F37 * XLOOKUP(C37, Constants!$A:$A, Constants!$E:$E, 0))</f>
        <v/>
      </c>
      <c r="L37" s="6">
        <f>IF(OR(A37="",C37=""),"", IF(E37="None",0, D37 * IF(E37="Full",1,XLOOKUP("PrimerSpotFactor",Constants!$A$20:$A$40,Constants!$B$20:$B$40,0.35)) * XLOOKUP(C37, Constants!$A:$A, Constants!$F:$F, 0)))</f>
        <v/>
      </c>
      <c r="M37" s="6">
        <f>IF(OR(A37="",C37=""),"", J37+K37+L37)</f>
        <v/>
      </c>
      <c r="N37" s="6">
        <f>IF(OR(A37="",C37=""),"", M37/60)</f>
        <v/>
      </c>
      <c r="O37" s="6">
        <f>IF(OR(A37="",C37=""),"", N37*(IF(XLOOKUP('Job Control'!$B$3, INPUT_JobSettings!$A:$A, INPUT_JobSettings!$F:$F, "")&lt;&gt;"", XLOOKUP('Job Control'!$B$3, INPUT_JobSettings!$A:$A, INPUT_JobSettings!$F:$F, ""), Summary!$B$4)))</f>
        <v/>
      </c>
      <c r="P37" s="6">
        <f>IF(OR(A37="",C37=""),"", 0)</f>
        <v/>
      </c>
      <c r="Q37" s="6">
        <f>IF(OR(A37="",C37=""),"", (O37+P37)*(IF(XLOOKUP('Job Control'!$B$3, INPUT_JobSettings!$A:$A, INPUT_JobSettings!$G:$G, "")&lt;&gt;"", XLOOKUP('Job Control'!$B$3, INPUT_JobSettings!$A:$A, INPUT_JobSettings!$G:$G, ""), Summary!$B$5)))</f>
        <v/>
      </c>
    </row>
    <row r="38">
      <c r="A38" s="8" t="n"/>
      <c r="B38" s="8" t="n"/>
      <c r="C38" s="8" t="n"/>
      <c r="D38" s="8" t="n"/>
      <c r="E38" s="8" t="n"/>
      <c r="F38" s="8" t="n"/>
      <c r="G38" s="8" t="n"/>
      <c r="H38" s="8" t="n"/>
      <c r="I38" s="6">
        <f>IF(OR(A38="",C38=""),"", XLOOKUP(C38, Constants!$A:$A, Constants!$C:$C, ""))</f>
        <v/>
      </c>
      <c r="J38" s="6">
        <f>IF(OR(A38="",C38=""),"", D38 * (IF(G38="", 1, XLOOKUP(G38, Constants!$E$10:$E$30, Constants!$F$10:$F$30, 1))) * XLOOKUP(C38, Constants!$A:$A, Constants!$D:$D, 0))</f>
        <v/>
      </c>
      <c r="K38" s="6">
        <f>IF(OR(A38="",C38=""),"", D38 * F38 * XLOOKUP(C38, Constants!$A:$A, Constants!$E:$E, 0))</f>
        <v/>
      </c>
      <c r="L38" s="6">
        <f>IF(OR(A38="",C38=""),"", IF(E38="None",0, D38 * IF(E38="Full",1,XLOOKUP("PrimerSpotFactor",Constants!$A$20:$A$40,Constants!$B$20:$B$40,0.35)) * XLOOKUP(C38, Constants!$A:$A, Constants!$F:$F, 0)))</f>
        <v/>
      </c>
      <c r="M38" s="6">
        <f>IF(OR(A38="",C38=""),"", J38+K38+L38)</f>
        <v/>
      </c>
      <c r="N38" s="6">
        <f>IF(OR(A38="",C38=""),"", M38/60)</f>
        <v/>
      </c>
      <c r="O38" s="6">
        <f>IF(OR(A38="",C38=""),"", N38*(IF(XLOOKUP('Job Control'!$B$3, INPUT_JobSettings!$A:$A, INPUT_JobSettings!$F:$F, "")&lt;&gt;"", XLOOKUP('Job Control'!$B$3, INPUT_JobSettings!$A:$A, INPUT_JobSettings!$F:$F, ""), Summary!$B$4)))</f>
        <v/>
      </c>
      <c r="P38" s="6">
        <f>IF(OR(A38="",C38=""),"", 0)</f>
        <v/>
      </c>
      <c r="Q38" s="6">
        <f>IF(OR(A38="",C38=""),"", (O38+P38)*(IF(XLOOKUP('Job Control'!$B$3, INPUT_JobSettings!$A:$A, INPUT_JobSettings!$G:$G, "")&lt;&gt;"", XLOOKUP('Job Control'!$B$3, INPUT_JobSettings!$A:$A, INPUT_JobSettings!$G:$G, ""), Summary!$B$5)))</f>
        <v/>
      </c>
    </row>
    <row r="39">
      <c r="A39" s="8" t="n"/>
      <c r="B39" s="8" t="n"/>
      <c r="C39" s="8" t="n"/>
      <c r="D39" s="8" t="n"/>
      <c r="E39" s="8" t="n"/>
      <c r="F39" s="8" t="n"/>
      <c r="G39" s="8" t="n"/>
      <c r="H39" s="8" t="n"/>
      <c r="I39" s="6">
        <f>IF(OR(A39="",C39=""),"", XLOOKUP(C39, Constants!$A:$A, Constants!$C:$C, ""))</f>
        <v/>
      </c>
      <c r="J39" s="6">
        <f>IF(OR(A39="",C39=""),"", D39 * (IF(G39="", 1, XLOOKUP(G39, Constants!$E$10:$E$30, Constants!$F$10:$F$30, 1))) * XLOOKUP(C39, Constants!$A:$A, Constants!$D:$D, 0))</f>
        <v/>
      </c>
      <c r="K39" s="6">
        <f>IF(OR(A39="",C39=""),"", D39 * F39 * XLOOKUP(C39, Constants!$A:$A, Constants!$E:$E, 0))</f>
        <v/>
      </c>
      <c r="L39" s="6">
        <f>IF(OR(A39="",C39=""),"", IF(E39="None",0, D39 * IF(E39="Full",1,XLOOKUP("PrimerSpotFactor",Constants!$A$20:$A$40,Constants!$B$20:$B$40,0.35)) * XLOOKUP(C39, Constants!$A:$A, Constants!$F:$F, 0)))</f>
        <v/>
      </c>
      <c r="M39" s="6">
        <f>IF(OR(A39="",C39=""),"", J39+K39+L39)</f>
        <v/>
      </c>
      <c r="N39" s="6">
        <f>IF(OR(A39="",C39=""),"", M39/60)</f>
        <v/>
      </c>
      <c r="O39" s="6">
        <f>IF(OR(A39="",C39=""),"", N39*(IF(XLOOKUP('Job Control'!$B$3, INPUT_JobSettings!$A:$A, INPUT_JobSettings!$F:$F, "")&lt;&gt;"", XLOOKUP('Job Control'!$B$3, INPUT_JobSettings!$A:$A, INPUT_JobSettings!$F:$F, ""), Summary!$B$4)))</f>
        <v/>
      </c>
      <c r="P39" s="6">
        <f>IF(OR(A39="",C39=""),"", 0)</f>
        <v/>
      </c>
      <c r="Q39" s="6">
        <f>IF(OR(A39="",C39=""),"", (O39+P39)*(IF(XLOOKUP('Job Control'!$B$3, INPUT_JobSettings!$A:$A, INPUT_JobSettings!$G:$G, "")&lt;&gt;"", XLOOKUP('Job Control'!$B$3, INPUT_JobSettings!$A:$A, INPUT_JobSettings!$G:$G, ""), Summary!$B$5)))</f>
        <v/>
      </c>
    </row>
    <row r="40">
      <c r="A40" s="8" t="n"/>
      <c r="B40" s="8" t="n"/>
      <c r="C40" s="8" t="n"/>
      <c r="D40" s="8" t="n"/>
      <c r="E40" s="8" t="n"/>
      <c r="F40" s="8" t="n"/>
      <c r="G40" s="8" t="n"/>
      <c r="H40" s="8" t="n"/>
      <c r="I40" s="6">
        <f>IF(OR(A40="",C40=""),"", XLOOKUP(C40, Constants!$A:$A, Constants!$C:$C, ""))</f>
        <v/>
      </c>
      <c r="J40" s="6">
        <f>IF(OR(A40="",C40=""),"", D40 * (IF(G40="", 1, XLOOKUP(G40, Constants!$E$10:$E$30, Constants!$F$10:$F$30, 1))) * XLOOKUP(C40, Constants!$A:$A, Constants!$D:$D, 0))</f>
        <v/>
      </c>
      <c r="K40" s="6">
        <f>IF(OR(A40="",C40=""),"", D40 * F40 * XLOOKUP(C40, Constants!$A:$A, Constants!$E:$E, 0))</f>
        <v/>
      </c>
      <c r="L40" s="6">
        <f>IF(OR(A40="",C40=""),"", IF(E40="None",0, D40 * IF(E40="Full",1,XLOOKUP("PrimerSpotFactor",Constants!$A$20:$A$40,Constants!$B$20:$B$40,0.35)) * XLOOKUP(C40, Constants!$A:$A, Constants!$F:$F, 0)))</f>
        <v/>
      </c>
      <c r="M40" s="6">
        <f>IF(OR(A40="",C40=""),"", J40+K40+L40)</f>
        <v/>
      </c>
      <c r="N40" s="6">
        <f>IF(OR(A40="",C40=""),"", M40/60)</f>
        <v/>
      </c>
      <c r="O40" s="6">
        <f>IF(OR(A40="",C40=""),"", N40*(IF(XLOOKUP('Job Control'!$B$3, INPUT_JobSettings!$A:$A, INPUT_JobSettings!$F:$F, "")&lt;&gt;"", XLOOKUP('Job Control'!$B$3, INPUT_JobSettings!$A:$A, INPUT_JobSettings!$F:$F, ""), Summary!$B$4)))</f>
        <v/>
      </c>
      <c r="P40" s="6">
        <f>IF(OR(A40="",C40=""),"", 0)</f>
        <v/>
      </c>
      <c r="Q40" s="6">
        <f>IF(OR(A40="",C40=""),"", (O40+P40)*(IF(XLOOKUP('Job Control'!$B$3, INPUT_JobSettings!$A:$A, INPUT_JobSettings!$G:$G, "")&lt;&gt;"", XLOOKUP('Job Control'!$B$3, INPUT_JobSettings!$A:$A, INPUT_JobSettings!$G:$G, ""), Summary!$B$5)))</f>
        <v/>
      </c>
    </row>
    <row r="41">
      <c r="A41" s="8" t="n"/>
      <c r="B41" s="8" t="n"/>
      <c r="C41" s="8" t="n"/>
      <c r="D41" s="8" t="n"/>
      <c r="E41" s="8" t="n"/>
      <c r="F41" s="8" t="n"/>
      <c r="G41" s="8" t="n"/>
      <c r="H41" s="8" t="n"/>
      <c r="I41" s="6">
        <f>IF(OR(A41="",C41=""),"", XLOOKUP(C41, Constants!$A:$A, Constants!$C:$C, ""))</f>
        <v/>
      </c>
      <c r="J41" s="6">
        <f>IF(OR(A41="",C41=""),"", D41 * (IF(G41="", 1, XLOOKUP(G41, Constants!$E$10:$E$30, Constants!$F$10:$F$30, 1))) * XLOOKUP(C41, Constants!$A:$A, Constants!$D:$D, 0))</f>
        <v/>
      </c>
      <c r="K41" s="6">
        <f>IF(OR(A41="",C41=""),"", D41 * F41 * XLOOKUP(C41, Constants!$A:$A, Constants!$E:$E, 0))</f>
        <v/>
      </c>
      <c r="L41" s="6">
        <f>IF(OR(A41="",C41=""),"", IF(E41="None",0, D41 * IF(E41="Full",1,XLOOKUP("PrimerSpotFactor",Constants!$A$20:$A$40,Constants!$B$20:$B$40,0.35)) * XLOOKUP(C41, Constants!$A:$A, Constants!$F:$F, 0)))</f>
        <v/>
      </c>
      <c r="M41" s="6">
        <f>IF(OR(A41="",C41=""),"", J41+K41+L41)</f>
        <v/>
      </c>
      <c r="N41" s="6">
        <f>IF(OR(A41="",C41=""),"", M41/60)</f>
        <v/>
      </c>
      <c r="O41" s="6">
        <f>IF(OR(A41="",C41=""),"", N41*(IF(XLOOKUP('Job Control'!$B$3, INPUT_JobSettings!$A:$A, INPUT_JobSettings!$F:$F, "")&lt;&gt;"", XLOOKUP('Job Control'!$B$3, INPUT_JobSettings!$A:$A, INPUT_JobSettings!$F:$F, ""), Summary!$B$4)))</f>
        <v/>
      </c>
      <c r="P41" s="6">
        <f>IF(OR(A41="",C41=""),"", 0)</f>
        <v/>
      </c>
      <c r="Q41" s="6">
        <f>IF(OR(A41="",C41=""),"", (O41+P41)*(IF(XLOOKUP('Job Control'!$B$3, INPUT_JobSettings!$A:$A, INPUT_JobSettings!$G:$G, "")&lt;&gt;"", XLOOKUP('Job Control'!$B$3, INPUT_JobSettings!$A:$A, INPUT_JobSettings!$G:$G, ""), Summary!$B$5)))</f>
        <v/>
      </c>
    </row>
    <row r="42">
      <c r="A42" s="8" t="n"/>
      <c r="B42" s="8" t="n"/>
      <c r="C42" s="8" t="n"/>
      <c r="D42" s="8" t="n"/>
      <c r="E42" s="8" t="n"/>
      <c r="F42" s="8" t="n"/>
      <c r="G42" s="8" t="n"/>
      <c r="H42" s="8" t="n"/>
      <c r="I42" s="6">
        <f>IF(OR(A42="",C42=""),"", XLOOKUP(C42, Constants!$A:$A, Constants!$C:$C, ""))</f>
        <v/>
      </c>
      <c r="J42" s="6">
        <f>IF(OR(A42="",C42=""),"", D42 * (IF(G42="", 1, XLOOKUP(G42, Constants!$E$10:$E$30, Constants!$F$10:$F$30, 1))) * XLOOKUP(C42, Constants!$A:$A, Constants!$D:$D, 0))</f>
        <v/>
      </c>
      <c r="K42" s="6">
        <f>IF(OR(A42="",C42=""),"", D42 * F42 * XLOOKUP(C42, Constants!$A:$A, Constants!$E:$E, 0))</f>
        <v/>
      </c>
      <c r="L42" s="6">
        <f>IF(OR(A42="",C42=""),"", IF(E42="None",0, D42 * IF(E42="Full",1,XLOOKUP("PrimerSpotFactor",Constants!$A$20:$A$40,Constants!$B$20:$B$40,0.35)) * XLOOKUP(C42, Constants!$A:$A, Constants!$F:$F, 0)))</f>
        <v/>
      </c>
      <c r="M42" s="6">
        <f>IF(OR(A42="",C42=""),"", J42+K42+L42)</f>
        <v/>
      </c>
      <c r="N42" s="6">
        <f>IF(OR(A42="",C42=""),"", M42/60)</f>
        <v/>
      </c>
      <c r="O42" s="6">
        <f>IF(OR(A42="",C42=""),"", N42*(IF(XLOOKUP('Job Control'!$B$3, INPUT_JobSettings!$A:$A, INPUT_JobSettings!$F:$F, "")&lt;&gt;"", XLOOKUP('Job Control'!$B$3, INPUT_JobSettings!$A:$A, INPUT_JobSettings!$F:$F, ""), Summary!$B$4)))</f>
        <v/>
      </c>
      <c r="P42" s="6">
        <f>IF(OR(A42="",C42=""),"", 0)</f>
        <v/>
      </c>
      <c r="Q42" s="6">
        <f>IF(OR(A42="",C42=""),"", (O42+P42)*(IF(XLOOKUP('Job Control'!$B$3, INPUT_JobSettings!$A:$A, INPUT_JobSettings!$G:$G, "")&lt;&gt;"", XLOOKUP('Job Control'!$B$3, INPUT_JobSettings!$A:$A, INPUT_JobSettings!$G:$G, ""), Summary!$B$5)))</f>
        <v/>
      </c>
    </row>
    <row r="43">
      <c r="A43" s="8" t="n"/>
      <c r="B43" s="8" t="n"/>
      <c r="C43" s="8" t="n"/>
      <c r="D43" s="8" t="n"/>
      <c r="E43" s="8" t="n"/>
      <c r="F43" s="8" t="n"/>
      <c r="G43" s="8" t="n"/>
      <c r="H43" s="8" t="n"/>
      <c r="I43" s="6">
        <f>IF(OR(A43="",C43=""),"", XLOOKUP(C43, Constants!$A:$A, Constants!$C:$C, ""))</f>
        <v/>
      </c>
      <c r="J43" s="6">
        <f>IF(OR(A43="",C43=""),"", D43 * (IF(G43="", 1, XLOOKUP(G43, Constants!$E$10:$E$30, Constants!$F$10:$F$30, 1))) * XLOOKUP(C43, Constants!$A:$A, Constants!$D:$D, 0))</f>
        <v/>
      </c>
      <c r="K43" s="6">
        <f>IF(OR(A43="",C43=""),"", D43 * F43 * XLOOKUP(C43, Constants!$A:$A, Constants!$E:$E, 0))</f>
        <v/>
      </c>
      <c r="L43" s="6">
        <f>IF(OR(A43="",C43=""),"", IF(E43="None",0, D43 * IF(E43="Full",1,XLOOKUP("PrimerSpotFactor",Constants!$A$20:$A$40,Constants!$B$20:$B$40,0.35)) * XLOOKUP(C43, Constants!$A:$A, Constants!$F:$F, 0)))</f>
        <v/>
      </c>
      <c r="M43" s="6">
        <f>IF(OR(A43="",C43=""),"", J43+K43+L43)</f>
        <v/>
      </c>
      <c r="N43" s="6">
        <f>IF(OR(A43="",C43=""),"", M43/60)</f>
        <v/>
      </c>
      <c r="O43" s="6">
        <f>IF(OR(A43="",C43=""),"", N43*(IF(XLOOKUP('Job Control'!$B$3, INPUT_JobSettings!$A:$A, INPUT_JobSettings!$F:$F, "")&lt;&gt;"", XLOOKUP('Job Control'!$B$3, INPUT_JobSettings!$A:$A, INPUT_JobSettings!$F:$F, ""), Summary!$B$4)))</f>
        <v/>
      </c>
      <c r="P43" s="6">
        <f>IF(OR(A43="",C43=""),"", 0)</f>
        <v/>
      </c>
      <c r="Q43" s="6">
        <f>IF(OR(A43="",C43=""),"", (O43+P43)*(IF(XLOOKUP('Job Control'!$B$3, INPUT_JobSettings!$A:$A, INPUT_JobSettings!$G:$G, "")&lt;&gt;"", XLOOKUP('Job Control'!$B$3, INPUT_JobSettings!$A:$A, INPUT_JobSettings!$G:$G, ""), Summary!$B$5)))</f>
        <v/>
      </c>
    </row>
    <row r="44">
      <c r="A44" s="8" t="n"/>
      <c r="B44" s="8" t="n"/>
      <c r="C44" s="8" t="n"/>
      <c r="D44" s="8" t="n"/>
      <c r="E44" s="8" t="n"/>
      <c r="F44" s="8" t="n"/>
      <c r="G44" s="8" t="n"/>
      <c r="H44" s="8" t="n"/>
      <c r="I44" s="6">
        <f>IF(OR(A44="",C44=""),"", XLOOKUP(C44, Constants!$A:$A, Constants!$C:$C, ""))</f>
        <v/>
      </c>
      <c r="J44" s="6">
        <f>IF(OR(A44="",C44=""),"", D44 * (IF(G44="", 1, XLOOKUP(G44, Constants!$E$10:$E$30, Constants!$F$10:$F$30, 1))) * XLOOKUP(C44, Constants!$A:$A, Constants!$D:$D, 0))</f>
        <v/>
      </c>
      <c r="K44" s="6">
        <f>IF(OR(A44="",C44=""),"", D44 * F44 * XLOOKUP(C44, Constants!$A:$A, Constants!$E:$E, 0))</f>
        <v/>
      </c>
      <c r="L44" s="6">
        <f>IF(OR(A44="",C44=""),"", IF(E44="None",0, D44 * IF(E44="Full",1,XLOOKUP("PrimerSpotFactor",Constants!$A$20:$A$40,Constants!$B$20:$B$40,0.35)) * XLOOKUP(C44, Constants!$A:$A, Constants!$F:$F, 0)))</f>
        <v/>
      </c>
      <c r="M44" s="6">
        <f>IF(OR(A44="",C44=""),"", J44+K44+L44)</f>
        <v/>
      </c>
      <c r="N44" s="6">
        <f>IF(OR(A44="",C44=""),"", M44/60)</f>
        <v/>
      </c>
      <c r="O44" s="6">
        <f>IF(OR(A44="",C44=""),"", N44*(IF(XLOOKUP('Job Control'!$B$3, INPUT_JobSettings!$A:$A, INPUT_JobSettings!$F:$F, "")&lt;&gt;"", XLOOKUP('Job Control'!$B$3, INPUT_JobSettings!$A:$A, INPUT_JobSettings!$F:$F, ""), Summary!$B$4)))</f>
        <v/>
      </c>
      <c r="P44" s="6">
        <f>IF(OR(A44="",C44=""),"", 0)</f>
        <v/>
      </c>
      <c r="Q44" s="6">
        <f>IF(OR(A44="",C44=""),"", (O44+P44)*(IF(XLOOKUP('Job Control'!$B$3, INPUT_JobSettings!$A:$A, INPUT_JobSettings!$G:$G, "")&lt;&gt;"", XLOOKUP('Job Control'!$B$3, INPUT_JobSettings!$A:$A, INPUT_JobSettings!$G:$G, ""), Summary!$B$5)))</f>
        <v/>
      </c>
    </row>
    <row r="45">
      <c r="A45" s="8" t="n"/>
      <c r="B45" s="8" t="n"/>
      <c r="C45" s="8" t="n"/>
      <c r="D45" s="8" t="n"/>
      <c r="E45" s="8" t="n"/>
      <c r="F45" s="8" t="n"/>
      <c r="G45" s="8" t="n"/>
      <c r="H45" s="8" t="n"/>
      <c r="I45" s="6">
        <f>IF(OR(A45="",C45=""),"", XLOOKUP(C45, Constants!$A:$A, Constants!$C:$C, ""))</f>
        <v/>
      </c>
      <c r="J45" s="6">
        <f>IF(OR(A45="",C45=""),"", D45 * (IF(G45="", 1, XLOOKUP(G45, Constants!$E$10:$E$30, Constants!$F$10:$F$30, 1))) * XLOOKUP(C45, Constants!$A:$A, Constants!$D:$D, 0))</f>
        <v/>
      </c>
      <c r="K45" s="6">
        <f>IF(OR(A45="",C45=""),"", D45 * F45 * XLOOKUP(C45, Constants!$A:$A, Constants!$E:$E, 0))</f>
        <v/>
      </c>
      <c r="L45" s="6">
        <f>IF(OR(A45="",C45=""),"", IF(E45="None",0, D45 * IF(E45="Full",1,XLOOKUP("PrimerSpotFactor",Constants!$A$20:$A$40,Constants!$B$20:$B$40,0.35)) * XLOOKUP(C45, Constants!$A:$A, Constants!$F:$F, 0)))</f>
        <v/>
      </c>
      <c r="M45" s="6">
        <f>IF(OR(A45="",C45=""),"", J45+K45+L45)</f>
        <v/>
      </c>
      <c r="N45" s="6">
        <f>IF(OR(A45="",C45=""),"", M45/60)</f>
        <v/>
      </c>
      <c r="O45" s="6">
        <f>IF(OR(A45="",C45=""),"", N45*(IF(XLOOKUP('Job Control'!$B$3, INPUT_JobSettings!$A:$A, INPUT_JobSettings!$F:$F, "")&lt;&gt;"", XLOOKUP('Job Control'!$B$3, INPUT_JobSettings!$A:$A, INPUT_JobSettings!$F:$F, ""), Summary!$B$4)))</f>
        <v/>
      </c>
      <c r="P45" s="6">
        <f>IF(OR(A45="",C45=""),"", 0)</f>
        <v/>
      </c>
      <c r="Q45" s="6">
        <f>IF(OR(A45="",C45=""),"", (O45+P45)*(IF(XLOOKUP('Job Control'!$B$3, INPUT_JobSettings!$A:$A, INPUT_JobSettings!$G:$G, "")&lt;&gt;"", XLOOKUP('Job Control'!$B$3, INPUT_JobSettings!$A:$A, INPUT_JobSettings!$G:$G, ""), Summary!$B$5)))</f>
        <v/>
      </c>
    </row>
    <row r="46">
      <c r="A46" s="8" t="n"/>
      <c r="B46" s="8" t="n"/>
      <c r="C46" s="8" t="n"/>
      <c r="D46" s="8" t="n"/>
      <c r="E46" s="8" t="n"/>
      <c r="F46" s="8" t="n"/>
      <c r="G46" s="8" t="n"/>
      <c r="H46" s="8" t="n"/>
      <c r="I46" s="6">
        <f>IF(OR(A46="",C46=""),"", XLOOKUP(C46, Constants!$A:$A, Constants!$C:$C, ""))</f>
        <v/>
      </c>
      <c r="J46" s="6">
        <f>IF(OR(A46="",C46=""),"", D46 * (IF(G46="", 1, XLOOKUP(G46, Constants!$E$10:$E$30, Constants!$F$10:$F$30, 1))) * XLOOKUP(C46, Constants!$A:$A, Constants!$D:$D, 0))</f>
        <v/>
      </c>
      <c r="K46" s="6">
        <f>IF(OR(A46="",C46=""),"", D46 * F46 * XLOOKUP(C46, Constants!$A:$A, Constants!$E:$E, 0))</f>
        <v/>
      </c>
      <c r="L46" s="6">
        <f>IF(OR(A46="",C46=""),"", IF(E46="None",0, D46 * IF(E46="Full",1,XLOOKUP("PrimerSpotFactor",Constants!$A$20:$A$40,Constants!$B$20:$B$40,0.35)) * XLOOKUP(C46, Constants!$A:$A, Constants!$F:$F, 0)))</f>
        <v/>
      </c>
      <c r="M46" s="6">
        <f>IF(OR(A46="",C46=""),"", J46+K46+L46)</f>
        <v/>
      </c>
      <c r="N46" s="6">
        <f>IF(OR(A46="",C46=""),"", M46/60)</f>
        <v/>
      </c>
      <c r="O46" s="6">
        <f>IF(OR(A46="",C46=""),"", N46*(IF(XLOOKUP('Job Control'!$B$3, INPUT_JobSettings!$A:$A, INPUT_JobSettings!$F:$F, "")&lt;&gt;"", XLOOKUP('Job Control'!$B$3, INPUT_JobSettings!$A:$A, INPUT_JobSettings!$F:$F, ""), Summary!$B$4)))</f>
        <v/>
      </c>
      <c r="P46" s="6">
        <f>IF(OR(A46="",C46=""),"", 0)</f>
        <v/>
      </c>
      <c r="Q46" s="6">
        <f>IF(OR(A46="",C46=""),"", (O46+P46)*(IF(XLOOKUP('Job Control'!$B$3, INPUT_JobSettings!$A:$A, INPUT_JobSettings!$G:$G, "")&lt;&gt;"", XLOOKUP('Job Control'!$B$3, INPUT_JobSettings!$A:$A, INPUT_JobSettings!$G:$G, ""), Summary!$B$5)))</f>
        <v/>
      </c>
    </row>
    <row r="47">
      <c r="A47" s="8" t="n"/>
      <c r="B47" s="8" t="n"/>
      <c r="C47" s="8" t="n"/>
      <c r="D47" s="8" t="n"/>
      <c r="E47" s="8" t="n"/>
      <c r="F47" s="8" t="n"/>
      <c r="G47" s="8" t="n"/>
      <c r="H47" s="8" t="n"/>
      <c r="I47" s="6">
        <f>IF(OR(A47="",C47=""),"", XLOOKUP(C47, Constants!$A:$A, Constants!$C:$C, ""))</f>
        <v/>
      </c>
      <c r="J47" s="6">
        <f>IF(OR(A47="",C47=""),"", D47 * (IF(G47="", 1, XLOOKUP(G47, Constants!$E$10:$E$30, Constants!$F$10:$F$30, 1))) * XLOOKUP(C47, Constants!$A:$A, Constants!$D:$D, 0))</f>
        <v/>
      </c>
      <c r="K47" s="6">
        <f>IF(OR(A47="",C47=""),"", D47 * F47 * XLOOKUP(C47, Constants!$A:$A, Constants!$E:$E, 0))</f>
        <v/>
      </c>
      <c r="L47" s="6">
        <f>IF(OR(A47="",C47=""),"", IF(E47="None",0, D47 * IF(E47="Full",1,XLOOKUP("PrimerSpotFactor",Constants!$A$20:$A$40,Constants!$B$20:$B$40,0.35)) * XLOOKUP(C47, Constants!$A:$A, Constants!$F:$F, 0)))</f>
        <v/>
      </c>
      <c r="M47" s="6">
        <f>IF(OR(A47="",C47=""),"", J47+K47+L47)</f>
        <v/>
      </c>
      <c r="N47" s="6">
        <f>IF(OR(A47="",C47=""),"", M47/60)</f>
        <v/>
      </c>
      <c r="O47" s="6">
        <f>IF(OR(A47="",C47=""),"", N47*(IF(XLOOKUP('Job Control'!$B$3, INPUT_JobSettings!$A:$A, INPUT_JobSettings!$F:$F, "")&lt;&gt;"", XLOOKUP('Job Control'!$B$3, INPUT_JobSettings!$A:$A, INPUT_JobSettings!$F:$F, ""), Summary!$B$4)))</f>
        <v/>
      </c>
      <c r="P47" s="6">
        <f>IF(OR(A47="",C47=""),"", 0)</f>
        <v/>
      </c>
      <c r="Q47" s="6">
        <f>IF(OR(A47="",C47=""),"", (O47+P47)*(IF(XLOOKUP('Job Control'!$B$3, INPUT_JobSettings!$A:$A, INPUT_JobSettings!$G:$G, "")&lt;&gt;"", XLOOKUP('Job Control'!$B$3, INPUT_JobSettings!$A:$A, INPUT_JobSettings!$G:$G, ""), Summary!$B$5)))</f>
        <v/>
      </c>
    </row>
    <row r="48">
      <c r="A48" s="8" t="n"/>
      <c r="B48" s="8" t="n"/>
      <c r="C48" s="8" t="n"/>
      <c r="D48" s="8" t="n"/>
      <c r="E48" s="8" t="n"/>
      <c r="F48" s="8" t="n"/>
      <c r="G48" s="8" t="n"/>
      <c r="H48" s="8" t="n"/>
      <c r="I48" s="6">
        <f>IF(OR(A48="",C48=""),"", XLOOKUP(C48, Constants!$A:$A, Constants!$C:$C, ""))</f>
        <v/>
      </c>
      <c r="J48" s="6">
        <f>IF(OR(A48="",C48=""),"", D48 * (IF(G48="", 1, XLOOKUP(G48, Constants!$E$10:$E$30, Constants!$F$10:$F$30, 1))) * XLOOKUP(C48, Constants!$A:$A, Constants!$D:$D, 0))</f>
        <v/>
      </c>
      <c r="K48" s="6">
        <f>IF(OR(A48="",C48=""),"", D48 * F48 * XLOOKUP(C48, Constants!$A:$A, Constants!$E:$E, 0))</f>
        <v/>
      </c>
      <c r="L48" s="6">
        <f>IF(OR(A48="",C48=""),"", IF(E48="None",0, D48 * IF(E48="Full",1,XLOOKUP("PrimerSpotFactor",Constants!$A$20:$A$40,Constants!$B$20:$B$40,0.35)) * XLOOKUP(C48, Constants!$A:$A, Constants!$F:$F, 0)))</f>
        <v/>
      </c>
      <c r="M48" s="6">
        <f>IF(OR(A48="",C48=""),"", J48+K48+L48)</f>
        <v/>
      </c>
      <c r="N48" s="6">
        <f>IF(OR(A48="",C48=""),"", M48/60)</f>
        <v/>
      </c>
      <c r="O48" s="6">
        <f>IF(OR(A48="",C48=""),"", N48*(IF(XLOOKUP('Job Control'!$B$3, INPUT_JobSettings!$A:$A, INPUT_JobSettings!$F:$F, "")&lt;&gt;"", XLOOKUP('Job Control'!$B$3, INPUT_JobSettings!$A:$A, INPUT_JobSettings!$F:$F, ""), Summary!$B$4)))</f>
        <v/>
      </c>
      <c r="P48" s="6">
        <f>IF(OR(A48="",C48=""),"", 0)</f>
        <v/>
      </c>
      <c r="Q48" s="6">
        <f>IF(OR(A48="",C48=""),"", (O48+P48)*(IF(XLOOKUP('Job Control'!$B$3, INPUT_JobSettings!$A:$A, INPUT_JobSettings!$G:$G, "")&lt;&gt;"", XLOOKUP('Job Control'!$B$3, INPUT_JobSettings!$A:$A, INPUT_JobSettings!$G:$G, ""), Summary!$B$5)))</f>
        <v/>
      </c>
    </row>
    <row r="49">
      <c r="A49" s="8" t="n"/>
      <c r="B49" s="8" t="n"/>
      <c r="C49" s="8" t="n"/>
      <c r="D49" s="8" t="n"/>
      <c r="E49" s="8" t="n"/>
      <c r="F49" s="8" t="n"/>
      <c r="G49" s="8" t="n"/>
      <c r="H49" s="8" t="n"/>
      <c r="I49" s="6">
        <f>IF(OR(A49="",C49=""),"", XLOOKUP(C49, Constants!$A:$A, Constants!$C:$C, ""))</f>
        <v/>
      </c>
      <c r="J49" s="6">
        <f>IF(OR(A49="",C49=""),"", D49 * (IF(G49="", 1, XLOOKUP(G49, Constants!$E$10:$E$30, Constants!$F$10:$F$30, 1))) * XLOOKUP(C49, Constants!$A:$A, Constants!$D:$D, 0))</f>
        <v/>
      </c>
      <c r="K49" s="6">
        <f>IF(OR(A49="",C49=""),"", D49 * F49 * XLOOKUP(C49, Constants!$A:$A, Constants!$E:$E, 0))</f>
        <v/>
      </c>
      <c r="L49" s="6">
        <f>IF(OR(A49="",C49=""),"", IF(E49="None",0, D49 * IF(E49="Full",1,XLOOKUP("PrimerSpotFactor",Constants!$A$20:$A$40,Constants!$B$20:$B$40,0.35)) * XLOOKUP(C49, Constants!$A:$A, Constants!$F:$F, 0)))</f>
        <v/>
      </c>
      <c r="M49" s="6">
        <f>IF(OR(A49="",C49=""),"", J49+K49+L49)</f>
        <v/>
      </c>
      <c r="N49" s="6">
        <f>IF(OR(A49="",C49=""),"", M49/60)</f>
        <v/>
      </c>
      <c r="O49" s="6">
        <f>IF(OR(A49="",C49=""),"", N49*(IF(XLOOKUP('Job Control'!$B$3, INPUT_JobSettings!$A:$A, INPUT_JobSettings!$F:$F, "")&lt;&gt;"", XLOOKUP('Job Control'!$B$3, INPUT_JobSettings!$A:$A, INPUT_JobSettings!$F:$F, ""), Summary!$B$4)))</f>
        <v/>
      </c>
      <c r="P49" s="6">
        <f>IF(OR(A49="",C49=""),"", 0)</f>
        <v/>
      </c>
      <c r="Q49" s="6">
        <f>IF(OR(A49="",C49=""),"", (O49+P49)*(IF(XLOOKUP('Job Control'!$B$3, INPUT_JobSettings!$A:$A, INPUT_JobSettings!$G:$G, "")&lt;&gt;"", XLOOKUP('Job Control'!$B$3, INPUT_JobSettings!$A:$A, INPUT_JobSettings!$G:$G, ""), Summary!$B$5)))</f>
        <v/>
      </c>
    </row>
    <row r="50">
      <c r="A50" s="8" t="n"/>
      <c r="B50" s="8" t="n"/>
      <c r="C50" s="8" t="n"/>
      <c r="D50" s="8" t="n"/>
      <c r="E50" s="8" t="n"/>
      <c r="F50" s="8" t="n"/>
      <c r="G50" s="8" t="n"/>
      <c r="H50" s="8" t="n"/>
      <c r="I50" s="6">
        <f>IF(OR(A50="",C50=""),"", XLOOKUP(C50, Constants!$A:$A, Constants!$C:$C, ""))</f>
        <v/>
      </c>
      <c r="J50" s="6">
        <f>IF(OR(A50="",C50=""),"", D50 * (IF(G50="", 1, XLOOKUP(G50, Constants!$E$10:$E$30, Constants!$F$10:$F$30, 1))) * XLOOKUP(C50, Constants!$A:$A, Constants!$D:$D, 0))</f>
        <v/>
      </c>
      <c r="K50" s="6">
        <f>IF(OR(A50="",C50=""),"", D50 * F50 * XLOOKUP(C50, Constants!$A:$A, Constants!$E:$E, 0))</f>
        <v/>
      </c>
      <c r="L50" s="6">
        <f>IF(OR(A50="",C50=""),"", IF(E50="None",0, D50 * IF(E50="Full",1,XLOOKUP("PrimerSpotFactor",Constants!$A$20:$A$40,Constants!$B$20:$B$40,0.35)) * XLOOKUP(C50, Constants!$A:$A, Constants!$F:$F, 0)))</f>
        <v/>
      </c>
      <c r="M50" s="6">
        <f>IF(OR(A50="",C50=""),"", J50+K50+L50)</f>
        <v/>
      </c>
      <c r="N50" s="6">
        <f>IF(OR(A50="",C50=""),"", M50/60)</f>
        <v/>
      </c>
      <c r="O50" s="6">
        <f>IF(OR(A50="",C50=""),"", N50*(IF(XLOOKUP('Job Control'!$B$3, INPUT_JobSettings!$A:$A, INPUT_JobSettings!$F:$F, "")&lt;&gt;"", XLOOKUP('Job Control'!$B$3, INPUT_JobSettings!$A:$A, INPUT_JobSettings!$F:$F, ""), Summary!$B$4)))</f>
        <v/>
      </c>
      <c r="P50" s="6">
        <f>IF(OR(A50="",C50=""),"", 0)</f>
        <v/>
      </c>
      <c r="Q50" s="6">
        <f>IF(OR(A50="",C50=""),"", (O50+P50)*(IF(XLOOKUP('Job Control'!$B$3, INPUT_JobSettings!$A:$A, INPUT_JobSettings!$G:$G, "")&lt;&gt;"", XLOOKUP('Job Control'!$B$3, INPUT_JobSettings!$A:$A, INPUT_JobSettings!$G:$G, ""), Summary!$B$5)))</f>
        <v/>
      </c>
    </row>
    <row r="51">
      <c r="A51" s="8" t="n"/>
      <c r="B51" s="8" t="n"/>
      <c r="C51" s="8" t="n"/>
      <c r="D51" s="8" t="n"/>
      <c r="E51" s="8" t="n"/>
      <c r="F51" s="8" t="n"/>
      <c r="G51" s="8" t="n"/>
      <c r="H51" s="8" t="n"/>
      <c r="I51" s="6">
        <f>IF(OR(A51="",C51=""),"", XLOOKUP(C51, Constants!$A:$A, Constants!$C:$C, ""))</f>
        <v/>
      </c>
      <c r="J51" s="6">
        <f>IF(OR(A51="",C51=""),"", D51 * (IF(G51="", 1, XLOOKUP(G51, Constants!$E$10:$E$30, Constants!$F$10:$F$30, 1))) * XLOOKUP(C51, Constants!$A:$A, Constants!$D:$D, 0))</f>
        <v/>
      </c>
      <c r="K51" s="6">
        <f>IF(OR(A51="",C51=""),"", D51 * F51 * XLOOKUP(C51, Constants!$A:$A, Constants!$E:$E, 0))</f>
        <v/>
      </c>
      <c r="L51" s="6">
        <f>IF(OR(A51="",C51=""),"", IF(E51="None",0, D51 * IF(E51="Full",1,XLOOKUP("PrimerSpotFactor",Constants!$A$20:$A$40,Constants!$B$20:$B$40,0.35)) * XLOOKUP(C51, Constants!$A:$A, Constants!$F:$F, 0)))</f>
        <v/>
      </c>
      <c r="M51" s="6">
        <f>IF(OR(A51="",C51=""),"", J51+K51+L51)</f>
        <v/>
      </c>
      <c r="N51" s="6">
        <f>IF(OR(A51="",C51=""),"", M51/60)</f>
        <v/>
      </c>
      <c r="O51" s="6">
        <f>IF(OR(A51="",C51=""),"", N51*(IF(XLOOKUP('Job Control'!$B$3, INPUT_JobSettings!$A:$A, INPUT_JobSettings!$F:$F, "")&lt;&gt;"", XLOOKUP('Job Control'!$B$3, INPUT_JobSettings!$A:$A, INPUT_JobSettings!$F:$F, ""), Summary!$B$4)))</f>
        <v/>
      </c>
      <c r="P51" s="6">
        <f>IF(OR(A51="",C51=""),"", 0)</f>
        <v/>
      </c>
      <c r="Q51" s="6">
        <f>IF(OR(A51="",C51=""),"", (O51+P51)*(IF(XLOOKUP('Job Control'!$B$3, INPUT_JobSettings!$A:$A, INPUT_JobSettings!$G:$G, "")&lt;&gt;"", XLOOKUP('Job Control'!$B$3, INPUT_JobSettings!$A:$A, INPUT_JobSettings!$G:$G, ""), Summary!$B$5)))</f>
        <v/>
      </c>
    </row>
    <row r="52">
      <c r="A52" s="8" t="n"/>
      <c r="B52" s="8" t="n"/>
      <c r="C52" s="8" t="n"/>
      <c r="D52" s="8" t="n"/>
      <c r="E52" s="8" t="n"/>
      <c r="F52" s="8" t="n"/>
      <c r="G52" s="8" t="n"/>
      <c r="H52" s="8" t="n"/>
      <c r="I52" s="6">
        <f>IF(OR(A52="",C52=""),"", XLOOKUP(C52, Constants!$A:$A, Constants!$C:$C, ""))</f>
        <v/>
      </c>
      <c r="J52" s="6">
        <f>IF(OR(A52="",C52=""),"", D52 * (IF(G52="", 1, XLOOKUP(G52, Constants!$E$10:$E$30, Constants!$F$10:$F$30, 1))) * XLOOKUP(C52, Constants!$A:$A, Constants!$D:$D, 0))</f>
        <v/>
      </c>
      <c r="K52" s="6">
        <f>IF(OR(A52="",C52=""),"", D52 * F52 * XLOOKUP(C52, Constants!$A:$A, Constants!$E:$E, 0))</f>
        <v/>
      </c>
      <c r="L52" s="6">
        <f>IF(OR(A52="",C52=""),"", IF(E52="None",0, D52 * IF(E52="Full",1,XLOOKUP("PrimerSpotFactor",Constants!$A$20:$A$40,Constants!$B$20:$B$40,0.35)) * XLOOKUP(C52, Constants!$A:$A, Constants!$F:$F, 0)))</f>
        <v/>
      </c>
      <c r="M52" s="6">
        <f>IF(OR(A52="",C52=""),"", J52+K52+L52)</f>
        <v/>
      </c>
      <c r="N52" s="6">
        <f>IF(OR(A52="",C52=""),"", M52/60)</f>
        <v/>
      </c>
      <c r="O52" s="6">
        <f>IF(OR(A52="",C52=""),"", N52*(IF(XLOOKUP('Job Control'!$B$3, INPUT_JobSettings!$A:$A, INPUT_JobSettings!$F:$F, "")&lt;&gt;"", XLOOKUP('Job Control'!$B$3, INPUT_JobSettings!$A:$A, INPUT_JobSettings!$F:$F, ""), Summary!$B$4)))</f>
        <v/>
      </c>
      <c r="P52" s="6">
        <f>IF(OR(A52="",C52=""),"", 0)</f>
        <v/>
      </c>
      <c r="Q52" s="6">
        <f>IF(OR(A52="",C52=""),"", (O52+P52)*(IF(XLOOKUP('Job Control'!$B$3, INPUT_JobSettings!$A:$A, INPUT_JobSettings!$G:$G, "")&lt;&gt;"", XLOOKUP('Job Control'!$B$3, INPUT_JobSettings!$A:$A, INPUT_JobSettings!$G:$G, ""), Summary!$B$5)))</f>
        <v/>
      </c>
    </row>
    <row r="53">
      <c r="A53" s="8" t="n"/>
      <c r="B53" s="8" t="n"/>
      <c r="C53" s="8" t="n"/>
      <c r="D53" s="8" t="n"/>
      <c r="E53" s="8" t="n"/>
      <c r="F53" s="8" t="n"/>
      <c r="G53" s="8" t="n"/>
      <c r="H53" s="8" t="n"/>
      <c r="I53" s="6">
        <f>IF(OR(A53="",C53=""),"", XLOOKUP(C53, Constants!$A:$A, Constants!$C:$C, ""))</f>
        <v/>
      </c>
      <c r="J53" s="6">
        <f>IF(OR(A53="",C53=""),"", D53 * (IF(G53="", 1, XLOOKUP(G53, Constants!$E$10:$E$30, Constants!$F$10:$F$30, 1))) * XLOOKUP(C53, Constants!$A:$A, Constants!$D:$D, 0))</f>
        <v/>
      </c>
      <c r="K53" s="6">
        <f>IF(OR(A53="",C53=""),"", D53 * F53 * XLOOKUP(C53, Constants!$A:$A, Constants!$E:$E, 0))</f>
        <v/>
      </c>
      <c r="L53" s="6">
        <f>IF(OR(A53="",C53=""),"", IF(E53="None",0, D53 * IF(E53="Full",1,XLOOKUP("PrimerSpotFactor",Constants!$A$20:$A$40,Constants!$B$20:$B$40,0.35)) * XLOOKUP(C53, Constants!$A:$A, Constants!$F:$F, 0)))</f>
        <v/>
      </c>
      <c r="M53" s="6">
        <f>IF(OR(A53="",C53=""),"", J53+K53+L53)</f>
        <v/>
      </c>
      <c r="N53" s="6">
        <f>IF(OR(A53="",C53=""),"", M53/60)</f>
        <v/>
      </c>
      <c r="O53" s="6">
        <f>IF(OR(A53="",C53=""),"", N53*(IF(XLOOKUP('Job Control'!$B$3, INPUT_JobSettings!$A:$A, INPUT_JobSettings!$F:$F, "")&lt;&gt;"", XLOOKUP('Job Control'!$B$3, INPUT_JobSettings!$A:$A, INPUT_JobSettings!$F:$F, ""), Summary!$B$4)))</f>
        <v/>
      </c>
      <c r="P53" s="6">
        <f>IF(OR(A53="",C53=""),"", 0)</f>
        <v/>
      </c>
      <c r="Q53" s="6">
        <f>IF(OR(A53="",C53=""),"", (O53+P53)*(IF(XLOOKUP('Job Control'!$B$3, INPUT_JobSettings!$A:$A, INPUT_JobSettings!$G:$G, "")&lt;&gt;"", XLOOKUP('Job Control'!$B$3, INPUT_JobSettings!$A:$A, INPUT_JobSettings!$G:$G, ""), Summary!$B$5)))</f>
        <v/>
      </c>
    </row>
    <row r="54">
      <c r="A54" s="8" t="n"/>
      <c r="B54" s="8" t="n"/>
      <c r="C54" s="8" t="n"/>
      <c r="D54" s="8" t="n"/>
      <c r="E54" s="8" t="n"/>
      <c r="F54" s="8" t="n"/>
      <c r="G54" s="8" t="n"/>
      <c r="H54" s="8" t="n"/>
      <c r="I54" s="6">
        <f>IF(OR(A54="",C54=""),"", XLOOKUP(C54, Constants!$A:$A, Constants!$C:$C, ""))</f>
        <v/>
      </c>
      <c r="J54" s="6">
        <f>IF(OR(A54="",C54=""),"", D54 * (IF(G54="", 1, XLOOKUP(G54, Constants!$E$10:$E$30, Constants!$F$10:$F$30, 1))) * XLOOKUP(C54, Constants!$A:$A, Constants!$D:$D, 0))</f>
        <v/>
      </c>
      <c r="K54" s="6">
        <f>IF(OR(A54="",C54=""),"", D54 * F54 * XLOOKUP(C54, Constants!$A:$A, Constants!$E:$E, 0))</f>
        <v/>
      </c>
      <c r="L54" s="6">
        <f>IF(OR(A54="",C54=""),"", IF(E54="None",0, D54 * IF(E54="Full",1,XLOOKUP("PrimerSpotFactor",Constants!$A$20:$A$40,Constants!$B$20:$B$40,0.35)) * XLOOKUP(C54, Constants!$A:$A, Constants!$F:$F, 0)))</f>
        <v/>
      </c>
      <c r="M54" s="6">
        <f>IF(OR(A54="",C54=""),"", J54+K54+L54)</f>
        <v/>
      </c>
      <c r="N54" s="6">
        <f>IF(OR(A54="",C54=""),"", M54/60)</f>
        <v/>
      </c>
      <c r="O54" s="6">
        <f>IF(OR(A54="",C54=""),"", N54*(IF(XLOOKUP('Job Control'!$B$3, INPUT_JobSettings!$A:$A, INPUT_JobSettings!$F:$F, "")&lt;&gt;"", XLOOKUP('Job Control'!$B$3, INPUT_JobSettings!$A:$A, INPUT_JobSettings!$F:$F, ""), Summary!$B$4)))</f>
        <v/>
      </c>
      <c r="P54" s="6">
        <f>IF(OR(A54="",C54=""),"", 0)</f>
        <v/>
      </c>
      <c r="Q54" s="6">
        <f>IF(OR(A54="",C54=""),"", (O54+P54)*(IF(XLOOKUP('Job Control'!$B$3, INPUT_JobSettings!$A:$A, INPUT_JobSettings!$G:$G, "")&lt;&gt;"", XLOOKUP('Job Control'!$B$3, INPUT_JobSettings!$A:$A, INPUT_JobSettings!$G:$G, ""), Summary!$B$5)))</f>
        <v/>
      </c>
    </row>
    <row r="55">
      <c r="A55" s="8" t="n"/>
      <c r="B55" s="8" t="n"/>
      <c r="C55" s="8" t="n"/>
      <c r="D55" s="8" t="n"/>
      <c r="E55" s="8" t="n"/>
      <c r="F55" s="8" t="n"/>
      <c r="G55" s="8" t="n"/>
      <c r="H55" s="8" t="n"/>
      <c r="I55" s="6">
        <f>IF(OR(A55="",C55=""),"", XLOOKUP(C55, Constants!$A:$A, Constants!$C:$C, ""))</f>
        <v/>
      </c>
      <c r="J55" s="6">
        <f>IF(OR(A55="",C55=""),"", D55 * (IF(G55="", 1, XLOOKUP(G55, Constants!$E$10:$E$30, Constants!$F$10:$F$30, 1))) * XLOOKUP(C55, Constants!$A:$A, Constants!$D:$D, 0))</f>
        <v/>
      </c>
      <c r="K55" s="6">
        <f>IF(OR(A55="",C55=""),"", D55 * F55 * XLOOKUP(C55, Constants!$A:$A, Constants!$E:$E, 0))</f>
        <v/>
      </c>
      <c r="L55" s="6">
        <f>IF(OR(A55="",C55=""),"", IF(E55="None",0, D55 * IF(E55="Full",1,XLOOKUP("PrimerSpotFactor",Constants!$A$20:$A$40,Constants!$B$20:$B$40,0.35)) * XLOOKUP(C55, Constants!$A:$A, Constants!$F:$F, 0)))</f>
        <v/>
      </c>
      <c r="M55" s="6">
        <f>IF(OR(A55="",C55=""),"", J55+K55+L55)</f>
        <v/>
      </c>
      <c r="N55" s="6">
        <f>IF(OR(A55="",C55=""),"", M55/60)</f>
        <v/>
      </c>
      <c r="O55" s="6">
        <f>IF(OR(A55="",C55=""),"", N55*(IF(XLOOKUP('Job Control'!$B$3, INPUT_JobSettings!$A:$A, INPUT_JobSettings!$F:$F, "")&lt;&gt;"", XLOOKUP('Job Control'!$B$3, INPUT_JobSettings!$A:$A, INPUT_JobSettings!$F:$F, ""), Summary!$B$4)))</f>
        <v/>
      </c>
      <c r="P55" s="6">
        <f>IF(OR(A55="",C55=""),"", 0)</f>
        <v/>
      </c>
      <c r="Q55" s="6">
        <f>IF(OR(A55="",C55=""),"", (O55+P55)*(IF(XLOOKUP('Job Control'!$B$3, INPUT_JobSettings!$A:$A, INPUT_JobSettings!$G:$G, "")&lt;&gt;"", XLOOKUP('Job Control'!$B$3, INPUT_JobSettings!$A:$A, INPUT_JobSettings!$G:$G, ""), Summary!$B$5)))</f>
        <v/>
      </c>
    </row>
    <row r="56">
      <c r="A56" s="8" t="n"/>
      <c r="B56" s="8" t="n"/>
      <c r="C56" s="8" t="n"/>
      <c r="D56" s="8" t="n"/>
      <c r="E56" s="8" t="n"/>
      <c r="F56" s="8" t="n"/>
      <c r="G56" s="8" t="n"/>
      <c r="H56" s="8" t="n"/>
      <c r="I56" s="6">
        <f>IF(OR(A56="",C56=""),"", XLOOKUP(C56, Constants!$A:$A, Constants!$C:$C, ""))</f>
        <v/>
      </c>
      <c r="J56" s="6">
        <f>IF(OR(A56="",C56=""),"", D56 * (IF(G56="", 1, XLOOKUP(G56, Constants!$E$10:$E$30, Constants!$F$10:$F$30, 1))) * XLOOKUP(C56, Constants!$A:$A, Constants!$D:$D, 0))</f>
        <v/>
      </c>
      <c r="K56" s="6">
        <f>IF(OR(A56="",C56=""),"", D56 * F56 * XLOOKUP(C56, Constants!$A:$A, Constants!$E:$E, 0))</f>
        <v/>
      </c>
      <c r="L56" s="6">
        <f>IF(OR(A56="",C56=""),"", IF(E56="None",0, D56 * IF(E56="Full",1,XLOOKUP("PrimerSpotFactor",Constants!$A$20:$A$40,Constants!$B$20:$B$40,0.35)) * XLOOKUP(C56, Constants!$A:$A, Constants!$F:$F, 0)))</f>
        <v/>
      </c>
      <c r="M56" s="6">
        <f>IF(OR(A56="",C56=""),"", J56+K56+L56)</f>
        <v/>
      </c>
      <c r="N56" s="6">
        <f>IF(OR(A56="",C56=""),"", M56/60)</f>
        <v/>
      </c>
      <c r="O56" s="6">
        <f>IF(OR(A56="",C56=""),"", N56*(IF(XLOOKUP('Job Control'!$B$3, INPUT_JobSettings!$A:$A, INPUT_JobSettings!$F:$F, "")&lt;&gt;"", XLOOKUP('Job Control'!$B$3, INPUT_JobSettings!$A:$A, INPUT_JobSettings!$F:$F, ""), Summary!$B$4)))</f>
        <v/>
      </c>
      <c r="P56" s="6">
        <f>IF(OR(A56="",C56=""),"", 0)</f>
        <v/>
      </c>
      <c r="Q56" s="6">
        <f>IF(OR(A56="",C56=""),"", (O56+P56)*(IF(XLOOKUP('Job Control'!$B$3, INPUT_JobSettings!$A:$A, INPUT_JobSettings!$G:$G, "")&lt;&gt;"", XLOOKUP('Job Control'!$B$3, INPUT_JobSettings!$A:$A, INPUT_JobSettings!$G:$G, ""), Summary!$B$5)))</f>
        <v/>
      </c>
    </row>
    <row r="57">
      <c r="A57" s="8" t="n"/>
      <c r="B57" s="8" t="n"/>
      <c r="C57" s="8" t="n"/>
      <c r="D57" s="8" t="n"/>
      <c r="E57" s="8" t="n"/>
      <c r="F57" s="8" t="n"/>
      <c r="G57" s="8" t="n"/>
      <c r="H57" s="8" t="n"/>
      <c r="I57" s="6">
        <f>IF(OR(A57="",C57=""),"", XLOOKUP(C57, Constants!$A:$A, Constants!$C:$C, ""))</f>
        <v/>
      </c>
      <c r="J57" s="6">
        <f>IF(OR(A57="",C57=""),"", D57 * (IF(G57="", 1, XLOOKUP(G57, Constants!$E$10:$E$30, Constants!$F$10:$F$30, 1))) * XLOOKUP(C57, Constants!$A:$A, Constants!$D:$D, 0))</f>
        <v/>
      </c>
      <c r="K57" s="6">
        <f>IF(OR(A57="",C57=""),"", D57 * F57 * XLOOKUP(C57, Constants!$A:$A, Constants!$E:$E, 0))</f>
        <v/>
      </c>
      <c r="L57" s="6">
        <f>IF(OR(A57="",C57=""),"", IF(E57="None",0, D57 * IF(E57="Full",1,XLOOKUP("PrimerSpotFactor",Constants!$A$20:$A$40,Constants!$B$20:$B$40,0.35)) * XLOOKUP(C57, Constants!$A:$A, Constants!$F:$F, 0)))</f>
        <v/>
      </c>
      <c r="M57" s="6">
        <f>IF(OR(A57="",C57=""),"", J57+K57+L57)</f>
        <v/>
      </c>
      <c r="N57" s="6">
        <f>IF(OR(A57="",C57=""),"", M57/60)</f>
        <v/>
      </c>
      <c r="O57" s="6">
        <f>IF(OR(A57="",C57=""),"", N57*(IF(XLOOKUP('Job Control'!$B$3, INPUT_JobSettings!$A:$A, INPUT_JobSettings!$F:$F, "")&lt;&gt;"", XLOOKUP('Job Control'!$B$3, INPUT_JobSettings!$A:$A, INPUT_JobSettings!$F:$F, ""), Summary!$B$4)))</f>
        <v/>
      </c>
      <c r="P57" s="6">
        <f>IF(OR(A57="",C57=""),"", 0)</f>
        <v/>
      </c>
      <c r="Q57" s="6">
        <f>IF(OR(A57="",C57=""),"", (O57+P57)*(IF(XLOOKUP('Job Control'!$B$3, INPUT_JobSettings!$A:$A, INPUT_JobSettings!$G:$G, "")&lt;&gt;"", XLOOKUP('Job Control'!$B$3, INPUT_JobSettings!$A:$A, INPUT_JobSettings!$G:$G, ""), Summary!$B$5)))</f>
        <v/>
      </c>
    </row>
    <row r="58">
      <c r="A58" s="8" t="n"/>
      <c r="B58" s="8" t="n"/>
      <c r="C58" s="8" t="n"/>
      <c r="D58" s="8" t="n"/>
      <c r="E58" s="8" t="n"/>
      <c r="F58" s="8" t="n"/>
      <c r="G58" s="8" t="n"/>
      <c r="H58" s="8" t="n"/>
      <c r="I58" s="6">
        <f>IF(OR(A58="",C58=""),"", XLOOKUP(C58, Constants!$A:$A, Constants!$C:$C, ""))</f>
        <v/>
      </c>
      <c r="J58" s="6">
        <f>IF(OR(A58="",C58=""),"", D58 * (IF(G58="", 1, XLOOKUP(G58, Constants!$E$10:$E$30, Constants!$F$10:$F$30, 1))) * XLOOKUP(C58, Constants!$A:$A, Constants!$D:$D, 0))</f>
        <v/>
      </c>
      <c r="K58" s="6">
        <f>IF(OR(A58="",C58=""),"", D58 * F58 * XLOOKUP(C58, Constants!$A:$A, Constants!$E:$E, 0))</f>
        <v/>
      </c>
      <c r="L58" s="6">
        <f>IF(OR(A58="",C58=""),"", IF(E58="None",0, D58 * IF(E58="Full",1,XLOOKUP("PrimerSpotFactor",Constants!$A$20:$A$40,Constants!$B$20:$B$40,0.35)) * XLOOKUP(C58, Constants!$A:$A, Constants!$F:$F, 0)))</f>
        <v/>
      </c>
      <c r="M58" s="6">
        <f>IF(OR(A58="",C58=""),"", J58+K58+L58)</f>
        <v/>
      </c>
      <c r="N58" s="6">
        <f>IF(OR(A58="",C58=""),"", M58/60)</f>
        <v/>
      </c>
      <c r="O58" s="6">
        <f>IF(OR(A58="",C58=""),"", N58*(IF(XLOOKUP('Job Control'!$B$3, INPUT_JobSettings!$A:$A, INPUT_JobSettings!$F:$F, "")&lt;&gt;"", XLOOKUP('Job Control'!$B$3, INPUT_JobSettings!$A:$A, INPUT_JobSettings!$F:$F, ""), Summary!$B$4)))</f>
        <v/>
      </c>
      <c r="P58" s="6">
        <f>IF(OR(A58="",C58=""),"", 0)</f>
        <v/>
      </c>
      <c r="Q58" s="6">
        <f>IF(OR(A58="",C58=""),"", (O58+P58)*(IF(XLOOKUP('Job Control'!$B$3, INPUT_JobSettings!$A:$A, INPUT_JobSettings!$G:$G, "")&lt;&gt;"", XLOOKUP('Job Control'!$B$3, INPUT_JobSettings!$A:$A, INPUT_JobSettings!$G:$G, ""), Summary!$B$5)))</f>
        <v/>
      </c>
    </row>
    <row r="59">
      <c r="A59" s="8" t="n"/>
      <c r="B59" s="8" t="n"/>
      <c r="C59" s="8" t="n"/>
      <c r="D59" s="8" t="n"/>
      <c r="E59" s="8" t="n"/>
      <c r="F59" s="8" t="n"/>
      <c r="G59" s="8" t="n"/>
      <c r="H59" s="8" t="n"/>
      <c r="I59" s="6">
        <f>IF(OR(A59="",C59=""),"", XLOOKUP(C59, Constants!$A:$A, Constants!$C:$C, ""))</f>
        <v/>
      </c>
      <c r="J59" s="6">
        <f>IF(OR(A59="",C59=""),"", D59 * (IF(G59="", 1, XLOOKUP(G59, Constants!$E$10:$E$30, Constants!$F$10:$F$30, 1))) * XLOOKUP(C59, Constants!$A:$A, Constants!$D:$D, 0))</f>
        <v/>
      </c>
      <c r="K59" s="6">
        <f>IF(OR(A59="",C59=""),"", D59 * F59 * XLOOKUP(C59, Constants!$A:$A, Constants!$E:$E, 0))</f>
        <v/>
      </c>
      <c r="L59" s="6">
        <f>IF(OR(A59="",C59=""),"", IF(E59="None",0, D59 * IF(E59="Full",1,XLOOKUP("PrimerSpotFactor",Constants!$A$20:$A$40,Constants!$B$20:$B$40,0.35)) * XLOOKUP(C59, Constants!$A:$A, Constants!$F:$F, 0)))</f>
        <v/>
      </c>
      <c r="M59" s="6">
        <f>IF(OR(A59="",C59=""),"", J59+K59+L59)</f>
        <v/>
      </c>
      <c r="N59" s="6">
        <f>IF(OR(A59="",C59=""),"", M59/60)</f>
        <v/>
      </c>
      <c r="O59" s="6">
        <f>IF(OR(A59="",C59=""),"", N59*(IF(XLOOKUP('Job Control'!$B$3, INPUT_JobSettings!$A:$A, INPUT_JobSettings!$F:$F, "")&lt;&gt;"", XLOOKUP('Job Control'!$B$3, INPUT_JobSettings!$A:$A, INPUT_JobSettings!$F:$F, ""), Summary!$B$4)))</f>
        <v/>
      </c>
      <c r="P59" s="6">
        <f>IF(OR(A59="",C59=""),"", 0)</f>
        <v/>
      </c>
      <c r="Q59" s="6">
        <f>IF(OR(A59="",C59=""),"", (O59+P59)*(IF(XLOOKUP('Job Control'!$B$3, INPUT_JobSettings!$A:$A, INPUT_JobSettings!$G:$G, "")&lt;&gt;"", XLOOKUP('Job Control'!$B$3, INPUT_JobSettings!$A:$A, INPUT_JobSettings!$G:$G, ""), Summary!$B$5)))</f>
        <v/>
      </c>
    </row>
    <row r="60">
      <c r="A60" s="8" t="n"/>
      <c r="B60" s="8" t="n"/>
      <c r="C60" s="8" t="n"/>
      <c r="D60" s="8" t="n"/>
      <c r="E60" s="8" t="n"/>
      <c r="F60" s="8" t="n"/>
      <c r="G60" s="8" t="n"/>
      <c r="H60" s="8" t="n"/>
      <c r="I60" s="6">
        <f>IF(OR(A60="",C60=""),"", XLOOKUP(C60, Constants!$A:$A, Constants!$C:$C, ""))</f>
        <v/>
      </c>
      <c r="J60" s="6">
        <f>IF(OR(A60="",C60=""),"", D60 * (IF(G60="", 1, XLOOKUP(G60, Constants!$E$10:$E$30, Constants!$F$10:$F$30, 1))) * XLOOKUP(C60, Constants!$A:$A, Constants!$D:$D, 0))</f>
        <v/>
      </c>
      <c r="K60" s="6">
        <f>IF(OR(A60="",C60=""),"", D60 * F60 * XLOOKUP(C60, Constants!$A:$A, Constants!$E:$E, 0))</f>
        <v/>
      </c>
      <c r="L60" s="6">
        <f>IF(OR(A60="",C60=""),"", IF(E60="None",0, D60 * IF(E60="Full",1,XLOOKUP("PrimerSpotFactor",Constants!$A$20:$A$40,Constants!$B$20:$B$40,0.35)) * XLOOKUP(C60, Constants!$A:$A, Constants!$F:$F, 0)))</f>
        <v/>
      </c>
      <c r="M60" s="6">
        <f>IF(OR(A60="",C60=""),"", J60+K60+L60)</f>
        <v/>
      </c>
      <c r="N60" s="6">
        <f>IF(OR(A60="",C60=""),"", M60/60)</f>
        <v/>
      </c>
      <c r="O60" s="6">
        <f>IF(OR(A60="",C60=""),"", N60*(IF(XLOOKUP('Job Control'!$B$3, INPUT_JobSettings!$A:$A, INPUT_JobSettings!$F:$F, "")&lt;&gt;"", XLOOKUP('Job Control'!$B$3, INPUT_JobSettings!$A:$A, INPUT_JobSettings!$F:$F, ""), Summary!$B$4)))</f>
        <v/>
      </c>
      <c r="P60" s="6">
        <f>IF(OR(A60="",C60=""),"", 0)</f>
        <v/>
      </c>
      <c r="Q60" s="6">
        <f>IF(OR(A60="",C60=""),"", (O60+P60)*(IF(XLOOKUP('Job Control'!$B$3, INPUT_JobSettings!$A:$A, INPUT_JobSettings!$G:$G, "")&lt;&gt;"", XLOOKUP('Job Control'!$B$3, INPUT_JobSettings!$A:$A, INPUT_JobSettings!$G:$G, ""), Summary!$B$5)))</f>
        <v/>
      </c>
    </row>
    <row r="61">
      <c r="A61" s="8" t="n"/>
      <c r="B61" s="8" t="n"/>
      <c r="C61" s="8" t="n"/>
      <c r="D61" s="8" t="n"/>
      <c r="E61" s="8" t="n"/>
      <c r="F61" s="8" t="n"/>
      <c r="G61" s="8" t="n"/>
      <c r="H61" s="8" t="n"/>
      <c r="I61" s="6">
        <f>IF(OR(A61="",C61=""),"", XLOOKUP(C61, Constants!$A:$A, Constants!$C:$C, ""))</f>
        <v/>
      </c>
      <c r="J61" s="6">
        <f>IF(OR(A61="",C61=""),"", D61 * (IF(G61="", 1, XLOOKUP(G61, Constants!$E$10:$E$30, Constants!$F$10:$F$30, 1))) * XLOOKUP(C61, Constants!$A:$A, Constants!$D:$D, 0))</f>
        <v/>
      </c>
      <c r="K61" s="6">
        <f>IF(OR(A61="",C61=""),"", D61 * F61 * XLOOKUP(C61, Constants!$A:$A, Constants!$E:$E, 0))</f>
        <v/>
      </c>
      <c r="L61" s="6">
        <f>IF(OR(A61="",C61=""),"", IF(E61="None",0, D61 * IF(E61="Full",1,XLOOKUP("PrimerSpotFactor",Constants!$A$20:$A$40,Constants!$B$20:$B$40,0.35)) * XLOOKUP(C61, Constants!$A:$A, Constants!$F:$F, 0)))</f>
        <v/>
      </c>
      <c r="M61" s="6">
        <f>IF(OR(A61="",C61=""),"", J61+K61+L61)</f>
        <v/>
      </c>
      <c r="N61" s="6">
        <f>IF(OR(A61="",C61=""),"", M61/60)</f>
        <v/>
      </c>
      <c r="O61" s="6">
        <f>IF(OR(A61="",C61=""),"", N61*(IF(XLOOKUP('Job Control'!$B$3, INPUT_JobSettings!$A:$A, INPUT_JobSettings!$F:$F, "")&lt;&gt;"", XLOOKUP('Job Control'!$B$3, INPUT_JobSettings!$A:$A, INPUT_JobSettings!$F:$F, ""), Summary!$B$4)))</f>
        <v/>
      </c>
      <c r="P61" s="6">
        <f>IF(OR(A61="",C61=""),"", 0)</f>
        <v/>
      </c>
      <c r="Q61" s="6">
        <f>IF(OR(A61="",C61=""),"", (O61+P61)*(IF(XLOOKUP('Job Control'!$B$3, INPUT_JobSettings!$A:$A, INPUT_JobSettings!$G:$G, "")&lt;&gt;"", XLOOKUP('Job Control'!$B$3, INPUT_JobSettings!$A:$A, INPUT_JobSettings!$G:$G, ""), Summary!$B$5)))</f>
        <v/>
      </c>
    </row>
    <row r="62">
      <c r="A62" s="8" t="n"/>
      <c r="B62" s="8" t="n"/>
      <c r="C62" s="8" t="n"/>
      <c r="D62" s="8" t="n"/>
      <c r="E62" s="8" t="n"/>
      <c r="F62" s="8" t="n"/>
      <c r="G62" s="8" t="n"/>
      <c r="H62" s="8" t="n"/>
      <c r="I62" s="6">
        <f>IF(OR(A62="",C62=""),"", XLOOKUP(C62, Constants!$A:$A, Constants!$C:$C, ""))</f>
        <v/>
      </c>
      <c r="J62" s="6">
        <f>IF(OR(A62="",C62=""),"", D62 * (IF(G62="", 1, XLOOKUP(G62, Constants!$E$10:$E$30, Constants!$F$10:$F$30, 1))) * XLOOKUP(C62, Constants!$A:$A, Constants!$D:$D, 0))</f>
        <v/>
      </c>
      <c r="K62" s="6">
        <f>IF(OR(A62="",C62=""),"", D62 * F62 * XLOOKUP(C62, Constants!$A:$A, Constants!$E:$E, 0))</f>
        <v/>
      </c>
      <c r="L62" s="6">
        <f>IF(OR(A62="",C62=""),"", IF(E62="None",0, D62 * IF(E62="Full",1,XLOOKUP("PrimerSpotFactor",Constants!$A$20:$A$40,Constants!$B$20:$B$40,0.35)) * XLOOKUP(C62, Constants!$A:$A, Constants!$F:$F, 0)))</f>
        <v/>
      </c>
      <c r="M62" s="6">
        <f>IF(OR(A62="",C62=""),"", J62+K62+L62)</f>
        <v/>
      </c>
      <c r="N62" s="6">
        <f>IF(OR(A62="",C62=""),"", M62/60)</f>
        <v/>
      </c>
      <c r="O62" s="6">
        <f>IF(OR(A62="",C62=""),"", N62*(IF(XLOOKUP('Job Control'!$B$3, INPUT_JobSettings!$A:$A, INPUT_JobSettings!$F:$F, "")&lt;&gt;"", XLOOKUP('Job Control'!$B$3, INPUT_JobSettings!$A:$A, INPUT_JobSettings!$F:$F, ""), Summary!$B$4)))</f>
        <v/>
      </c>
      <c r="P62" s="6">
        <f>IF(OR(A62="",C62=""),"", 0)</f>
        <v/>
      </c>
      <c r="Q62" s="6">
        <f>IF(OR(A62="",C62=""),"", (O62+P62)*(IF(XLOOKUP('Job Control'!$B$3, INPUT_JobSettings!$A:$A, INPUT_JobSettings!$G:$G, "")&lt;&gt;"", XLOOKUP('Job Control'!$B$3, INPUT_JobSettings!$A:$A, INPUT_JobSettings!$G:$G, ""), Summary!$B$5)))</f>
        <v/>
      </c>
    </row>
    <row r="63">
      <c r="A63" s="8" t="n"/>
      <c r="B63" s="8" t="n"/>
      <c r="C63" s="8" t="n"/>
      <c r="D63" s="8" t="n"/>
      <c r="E63" s="8" t="n"/>
      <c r="F63" s="8" t="n"/>
      <c r="G63" s="8" t="n"/>
      <c r="H63" s="8" t="n"/>
      <c r="I63" s="6">
        <f>IF(OR(A63="",C63=""),"", XLOOKUP(C63, Constants!$A:$A, Constants!$C:$C, ""))</f>
        <v/>
      </c>
      <c r="J63" s="6">
        <f>IF(OR(A63="",C63=""),"", D63 * (IF(G63="", 1, XLOOKUP(G63, Constants!$E$10:$E$30, Constants!$F$10:$F$30, 1))) * XLOOKUP(C63, Constants!$A:$A, Constants!$D:$D, 0))</f>
        <v/>
      </c>
      <c r="K63" s="6">
        <f>IF(OR(A63="",C63=""),"", D63 * F63 * XLOOKUP(C63, Constants!$A:$A, Constants!$E:$E, 0))</f>
        <v/>
      </c>
      <c r="L63" s="6">
        <f>IF(OR(A63="",C63=""),"", IF(E63="None",0, D63 * IF(E63="Full",1,XLOOKUP("PrimerSpotFactor",Constants!$A$20:$A$40,Constants!$B$20:$B$40,0.35)) * XLOOKUP(C63, Constants!$A:$A, Constants!$F:$F, 0)))</f>
        <v/>
      </c>
      <c r="M63" s="6">
        <f>IF(OR(A63="",C63=""),"", J63+K63+L63)</f>
        <v/>
      </c>
      <c r="N63" s="6">
        <f>IF(OR(A63="",C63=""),"", M63/60)</f>
        <v/>
      </c>
      <c r="O63" s="6">
        <f>IF(OR(A63="",C63=""),"", N63*(IF(XLOOKUP('Job Control'!$B$3, INPUT_JobSettings!$A:$A, INPUT_JobSettings!$F:$F, "")&lt;&gt;"", XLOOKUP('Job Control'!$B$3, INPUT_JobSettings!$A:$A, INPUT_JobSettings!$F:$F, ""), Summary!$B$4)))</f>
        <v/>
      </c>
      <c r="P63" s="6">
        <f>IF(OR(A63="",C63=""),"", 0)</f>
        <v/>
      </c>
      <c r="Q63" s="6">
        <f>IF(OR(A63="",C63=""),"", (O63+P63)*(IF(XLOOKUP('Job Control'!$B$3, INPUT_JobSettings!$A:$A, INPUT_JobSettings!$G:$G, "")&lt;&gt;"", XLOOKUP('Job Control'!$B$3, INPUT_JobSettings!$A:$A, INPUT_JobSettings!$G:$G, ""), Summary!$B$5)))</f>
        <v/>
      </c>
    </row>
    <row r="64">
      <c r="A64" s="8" t="n"/>
      <c r="B64" s="8" t="n"/>
      <c r="C64" s="8" t="n"/>
      <c r="D64" s="8" t="n"/>
      <c r="E64" s="8" t="n"/>
      <c r="F64" s="8" t="n"/>
      <c r="G64" s="8" t="n"/>
      <c r="H64" s="8" t="n"/>
      <c r="I64" s="6">
        <f>IF(OR(A64="",C64=""),"", XLOOKUP(C64, Constants!$A:$A, Constants!$C:$C, ""))</f>
        <v/>
      </c>
      <c r="J64" s="6">
        <f>IF(OR(A64="",C64=""),"", D64 * (IF(G64="", 1, XLOOKUP(G64, Constants!$E$10:$E$30, Constants!$F$10:$F$30, 1))) * XLOOKUP(C64, Constants!$A:$A, Constants!$D:$D, 0))</f>
        <v/>
      </c>
      <c r="K64" s="6">
        <f>IF(OR(A64="",C64=""),"", D64 * F64 * XLOOKUP(C64, Constants!$A:$A, Constants!$E:$E, 0))</f>
        <v/>
      </c>
      <c r="L64" s="6">
        <f>IF(OR(A64="",C64=""),"", IF(E64="None",0, D64 * IF(E64="Full",1,XLOOKUP("PrimerSpotFactor",Constants!$A$20:$A$40,Constants!$B$20:$B$40,0.35)) * XLOOKUP(C64, Constants!$A:$A, Constants!$F:$F, 0)))</f>
        <v/>
      </c>
      <c r="M64" s="6">
        <f>IF(OR(A64="",C64=""),"", J64+K64+L64)</f>
        <v/>
      </c>
      <c r="N64" s="6">
        <f>IF(OR(A64="",C64=""),"", M64/60)</f>
        <v/>
      </c>
      <c r="O64" s="6">
        <f>IF(OR(A64="",C64=""),"", N64*(IF(XLOOKUP('Job Control'!$B$3, INPUT_JobSettings!$A:$A, INPUT_JobSettings!$F:$F, "")&lt;&gt;"", XLOOKUP('Job Control'!$B$3, INPUT_JobSettings!$A:$A, INPUT_JobSettings!$F:$F, ""), Summary!$B$4)))</f>
        <v/>
      </c>
      <c r="P64" s="6">
        <f>IF(OR(A64="",C64=""),"", 0)</f>
        <v/>
      </c>
      <c r="Q64" s="6">
        <f>IF(OR(A64="",C64=""),"", (O64+P64)*(IF(XLOOKUP('Job Control'!$B$3, INPUT_JobSettings!$A:$A, INPUT_JobSettings!$G:$G, "")&lt;&gt;"", XLOOKUP('Job Control'!$B$3, INPUT_JobSettings!$A:$A, INPUT_JobSettings!$G:$G, ""), Summary!$B$5)))</f>
        <v/>
      </c>
    </row>
    <row r="65">
      <c r="A65" s="8" t="n"/>
      <c r="B65" s="8" t="n"/>
      <c r="C65" s="8" t="n"/>
      <c r="D65" s="8" t="n"/>
      <c r="E65" s="8" t="n"/>
      <c r="F65" s="8" t="n"/>
      <c r="G65" s="8" t="n"/>
      <c r="H65" s="8" t="n"/>
      <c r="I65" s="6">
        <f>IF(OR(A65="",C65=""),"", XLOOKUP(C65, Constants!$A:$A, Constants!$C:$C, ""))</f>
        <v/>
      </c>
      <c r="J65" s="6">
        <f>IF(OR(A65="",C65=""),"", D65 * (IF(G65="", 1, XLOOKUP(G65, Constants!$E$10:$E$30, Constants!$F$10:$F$30, 1))) * XLOOKUP(C65, Constants!$A:$A, Constants!$D:$D, 0))</f>
        <v/>
      </c>
      <c r="K65" s="6">
        <f>IF(OR(A65="",C65=""),"", D65 * F65 * XLOOKUP(C65, Constants!$A:$A, Constants!$E:$E, 0))</f>
        <v/>
      </c>
      <c r="L65" s="6">
        <f>IF(OR(A65="",C65=""),"", IF(E65="None",0, D65 * IF(E65="Full",1,XLOOKUP("PrimerSpotFactor",Constants!$A$20:$A$40,Constants!$B$20:$B$40,0.35)) * XLOOKUP(C65, Constants!$A:$A, Constants!$F:$F, 0)))</f>
        <v/>
      </c>
      <c r="M65" s="6">
        <f>IF(OR(A65="",C65=""),"", J65+K65+L65)</f>
        <v/>
      </c>
      <c r="N65" s="6">
        <f>IF(OR(A65="",C65=""),"", M65/60)</f>
        <v/>
      </c>
      <c r="O65" s="6">
        <f>IF(OR(A65="",C65=""),"", N65*(IF(XLOOKUP('Job Control'!$B$3, INPUT_JobSettings!$A:$A, INPUT_JobSettings!$F:$F, "")&lt;&gt;"", XLOOKUP('Job Control'!$B$3, INPUT_JobSettings!$A:$A, INPUT_JobSettings!$F:$F, ""), Summary!$B$4)))</f>
        <v/>
      </c>
      <c r="P65" s="6">
        <f>IF(OR(A65="",C65=""),"", 0)</f>
        <v/>
      </c>
      <c r="Q65" s="6">
        <f>IF(OR(A65="",C65=""),"", (O65+P65)*(IF(XLOOKUP('Job Control'!$B$3, INPUT_JobSettings!$A:$A, INPUT_JobSettings!$G:$G, "")&lt;&gt;"", XLOOKUP('Job Control'!$B$3, INPUT_JobSettings!$A:$A, INPUT_JobSettings!$G:$G, ""), Summary!$B$5)))</f>
        <v/>
      </c>
    </row>
    <row r="66">
      <c r="A66" s="8" t="n"/>
      <c r="B66" s="8" t="n"/>
      <c r="C66" s="8" t="n"/>
      <c r="D66" s="8" t="n"/>
      <c r="E66" s="8" t="n"/>
      <c r="F66" s="8" t="n"/>
      <c r="G66" s="8" t="n"/>
      <c r="H66" s="8" t="n"/>
      <c r="I66" s="6">
        <f>IF(OR(A66="",C66=""),"", XLOOKUP(C66, Constants!$A:$A, Constants!$C:$C, ""))</f>
        <v/>
      </c>
      <c r="J66" s="6">
        <f>IF(OR(A66="",C66=""),"", D66 * (IF(G66="", 1, XLOOKUP(G66, Constants!$E$10:$E$30, Constants!$F$10:$F$30, 1))) * XLOOKUP(C66, Constants!$A:$A, Constants!$D:$D, 0))</f>
        <v/>
      </c>
      <c r="K66" s="6">
        <f>IF(OR(A66="",C66=""),"", D66 * F66 * XLOOKUP(C66, Constants!$A:$A, Constants!$E:$E, 0))</f>
        <v/>
      </c>
      <c r="L66" s="6">
        <f>IF(OR(A66="",C66=""),"", IF(E66="None",0, D66 * IF(E66="Full",1,XLOOKUP("PrimerSpotFactor",Constants!$A$20:$A$40,Constants!$B$20:$B$40,0.35)) * XLOOKUP(C66, Constants!$A:$A, Constants!$F:$F, 0)))</f>
        <v/>
      </c>
      <c r="M66" s="6">
        <f>IF(OR(A66="",C66=""),"", J66+K66+L66)</f>
        <v/>
      </c>
      <c r="N66" s="6">
        <f>IF(OR(A66="",C66=""),"", M66/60)</f>
        <v/>
      </c>
      <c r="O66" s="6">
        <f>IF(OR(A66="",C66=""),"", N66*(IF(XLOOKUP('Job Control'!$B$3, INPUT_JobSettings!$A:$A, INPUT_JobSettings!$F:$F, "")&lt;&gt;"", XLOOKUP('Job Control'!$B$3, INPUT_JobSettings!$A:$A, INPUT_JobSettings!$F:$F, ""), Summary!$B$4)))</f>
        <v/>
      </c>
      <c r="P66" s="6">
        <f>IF(OR(A66="",C66=""),"", 0)</f>
        <v/>
      </c>
      <c r="Q66" s="6">
        <f>IF(OR(A66="",C66=""),"", (O66+P66)*(IF(XLOOKUP('Job Control'!$B$3, INPUT_JobSettings!$A:$A, INPUT_JobSettings!$G:$G, "")&lt;&gt;"", XLOOKUP('Job Control'!$B$3, INPUT_JobSettings!$A:$A, INPUT_JobSettings!$G:$G, ""), Summary!$B$5)))</f>
        <v/>
      </c>
    </row>
    <row r="67">
      <c r="A67" s="8" t="n"/>
      <c r="B67" s="8" t="n"/>
      <c r="C67" s="8" t="n"/>
      <c r="D67" s="8" t="n"/>
      <c r="E67" s="8" t="n"/>
      <c r="F67" s="8" t="n"/>
      <c r="G67" s="8" t="n"/>
      <c r="H67" s="8" t="n"/>
      <c r="I67" s="6">
        <f>IF(OR(A67="",C67=""),"", XLOOKUP(C67, Constants!$A:$A, Constants!$C:$C, ""))</f>
        <v/>
      </c>
      <c r="J67" s="6">
        <f>IF(OR(A67="",C67=""),"", D67 * (IF(G67="", 1, XLOOKUP(G67, Constants!$E$10:$E$30, Constants!$F$10:$F$30, 1))) * XLOOKUP(C67, Constants!$A:$A, Constants!$D:$D, 0))</f>
        <v/>
      </c>
      <c r="K67" s="6">
        <f>IF(OR(A67="",C67=""),"", D67 * F67 * XLOOKUP(C67, Constants!$A:$A, Constants!$E:$E, 0))</f>
        <v/>
      </c>
      <c r="L67" s="6">
        <f>IF(OR(A67="",C67=""),"", IF(E67="None",0, D67 * IF(E67="Full",1,XLOOKUP("PrimerSpotFactor",Constants!$A$20:$A$40,Constants!$B$20:$B$40,0.35)) * XLOOKUP(C67, Constants!$A:$A, Constants!$F:$F, 0)))</f>
        <v/>
      </c>
      <c r="M67" s="6">
        <f>IF(OR(A67="",C67=""),"", J67+K67+L67)</f>
        <v/>
      </c>
      <c r="N67" s="6">
        <f>IF(OR(A67="",C67=""),"", M67/60)</f>
        <v/>
      </c>
      <c r="O67" s="6">
        <f>IF(OR(A67="",C67=""),"", N67*(IF(XLOOKUP('Job Control'!$B$3, INPUT_JobSettings!$A:$A, INPUT_JobSettings!$F:$F, "")&lt;&gt;"", XLOOKUP('Job Control'!$B$3, INPUT_JobSettings!$A:$A, INPUT_JobSettings!$F:$F, ""), Summary!$B$4)))</f>
        <v/>
      </c>
      <c r="P67" s="6">
        <f>IF(OR(A67="",C67=""),"", 0)</f>
        <v/>
      </c>
      <c r="Q67" s="6">
        <f>IF(OR(A67="",C67=""),"", (O67+P67)*(IF(XLOOKUP('Job Control'!$B$3, INPUT_JobSettings!$A:$A, INPUT_JobSettings!$G:$G, "")&lt;&gt;"", XLOOKUP('Job Control'!$B$3, INPUT_JobSettings!$A:$A, INPUT_JobSettings!$G:$G, ""), Summary!$B$5)))</f>
        <v/>
      </c>
    </row>
    <row r="68">
      <c r="A68" s="8" t="n"/>
      <c r="B68" s="8" t="n"/>
      <c r="C68" s="8" t="n"/>
      <c r="D68" s="8" t="n"/>
      <c r="E68" s="8" t="n"/>
      <c r="F68" s="8" t="n"/>
      <c r="G68" s="8" t="n"/>
      <c r="H68" s="8" t="n"/>
      <c r="I68" s="6">
        <f>IF(OR(A68="",C68=""),"", XLOOKUP(C68, Constants!$A:$A, Constants!$C:$C, ""))</f>
        <v/>
      </c>
      <c r="J68" s="6">
        <f>IF(OR(A68="",C68=""),"", D68 * (IF(G68="", 1, XLOOKUP(G68, Constants!$E$10:$E$30, Constants!$F$10:$F$30, 1))) * XLOOKUP(C68, Constants!$A:$A, Constants!$D:$D, 0))</f>
        <v/>
      </c>
      <c r="K68" s="6">
        <f>IF(OR(A68="",C68=""),"", D68 * F68 * XLOOKUP(C68, Constants!$A:$A, Constants!$E:$E, 0))</f>
        <v/>
      </c>
      <c r="L68" s="6">
        <f>IF(OR(A68="",C68=""),"", IF(E68="None",0, D68 * IF(E68="Full",1,XLOOKUP("PrimerSpotFactor",Constants!$A$20:$A$40,Constants!$B$20:$B$40,0.35)) * XLOOKUP(C68, Constants!$A:$A, Constants!$F:$F, 0)))</f>
        <v/>
      </c>
      <c r="M68" s="6">
        <f>IF(OR(A68="",C68=""),"", J68+K68+L68)</f>
        <v/>
      </c>
      <c r="N68" s="6">
        <f>IF(OR(A68="",C68=""),"", M68/60)</f>
        <v/>
      </c>
      <c r="O68" s="6">
        <f>IF(OR(A68="",C68=""),"", N68*(IF(XLOOKUP('Job Control'!$B$3, INPUT_JobSettings!$A:$A, INPUT_JobSettings!$F:$F, "")&lt;&gt;"", XLOOKUP('Job Control'!$B$3, INPUT_JobSettings!$A:$A, INPUT_JobSettings!$F:$F, ""), Summary!$B$4)))</f>
        <v/>
      </c>
      <c r="P68" s="6">
        <f>IF(OR(A68="",C68=""),"", 0)</f>
        <v/>
      </c>
      <c r="Q68" s="6">
        <f>IF(OR(A68="",C68=""),"", (O68+P68)*(IF(XLOOKUP('Job Control'!$B$3, INPUT_JobSettings!$A:$A, INPUT_JobSettings!$G:$G, "")&lt;&gt;"", XLOOKUP('Job Control'!$B$3, INPUT_JobSettings!$A:$A, INPUT_JobSettings!$G:$G, ""), Summary!$B$5)))</f>
        <v/>
      </c>
    </row>
    <row r="69">
      <c r="A69" s="8" t="n"/>
      <c r="B69" s="8" t="n"/>
      <c r="C69" s="8" t="n"/>
      <c r="D69" s="8" t="n"/>
      <c r="E69" s="8" t="n"/>
      <c r="F69" s="8" t="n"/>
      <c r="G69" s="8" t="n"/>
      <c r="H69" s="8" t="n"/>
      <c r="I69" s="6">
        <f>IF(OR(A69="",C69=""),"", XLOOKUP(C69, Constants!$A:$A, Constants!$C:$C, ""))</f>
        <v/>
      </c>
      <c r="J69" s="6">
        <f>IF(OR(A69="",C69=""),"", D69 * (IF(G69="", 1, XLOOKUP(G69, Constants!$E$10:$E$30, Constants!$F$10:$F$30, 1))) * XLOOKUP(C69, Constants!$A:$A, Constants!$D:$D, 0))</f>
        <v/>
      </c>
      <c r="K69" s="6">
        <f>IF(OR(A69="",C69=""),"", D69 * F69 * XLOOKUP(C69, Constants!$A:$A, Constants!$E:$E, 0))</f>
        <v/>
      </c>
      <c r="L69" s="6">
        <f>IF(OR(A69="",C69=""),"", IF(E69="None",0, D69 * IF(E69="Full",1,XLOOKUP("PrimerSpotFactor",Constants!$A$20:$A$40,Constants!$B$20:$B$40,0.35)) * XLOOKUP(C69, Constants!$A:$A, Constants!$F:$F, 0)))</f>
        <v/>
      </c>
      <c r="M69" s="6">
        <f>IF(OR(A69="",C69=""),"", J69+K69+L69)</f>
        <v/>
      </c>
      <c r="N69" s="6">
        <f>IF(OR(A69="",C69=""),"", M69/60)</f>
        <v/>
      </c>
      <c r="O69" s="6">
        <f>IF(OR(A69="",C69=""),"", N69*(IF(XLOOKUP('Job Control'!$B$3, INPUT_JobSettings!$A:$A, INPUT_JobSettings!$F:$F, "")&lt;&gt;"", XLOOKUP('Job Control'!$B$3, INPUT_JobSettings!$A:$A, INPUT_JobSettings!$F:$F, ""), Summary!$B$4)))</f>
        <v/>
      </c>
      <c r="P69" s="6">
        <f>IF(OR(A69="",C69=""),"", 0)</f>
        <v/>
      </c>
      <c r="Q69" s="6">
        <f>IF(OR(A69="",C69=""),"", (O69+P69)*(IF(XLOOKUP('Job Control'!$B$3, INPUT_JobSettings!$A:$A, INPUT_JobSettings!$G:$G, "")&lt;&gt;"", XLOOKUP('Job Control'!$B$3, INPUT_JobSettings!$A:$A, INPUT_JobSettings!$G:$G, ""), Summary!$B$5)))</f>
        <v/>
      </c>
    </row>
    <row r="70">
      <c r="A70" s="8" t="n"/>
      <c r="B70" s="8" t="n"/>
      <c r="C70" s="8" t="n"/>
      <c r="D70" s="8" t="n"/>
      <c r="E70" s="8" t="n"/>
      <c r="F70" s="8" t="n"/>
      <c r="G70" s="8" t="n"/>
      <c r="H70" s="8" t="n"/>
      <c r="I70" s="6">
        <f>IF(OR(A70="",C70=""),"", XLOOKUP(C70, Constants!$A:$A, Constants!$C:$C, ""))</f>
        <v/>
      </c>
      <c r="J70" s="6">
        <f>IF(OR(A70="",C70=""),"", D70 * (IF(G70="", 1, XLOOKUP(G70, Constants!$E$10:$E$30, Constants!$F$10:$F$30, 1))) * XLOOKUP(C70, Constants!$A:$A, Constants!$D:$D, 0))</f>
        <v/>
      </c>
      <c r="K70" s="6">
        <f>IF(OR(A70="",C70=""),"", D70 * F70 * XLOOKUP(C70, Constants!$A:$A, Constants!$E:$E, 0))</f>
        <v/>
      </c>
      <c r="L70" s="6">
        <f>IF(OR(A70="",C70=""),"", IF(E70="None",0, D70 * IF(E70="Full",1,XLOOKUP("PrimerSpotFactor",Constants!$A$20:$A$40,Constants!$B$20:$B$40,0.35)) * XLOOKUP(C70, Constants!$A:$A, Constants!$F:$F, 0)))</f>
        <v/>
      </c>
      <c r="M70" s="6">
        <f>IF(OR(A70="",C70=""),"", J70+K70+L70)</f>
        <v/>
      </c>
      <c r="N70" s="6">
        <f>IF(OR(A70="",C70=""),"", M70/60)</f>
        <v/>
      </c>
      <c r="O70" s="6">
        <f>IF(OR(A70="",C70=""),"", N70*(IF(XLOOKUP('Job Control'!$B$3, INPUT_JobSettings!$A:$A, INPUT_JobSettings!$F:$F, "")&lt;&gt;"", XLOOKUP('Job Control'!$B$3, INPUT_JobSettings!$A:$A, INPUT_JobSettings!$F:$F, ""), Summary!$B$4)))</f>
        <v/>
      </c>
      <c r="P70" s="6">
        <f>IF(OR(A70="",C70=""),"", 0)</f>
        <v/>
      </c>
      <c r="Q70" s="6">
        <f>IF(OR(A70="",C70=""),"", (O70+P70)*(IF(XLOOKUP('Job Control'!$B$3, INPUT_JobSettings!$A:$A, INPUT_JobSettings!$G:$G, "")&lt;&gt;"", XLOOKUP('Job Control'!$B$3, INPUT_JobSettings!$A:$A, INPUT_JobSettings!$G:$G, ""), Summary!$B$5)))</f>
        <v/>
      </c>
    </row>
    <row r="71">
      <c r="A71" s="8" t="n"/>
      <c r="B71" s="8" t="n"/>
      <c r="C71" s="8" t="n"/>
      <c r="D71" s="8" t="n"/>
      <c r="E71" s="8" t="n"/>
      <c r="F71" s="8" t="n"/>
      <c r="G71" s="8" t="n"/>
      <c r="H71" s="8" t="n"/>
      <c r="I71" s="6">
        <f>IF(OR(A71="",C71=""),"", XLOOKUP(C71, Constants!$A:$A, Constants!$C:$C, ""))</f>
        <v/>
      </c>
      <c r="J71" s="6">
        <f>IF(OR(A71="",C71=""),"", D71 * (IF(G71="", 1, XLOOKUP(G71, Constants!$E$10:$E$30, Constants!$F$10:$F$30, 1))) * XLOOKUP(C71, Constants!$A:$A, Constants!$D:$D, 0))</f>
        <v/>
      </c>
      <c r="K71" s="6">
        <f>IF(OR(A71="",C71=""),"", D71 * F71 * XLOOKUP(C71, Constants!$A:$A, Constants!$E:$E, 0))</f>
        <v/>
      </c>
      <c r="L71" s="6">
        <f>IF(OR(A71="",C71=""),"", IF(E71="None",0, D71 * IF(E71="Full",1,XLOOKUP("PrimerSpotFactor",Constants!$A$20:$A$40,Constants!$B$20:$B$40,0.35)) * XLOOKUP(C71, Constants!$A:$A, Constants!$F:$F, 0)))</f>
        <v/>
      </c>
      <c r="M71" s="6">
        <f>IF(OR(A71="",C71=""),"", J71+K71+L71)</f>
        <v/>
      </c>
      <c r="N71" s="6">
        <f>IF(OR(A71="",C71=""),"", M71/60)</f>
        <v/>
      </c>
      <c r="O71" s="6">
        <f>IF(OR(A71="",C71=""),"", N71*(IF(XLOOKUP('Job Control'!$B$3, INPUT_JobSettings!$A:$A, INPUT_JobSettings!$F:$F, "")&lt;&gt;"", XLOOKUP('Job Control'!$B$3, INPUT_JobSettings!$A:$A, INPUT_JobSettings!$F:$F, ""), Summary!$B$4)))</f>
        <v/>
      </c>
      <c r="P71" s="6">
        <f>IF(OR(A71="",C71=""),"", 0)</f>
        <v/>
      </c>
      <c r="Q71" s="6">
        <f>IF(OR(A71="",C71=""),"", (O71+P71)*(IF(XLOOKUP('Job Control'!$B$3, INPUT_JobSettings!$A:$A, INPUT_JobSettings!$G:$G, "")&lt;&gt;"", XLOOKUP('Job Control'!$B$3, INPUT_JobSettings!$A:$A, INPUT_JobSettings!$G:$G, ""), Summary!$B$5)))</f>
        <v/>
      </c>
    </row>
    <row r="72">
      <c r="A72" s="8" t="n"/>
      <c r="B72" s="8" t="n"/>
      <c r="C72" s="8" t="n"/>
      <c r="D72" s="8" t="n"/>
      <c r="E72" s="8" t="n"/>
      <c r="F72" s="8" t="n"/>
      <c r="G72" s="8" t="n"/>
      <c r="H72" s="8" t="n"/>
      <c r="I72" s="6">
        <f>IF(OR(A72="",C72=""),"", XLOOKUP(C72, Constants!$A:$A, Constants!$C:$C, ""))</f>
        <v/>
      </c>
      <c r="J72" s="6">
        <f>IF(OR(A72="",C72=""),"", D72 * (IF(G72="", 1, XLOOKUP(G72, Constants!$E$10:$E$30, Constants!$F$10:$F$30, 1))) * XLOOKUP(C72, Constants!$A:$A, Constants!$D:$D, 0))</f>
        <v/>
      </c>
      <c r="K72" s="6">
        <f>IF(OR(A72="",C72=""),"", D72 * F72 * XLOOKUP(C72, Constants!$A:$A, Constants!$E:$E, 0))</f>
        <v/>
      </c>
      <c r="L72" s="6">
        <f>IF(OR(A72="",C72=""),"", IF(E72="None",0, D72 * IF(E72="Full",1,XLOOKUP("PrimerSpotFactor",Constants!$A$20:$A$40,Constants!$B$20:$B$40,0.35)) * XLOOKUP(C72, Constants!$A:$A, Constants!$F:$F, 0)))</f>
        <v/>
      </c>
      <c r="M72" s="6">
        <f>IF(OR(A72="",C72=""),"", J72+K72+L72)</f>
        <v/>
      </c>
      <c r="N72" s="6">
        <f>IF(OR(A72="",C72=""),"", M72/60)</f>
        <v/>
      </c>
      <c r="O72" s="6">
        <f>IF(OR(A72="",C72=""),"", N72*(IF(XLOOKUP('Job Control'!$B$3, INPUT_JobSettings!$A:$A, INPUT_JobSettings!$F:$F, "")&lt;&gt;"", XLOOKUP('Job Control'!$B$3, INPUT_JobSettings!$A:$A, INPUT_JobSettings!$F:$F, ""), Summary!$B$4)))</f>
        <v/>
      </c>
      <c r="P72" s="6">
        <f>IF(OR(A72="",C72=""),"", 0)</f>
        <v/>
      </c>
      <c r="Q72" s="6">
        <f>IF(OR(A72="",C72=""),"", (O72+P72)*(IF(XLOOKUP('Job Control'!$B$3, INPUT_JobSettings!$A:$A, INPUT_JobSettings!$G:$G, "")&lt;&gt;"", XLOOKUP('Job Control'!$B$3, INPUT_JobSettings!$A:$A, INPUT_JobSettings!$G:$G, ""), Summary!$B$5)))</f>
        <v/>
      </c>
    </row>
    <row r="73">
      <c r="A73" s="8" t="n"/>
      <c r="B73" s="8" t="n"/>
      <c r="C73" s="8" t="n"/>
      <c r="D73" s="8" t="n"/>
      <c r="E73" s="8" t="n"/>
      <c r="F73" s="8" t="n"/>
      <c r="G73" s="8" t="n"/>
      <c r="H73" s="8" t="n"/>
      <c r="I73" s="6">
        <f>IF(OR(A73="",C73=""),"", XLOOKUP(C73, Constants!$A:$A, Constants!$C:$C, ""))</f>
        <v/>
      </c>
      <c r="J73" s="6">
        <f>IF(OR(A73="",C73=""),"", D73 * (IF(G73="", 1, XLOOKUP(G73, Constants!$E$10:$E$30, Constants!$F$10:$F$30, 1))) * XLOOKUP(C73, Constants!$A:$A, Constants!$D:$D, 0))</f>
        <v/>
      </c>
      <c r="K73" s="6">
        <f>IF(OR(A73="",C73=""),"", D73 * F73 * XLOOKUP(C73, Constants!$A:$A, Constants!$E:$E, 0))</f>
        <v/>
      </c>
      <c r="L73" s="6">
        <f>IF(OR(A73="",C73=""),"", IF(E73="None",0, D73 * IF(E73="Full",1,XLOOKUP("PrimerSpotFactor",Constants!$A$20:$A$40,Constants!$B$20:$B$40,0.35)) * XLOOKUP(C73, Constants!$A:$A, Constants!$F:$F, 0)))</f>
        <v/>
      </c>
      <c r="M73" s="6">
        <f>IF(OR(A73="",C73=""),"", J73+K73+L73)</f>
        <v/>
      </c>
      <c r="N73" s="6">
        <f>IF(OR(A73="",C73=""),"", M73/60)</f>
        <v/>
      </c>
      <c r="O73" s="6">
        <f>IF(OR(A73="",C73=""),"", N73*(IF(XLOOKUP('Job Control'!$B$3, INPUT_JobSettings!$A:$A, INPUT_JobSettings!$F:$F, "")&lt;&gt;"", XLOOKUP('Job Control'!$B$3, INPUT_JobSettings!$A:$A, INPUT_JobSettings!$F:$F, ""), Summary!$B$4)))</f>
        <v/>
      </c>
      <c r="P73" s="6">
        <f>IF(OR(A73="",C73=""),"", 0)</f>
        <v/>
      </c>
      <c r="Q73" s="6">
        <f>IF(OR(A73="",C73=""),"", (O73+P73)*(IF(XLOOKUP('Job Control'!$B$3, INPUT_JobSettings!$A:$A, INPUT_JobSettings!$G:$G, "")&lt;&gt;"", XLOOKUP('Job Control'!$B$3, INPUT_JobSettings!$A:$A, INPUT_JobSettings!$G:$G, ""), Summary!$B$5)))</f>
        <v/>
      </c>
    </row>
    <row r="74">
      <c r="A74" s="8" t="n"/>
      <c r="B74" s="8" t="n"/>
      <c r="C74" s="8" t="n"/>
      <c r="D74" s="8" t="n"/>
      <c r="E74" s="8" t="n"/>
      <c r="F74" s="8" t="n"/>
      <c r="G74" s="8" t="n"/>
      <c r="H74" s="8" t="n"/>
      <c r="I74" s="6">
        <f>IF(OR(A74="",C74=""),"", XLOOKUP(C74, Constants!$A:$A, Constants!$C:$C, ""))</f>
        <v/>
      </c>
      <c r="J74" s="6">
        <f>IF(OR(A74="",C74=""),"", D74 * (IF(G74="", 1, XLOOKUP(G74, Constants!$E$10:$E$30, Constants!$F$10:$F$30, 1))) * XLOOKUP(C74, Constants!$A:$A, Constants!$D:$D, 0))</f>
        <v/>
      </c>
      <c r="K74" s="6">
        <f>IF(OR(A74="",C74=""),"", D74 * F74 * XLOOKUP(C74, Constants!$A:$A, Constants!$E:$E, 0))</f>
        <v/>
      </c>
      <c r="L74" s="6">
        <f>IF(OR(A74="",C74=""),"", IF(E74="None",0, D74 * IF(E74="Full",1,XLOOKUP("PrimerSpotFactor",Constants!$A$20:$A$40,Constants!$B$20:$B$40,0.35)) * XLOOKUP(C74, Constants!$A:$A, Constants!$F:$F, 0)))</f>
        <v/>
      </c>
      <c r="M74" s="6">
        <f>IF(OR(A74="",C74=""),"", J74+K74+L74)</f>
        <v/>
      </c>
      <c r="N74" s="6">
        <f>IF(OR(A74="",C74=""),"", M74/60)</f>
        <v/>
      </c>
      <c r="O74" s="6">
        <f>IF(OR(A74="",C74=""),"", N74*(IF(XLOOKUP('Job Control'!$B$3, INPUT_JobSettings!$A:$A, INPUT_JobSettings!$F:$F, "")&lt;&gt;"", XLOOKUP('Job Control'!$B$3, INPUT_JobSettings!$A:$A, INPUT_JobSettings!$F:$F, ""), Summary!$B$4)))</f>
        <v/>
      </c>
      <c r="P74" s="6">
        <f>IF(OR(A74="",C74=""),"", 0)</f>
        <v/>
      </c>
      <c r="Q74" s="6">
        <f>IF(OR(A74="",C74=""),"", (O74+P74)*(IF(XLOOKUP('Job Control'!$B$3, INPUT_JobSettings!$A:$A, INPUT_JobSettings!$G:$G, "")&lt;&gt;"", XLOOKUP('Job Control'!$B$3, INPUT_JobSettings!$A:$A, INPUT_JobSettings!$G:$G, ""), Summary!$B$5)))</f>
        <v/>
      </c>
    </row>
    <row r="75">
      <c r="A75" s="8" t="n"/>
      <c r="B75" s="8" t="n"/>
      <c r="C75" s="8" t="n"/>
      <c r="D75" s="8" t="n"/>
      <c r="E75" s="8" t="n"/>
      <c r="F75" s="8" t="n"/>
      <c r="G75" s="8" t="n"/>
      <c r="H75" s="8" t="n"/>
      <c r="I75" s="6">
        <f>IF(OR(A75="",C75=""),"", XLOOKUP(C75, Constants!$A:$A, Constants!$C:$C, ""))</f>
        <v/>
      </c>
      <c r="J75" s="6">
        <f>IF(OR(A75="",C75=""),"", D75 * (IF(G75="", 1, XLOOKUP(G75, Constants!$E$10:$E$30, Constants!$F$10:$F$30, 1))) * XLOOKUP(C75, Constants!$A:$A, Constants!$D:$D, 0))</f>
        <v/>
      </c>
      <c r="K75" s="6">
        <f>IF(OR(A75="",C75=""),"", D75 * F75 * XLOOKUP(C75, Constants!$A:$A, Constants!$E:$E, 0))</f>
        <v/>
      </c>
      <c r="L75" s="6">
        <f>IF(OR(A75="",C75=""),"", IF(E75="None",0, D75 * IF(E75="Full",1,XLOOKUP("PrimerSpotFactor",Constants!$A$20:$A$40,Constants!$B$20:$B$40,0.35)) * XLOOKUP(C75, Constants!$A:$A, Constants!$F:$F, 0)))</f>
        <v/>
      </c>
      <c r="M75" s="6">
        <f>IF(OR(A75="",C75=""),"", J75+K75+L75)</f>
        <v/>
      </c>
      <c r="N75" s="6">
        <f>IF(OR(A75="",C75=""),"", M75/60)</f>
        <v/>
      </c>
      <c r="O75" s="6">
        <f>IF(OR(A75="",C75=""),"", N75*(IF(XLOOKUP('Job Control'!$B$3, INPUT_JobSettings!$A:$A, INPUT_JobSettings!$F:$F, "")&lt;&gt;"", XLOOKUP('Job Control'!$B$3, INPUT_JobSettings!$A:$A, INPUT_JobSettings!$F:$F, ""), Summary!$B$4)))</f>
        <v/>
      </c>
      <c r="P75" s="6">
        <f>IF(OR(A75="",C75=""),"", 0)</f>
        <v/>
      </c>
      <c r="Q75" s="6">
        <f>IF(OR(A75="",C75=""),"", (O75+P75)*(IF(XLOOKUP('Job Control'!$B$3, INPUT_JobSettings!$A:$A, INPUT_JobSettings!$G:$G, "")&lt;&gt;"", XLOOKUP('Job Control'!$B$3, INPUT_JobSettings!$A:$A, INPUT_JobSettings!$G:$G, ""), Summary!$B$5)))</f>
        <v/>
      </c>
    </row>
    <row r="76">
      <c r="A76" s="8" t="n"/>
      <c r="B76" s="8" t="n"/>
      <c r="C76" s="8" t="n"/>
      <c r="D76" s="8" t="n"/>
      <c r="E76" s="8" t="n"/>
      <c r="F76" s="8" t="n"/>
      <c r="G76" s="8" t="n"/>
      <c r="H76" s="8" t="n"/>
      <c r="I76" s="6">
        <f>IF(OR(A76="",C76=""),"", XLOOKUP(C76, Constants!$A:$A, Constants!$C:$C, ""))</f>
        <v/>
      </c>
      <c r="J76" s="6">
        <f>IF(OR(A76="",C76=""),"", D76 * (IF(G76="", 1, XLOOKUP(G76, Constants!$E$10:$E$30, Constants!$F$10:$F$30, 1))) * XLOOKUP(C76, Constants!$A:$A, Constants!$D:$D, 0))</f>
        <v/>
      </c>
      <c r="K76" s="6">
        <f>IF(OR(A76="",C76=""),"", D76 * F76 * XLOOKUP(C76, Constants!$A:$A, Constants!$E:$E, 0))</f>
        <v/>
      </c>
      <c r="L76" s="6">
        <f>IF(OR(A76="",C76=""),"", IF(E76="None",0, D76 * IF(E76="Full",1,XLOOKUP("PrimerSpotFactor",Constants!$A$20:$A$40,Constants!$B$20:$B$40,0.35)) * XLOOKUP(C76, Constants!$A:$A, Constants!$F:$F, 0)))</f>
        <v/>
      </c>
      <c r="M76" s="6">
        <f>IF(OR(A76="",C76=""),"", J76+K76+L76)</f>
        <v/>
      </c>
      <c r="N76" s="6">
        <f>IF(OR(A76="",C76=""),"", M76/60)</f>
        <v/>
      </c>
      <c r="O76" s="6">
        <f>IF(OR(A76="",C76=""),"", N76*(IF(XLOOKUP('Job Control'!$B$3, INPUT_JobSettings!$A:$A, INPUT_JobSettings!$F:$F, "")&lt;&gt;"", XLOOKUP('Job Control'!$B$3, INPUT_JobSettings!$A:$A, INPUT_JobSettings!$F:$F, ""), Summary!$B$4)))</f>
        <v/>
      </c>
      <c r="P76" s="6">
        <f>IF(OR(A76="",C76=""),"", 0)</f>
        <v/>
      </c>
      <c r="Q76" s="6">
        <f>IF(OR(A76="",C76=""),"", (O76+P76)*(IF(XLOOKUP('Job Control'!$B$3, INPUT_JobSettings!$A:$A, INPUT_JobSettings!$G:$G, "")&lt;&gt;"", XLOOKUP('Job Control'!$B$3, INPUT_JobSettings!$A:$A, INPUT_JobSettings!$G:$G, ""), Summary!$B$5)))</f>
        <v/>
      </c>
    </row>
    <row r="77">
      <c r="A77" s="8" t="n"/>
      <c r="B77" s="8" t="n"/>
      <c r="C77" s="8" t="n"/>
      <c r="D77" s="8" t="n"/>
      <c r="E77" s="8" t="n"/>
      <c r="F77" s="8" t="n"/>
      <c r="G77" s="8" t="n"/>
      <c r="H77" s="8" t="n"/>
      <c r="I77" s="6">
        <f>IF(OR(A77="",C77=""),"", XLOOKUP(C77, Constants!$A:$A, Constants!$C:$C, ""))</f>
        <v/>
      </c>
      <c r="J77" s="6">
        <f>IF(OR(A77="",C77=""),"", D77 * (IF(G77="", 1, XLOOKUP(G77, Constants!$E$10:$E$30, Constants!$F$10:$F$30, 1))) * XLOOKUP(C77, Constants!$A:$A, Constants!$D:$D, 0))</f>
        <v/>
      </c>
      <c r="K77" s="6">
        <f>IF(OR(A77="",C77=""),"", D77 * F77 * XLOOKUP(C77, Constants!$A:$A, Constants!$E:$E, 0))</f>
        <v/>
      </c>
      <c r="L77" s="6">
        <f>IF(OR(A77="",C77=""),"", IF(E77="None",0, D77 * IF(E77="Full",1,XLOOKUP("PrimerSpotFactor",Constants!$A$20:$A$40,Constants!$B$20:$B$40,0.35)) * XLOOKUP(C77, Constants!$A:$A, Constants!$F:$F, 0)))</f>
        <v/>
      </c>
      <c r="M77" s="6">
        <f>IF(OR(A77="",C77=""),"", J77+K77+L77)</f>
        <v/>
      </c>
      <c r="N77" s="6">
        <f>IF(OR(A77="",C77=""),"", M77/60)</f>
        <v/>
      </c>
      <c r="O77" s="6">
        <f>IF(OR(A77="",C77=""),"", N77*(IF(XLOOKUP('Job Control'!$B$3, INPUT_JobSettings!$A:$A, INPUT_JobSettings!$F:$F, "")&lt;&gt;"", XLOOKUP('Job Control'!$B$3, INPUT_JobSettings!$A:$A, INPUT_JobSettings!$F:$F, ""), Summary!$B$4)))</f>
        <v/>
      </c>
      <c r="P77" s="6">
        <f>IF(OR(A77="",C77=""),"", 0)</f>
        <v/>
      </c>
      <c r="Q77" s="6">
        <f>IF(OR(A77="",C77=""),"", (O77+P77)*(IF(XLOOKUP('Job Control'!$B$3, INPUT_JobSettings!$A:$A, INPUT_JobSettings!$G:$G, "")&lt;&gt;"", XLOOKUP('Job Control'!$B$3, INPUT_JobSettings!$A:$A, INPUT_JobSettings!$G:$G, ""), Summary!$B$5)))</f>
        <v/>
      </c>
    </row>
    <row r="78">
      <c r="A78" s="8" t="n"/>
      <c r="B78" s="8" t="n"/>
      <c r="C78" s="8" t="n"/>
      <c r="D78" s="8" t="n"/>
      <c r="E78" s="8" t="n"/>
      <c r="F78" s="8" t="n"/>
      <c r="G78" s="8" t="n"/>
      <c r="H78" s="8" t="n"/>
      <c r="I78" s="6">
        <f>IF(OR(A78="",C78=""),"", XLOOKUP(C78, Constants!$A:$A, Constants!$C:$C, ""))</f>
        <v/>
      </c>
      <c r="J78" s="6">
        <f>IF(OR(A78="",C78=""),"", D78 * (IF(G78="", 1, XLOOKUP(G78, Constants!$E$10:$E$30, Constants!$F$10:$F$30, 1))) * XLOOKUP(C78, Constants!$A:$A, Constants!$D:$D, 0))</f>
        <v/>
      </c>
      <c r="K78" s="6">
        <f>IF(OR(A78="",C78=""),"", D78 * F78 * XLOOKUP(C78, Constants!$A:$A, Constants!$E:$E, 0))</f>
        <v/>
      </c>
      <c r="L78" s="6">
        <f>IF(OR(A78="",C78=""),"", IF(E78="None",0, D78 * IF(E78="Full",1,XLOOKUP("PrimerSpotFactor",Constants!$A$20:$A$40,Constants!$B$20:$B$40,0.35)) * XLOOKUP(C78, Constants!$A:$A, Constants!$F:$F, 0)))</f>
        <v/>
      </c>
      <c r="M78" s="6">
        <f>IF(OR(A78="",C78=""),"", J78+K78+L78)</f>
        <v/>
      </c>
      <c r="N78" s="6">
        <f>IF(OR(A78="",C78=""),"", M78/60)</f>
        <v/>
      </c>
      <c r="O78" s="6">
        <f>IF(OR(A78="",C78=""),"", N78*(IF(XLOOKUP('Job Control'!$B$3, INPUT_JobSettings!$A:$A, INPUT_JobSettings!$F:$F, "")&lt;&gt;"", XLOOKUP('Job Control'!$B$3, INPUT_JobSettings!$A:$A, INPUT_JobSettings!$F:$F, ""), Summary!$B$4)))</f>
        <v/>
      </c>
      <c r="P78" s="6">
        <f>IF(OR(A78="",C78=""),"", 0)</f>
        <v/>
      </c>
      <c r="Q78" s="6">
        <f>IF(OR(A78="",C78=""),"", (O78+P78)*(IF(XLOOKUP('Job Control'!$B$3, INPUT_JobSettings!$A:$A, INPUT_JobSettings!$G:$G, "")&lt;&gt;"", XLOOKUP('Job Control'!$B$3, INPUT_JobSettings!$A:$A, INPUT_JobSettings!$G:$G, ""), Summary!$B$5)))</f>
        <v/>
      </c>
    </row>
    <row r="79">
      <c r="A79" s="8" t="n"/>
      <c r="B79" s="8" t="n"/>
      <c r="C79" s="8" t="n"/>
      <c r="D79" s="8" t="n"/>
      <c r="E79" s="8" t="n"/>
      <c r="F79" s="8" t="n"/>
      <c r="G79" s="8" t="n"/>
      <c r="H79" s="8" t="n"/>
      <c r="I79" s="6">
        <f>IF(OR(A79="",C79=""),"", XLOOKUP(C79, Constants!$A:$A, Constants!$C:$C, ""))</f>
        <v/>
      </c>
      <c r="J79" s="6">
        <f>IF(OR(A79="",C79=""),"", D79 * (IF(G79="", 1, XLOOKUP(G79, Constants!$E$10:$E$30, Constants!$F$10:$F$30, 1))) * XLOOKUP(C79, Constants!$A:$A, Constants!$D:$D, 0))</f>
        <v/>
      </c>
      <c r="K79" s="6">
        <f>IF(OR(A79="",C79=""),"", D79 * F79 * XLOOKUP(C79, Constants!$A:$A, Constants!$E:$E, 0))</f>
        <v/>
      </c>
      <c r="L79" s="6">
        <f>IF(OR(A79="",C79=""),"", IF(E79="None",0, D79 * IF(E79="Full",1,XLOOKUP("PrimerSpotFactor",Constants!$A$20:$A$40,Constants!$B$20:$B$40,0.35)) * XLOOKUP(C79, Constants!$A:$A, Constants!$F:$F, 0)))</f>
        <v/>
      </c>
      <c r="M79" s="6">
        <f>IF(OR(A79="",C79=""),"", J79+K79+L79)</f>
        <v/>
      </c>
      <c r="N79" s="6">
        <f>IF(OR(A79="",C79=""),"", M79/60)</f>
        <v/>
      </c>
      <c r="O79" s="6">
        <f>IF(OR(A79="",C79=""),"", N79*(IF(XLOOKUP('Job Control'!$B$3, INPUT_JobSettings!$A:$A, INPUT_JobSettings!$F:$F, "")&lt;&gt;"", XLOOKUP('Job Control'!$B$3, INPUT_JobSettings!$A:$A, INPUT_JobSettings!$F:$F, ""), Summary!$B$4)))</f>
        <v/>
      </c>
      <c r="P79" s="6">
        <f>IF(OR(A79="",C79=""),"", 0)</f>
        <v/>
      </c>
      <c r="Q79" s="6">
        <f>IF(OR(A79="",C79=""),"", (O79+P79)*(IF(XLOOKUP('Job Control'!$B$3, INPUT_JobSettings!$A:$A, INPUT_JobSettings!$G:$G, "")&lt;&gt;"", XLOOKUP('Job Control'!$B$3, INPUT_JobSettings!$A:$A, INPUT_JobSettings!$G:$G, ""), Summary!$B$5)))</f>
        <v/>
      </c>
    </row>
    <row r="80">
      <c r="A80" s="8" t="n"/>
      <c r="B80" s="8" t="n"/>
      <c r="C80" s="8" t="n"/>
      <c r="D80" s="8" t="n"/>
      <c r="E80" s="8" t="n"/>
      <c r="F80" s="8" t="n"/>
      <c r="G80" s="8" t="n"/>
      <c r="H80" s="8" t="n"/>
      <c r="I80" s="6">
        <f>IF(OR(A80="",C80=""),"", XLOOKUP(C80, Constants!$A:$A, Constants!$C:$C, ""))</f>
        <v/>
      </c>
      <c r="J80" s="6">
        <f>IF(OR(A80="",C80=""),"", D80 * (IF(G80="", 1, XLOOKUP(G80, Constants!$E$10:$E$30, Constants!$F$10:$F$30, 1))) * XLOOKUP(C80, Constants!$A:$A, Constants!$D:$D, 0))</f>
        <v/>
      </c>
      <c r="K80" s="6">
        <f>IF(OR(A80="",C80=""),"", D80 * F80 * XLOOKUP(C80, Constants!$A:$A, Constants!$E:$E, 0))</f>
        <v/>
      </c>
      <c r="L80" s="6">
        <f>IF(OR(A80="",C80=""),"", IF(E80="None",0, D80 * IF(E80="Full",1,XLOOKUP("PrimerSpotFactor",Constants!$A$20:$A$40,Constants!$B$20:$B$40,0.35)) * XLOOKUP(C80, Constants!$A:$A, Constants!$F:$F, 0)))</f>
        <v/>
      </c>
      <c r="M80" s="6">
        <f>IF(OR(A80="",C80=""),"", J80+K80+L80)</f>
        <v/>
      </c>
      <c r="N80" s="6">
        <f>IF(OR(A80="",C80=""),"", M80/60)</f>
        <v/>
      </c>
      <c r="O80" s="6">
        <f>IF(OR(A80="",C80=""),"", N80*(IF(XLOOKUP('Job Control'!$B$3, INPUT_JobSettings!$A:$A, INPUT_JobSettings!$F:$F, "")&lt;&gt;"", XLOOKUP('Job Control'!$B$3, INPUT_JobSettings!$A:$A, INPUT_JobSettings!$F:$F, ""), Summary!$B$4)))</f>
        <v/>
      </c>
      <c r="P80" s="6">
        <f>IF(OR(A80="",C80=""),"", 0)</f>
        <v/>
      </c>
      <c r="Q80" s="6">
        <f>IF(OR(A80="",C80=""),"", (O80+P80)*(IF(XLOOKUP('Job Control'!$B$3, INPUT_JobSettings!$A:$A, INPUT_JobSettings!$G:$G, "")&lt;&gt;"", XLOOKUP('Job Control'!$B$3, INPUT_JobSettings!$A:$A, INPUT_JobSettings!$G:$G, ""), Summary!$B$5)))</f>
        <v/>
      </c>
    </row>
    <row r="81">
      <c r="A81" s="8" t="n"/>
      <c r="B81" s="8" t="n"/>
      <c r="C81" s="8" t="n"/>
      <c r="D81" s="8" t="n"/>
      <c r="E81" s="8" t="n"/>
      <c r="F81" s="8" t="n"/>
      <c r="G81" s="8" t="n"/>
      <c r="H81" s="8" t="n"/>
      <c r="I81" s="6">
        <f>IF(OR(A81="",C81=""),"", XLOOKUP(C81, Constants!$A:$A, Constants!$C:$C, ""))</f>
        <v/>
      </c>
      <c r="J81" s="6">
        <f>IF(OR(A81="",C81=""),"", D81 * (IF(G81="", 1, XLOOKUP(G81, Constants!$E$10:$E$30, Constants!$F$10:$F$30, 1))) * XLOOKUP(C81, Constants!$A:$A, Constants!$D:$D, 0))</f>
        <v/>
      </c>
      <c r="K81" s="6">
        <f>IF(OR(A81="",C81=""),"", D81 * F81 * XLOOKUP(C81, Constants!$A:$A, Constants!$E:$E, 0))</f>
        <v/>
      </c>
      <c r="L81" s="6">
        <f>IF(OR(A81="",C81=""),"", IF(E81="None",0, D81 * IF(E81="Full",1,XLOOKUP("PrimerSpotFactor",Constants!$A$20:$A$40,Constants!$B$20:$B$40,0.35)) * XLOOKUP(C81, Constants!$A:$A, Constants!$F:$F, 0)))</f>
        <v/>
      </c>
      <c r="M81" s="6">
        <f>IF(OR(A81="",C81=""),"", J81+K81+L81)</f>
        <v/>
      </c>
      <c r="N81" s="6">
        <f>IF(OR(A81="",C81=""),"", M81/60)</f>
        <v/>
      </c>
      <c r="O81" s="6">
        <f>IF(OR(A81="",C81=""),"", N81*(IF(XLOOKUP('Job Control'!$B$3, INPUT_JobSettings!$A:$A, INPUT_JobSettings!$F:$F, "")&lt;&gt;"", XLOOKUP('Job Control'!$B$3, INPUT_JobSettings!$A:$A, INPUT_JobSettings!$F:$F, ""), Summary!$B$4)))</f>
        <v/>
      </c>
      <c r="P81" s="6">
        <f>IF(OR(A81="",C81=""),"", 0)</f>
        <v/>
      </c>
      <c r="Q81" s="6">
        <f>IF(OR(A81="",C81=""),"", (O81+P81)*(IF(XLOOKUP('Job Control'!$B$3, INPUT_JobSettings!$A:$A, INPUT_JobSettings!$G:$G, "")&lt;&gt;"", XLOOKUP('Job Control'!$B$3, INPUT_JobSettings!$A:$A, INPUT_JobSettings!$G:$G, ""), Summary!$B$5)))</f>
        <v/>
      </c>
    </row>
    <row r="82">
      <c r="A82" s="8" t="n"/>
      <c r="B82" s="8" t="n"/>
      <c r="C82" s="8" t="n"/>
      <c r="D82" s="8" t="n"/>
      <c r="E82" s="8" t="n"/>
      <c r="F82" s="8" t="n"/>
      <c r="G82" s="8" t="n"/>
      <c r="H82" s="8" t="n"/>
      <c r="I82" s="6">
        <f>IF(OR(A82="",C82=""),"", XLOOKUP(C82, Constants!$A:$A, Constants!$C:$C, ""))</f>
        <v/>
      </c>
      <c r="J82" s="6">
        <f>IF(OR(A82="",C82=""),"", D82 * (IF(G82="", 1, XLOOKUP(G82, Constants!$E$10:$E$30, Constants!$F$10:$F$30, 1))) * XLOOKUP(C82, Constants!$A:$A, Constants!$D:$D, 0))</f>
        <v/>
      </c>
      <c r="K82" s="6">
        <f>IF(OR(A82="",C82=""),"", D82 * F82 * XLOOKUP(C82, Constants!$A:$A, Constants!$E:$E, 0))</f>
        <v/>
      </c>
      <c r="L82" s="6">
        <f>IF(OR(A82="",C82=""),"", IF(E82="None",0, D82 * IF(E82="Full",1,XLOOKUP("PrimerSpotFactor",Constants!$A$20:$A$40,Constants!$B$20:$B$40,0.35)) * XLOOKUP(C82, Constants!$A:$A, Constants!$F:$F, 0)))</f>
        <v/>
      </c>
      <c r="M82" s="6">
        <f>IF(OR(A82="",C82=""),"", J82+K82+L82)</f>
        <v/>
      </c>
      <c r="N82" s="6">
        <f>IF(OR(A82="",C82=""),"", M82/60)</f>
        <v/>
      </c>
      <c r="O82" s="6">
        <f>IF(OR(A82="",C82=""),"", N82*(IF(XLOOKUP('Job Control'!$B$3, INPUT_JobSettings!$A:$A, INPUT_JobSettings!$F:$F, "")&lt;&gt;"", XLOOKUP('Job Control'!$B$3, INPUT_JobSettings!$A:$A, INPUT_JobSettings!$F:$F, ""), Summary!$B$4)))</f>
        <v/>
      </c>
      <c r="P82" s="6">
        <f>IF(OR(A82="",C82=""),"", 0)</f>
        <v/>
      </c>
      <c r="Q82" s="6">
        <f>IF(OR(A82="",C82=""),"", (O82+P82)*(IF(XLOOKUP('Job Control'!$B$3, INPUT_JobSettings!$A:$A, INPUT_JobSettings!$G:$G, "")&lt;&gt;"", XLOOKUP('Job Control'!$B$3, INPUT_JobSettings!$A:$A, INPUT_JobSettings!$G:$G, ""), Summary!$B$5)))</f>
        <v/>
      </c>
    </row>
    <row r="83">
      <c r="A83" s="8" t="n"/>
      <c r="B83" s="8" t="n"/>
      <c r="C83" s="8" t="n"/>
      <c r="D83" s="8" t="n"/>
      <c r="E83" s="8" t="n"/>
      <c r="F83" s="8" t="n"/>
      <c r="G83" s="8" t="n"/>
      <c r="H83" s="8" t="n"/>
      <c r="I83" s="6">
        <f>IF(OR(A83="",C83=""),"", XLOOKUP(C83, Constants!$A:$A, Constants!$C:$C, ""))</f>
        <v/>
      </c>
      <c r="J83" s="6">
        <f>IF(OR(A83="",C83=""),"", D83 * (IF(G83="", 1, XLOOKUP(G83, Constants!$E$10:$E$30, Constants!$F$10:$F$30, 1))) * XLOOKUP(C83, Constants!$A:$A, Constants!$D:$D, 0))</f>
        <v/>
      </c>
      <c r="K83" s="6">
        <f>IF(OR(A83="",C83=""),"", D83 * F83 * XLOOKUP(C83, Constants!$A:$A, Constants!$E:$E, 0))</f>
        <v/>
      </c>
      <c r="L83" s="6">
        <f>IF(OR(A83="",C83=""),"", IF(E83="None",0, D83 * IF(E83="Full",1,XLOOKUP("PrimerSpotFactor",Constants!$A$20:$A$40,Constants!$B$20:$B$40,0.35)) * XLOOKUP(C83, Constants!$A:$A, Constants!$F:$F, 0)))</f>
        <v/>
      </c>
      <c r="M83" s="6">
        <f>IF(OR(A83="",C83=""),"", J83+K83+L83)</f>
        <v/>
      </c>
      <c r="N83" s="6">
        <f>IF(OR(A83="",C83=""),"", M83/60)</f>
        <v/>
      </c>
      <c r="O83" s="6">
        <f>IF(OR(A83="",C83=""),"", N83*(IF(XLOOKUP('Job Control'!$B$3, INPUT_JobSettings!$A:$A, INPUT_JobSettings!$F:$F, "")&lt;&gt;"", XLOOKUP('Job Control'!$B$3, INPUT_JobSettings!$A:$A, INPUT_JobSettings!$F:$F, ""), Summary!$B$4)))</f>
        <v/>
      </c>
      <c r="P83" s="6">
        <f>IF(OR(A83="",C83=""),"", 0)</f>
        <v/>
      </c>
      <c r="Q83" s="6">
        <f>IF(OR(A83="",C83=""),"", (O83+P83)*(IF(XLOOKUP('Job Control'!$B$3, INPUT_JobSettings!$A:$A, INPUT_JobSettings!$G:$G, "")&lt;&gt;"", XLOOKUP('Job Control'!$B$3, INPUT_JobSettings!$A:$A, INPUT_JobSettings!$G:$G, ""), Summary!$B$5)))</f>
        <v/>
      </c>
    </row>
    <row r="84">
      <c r="A84" s="8" t="n"/>
      <c r="B84" s="8" t="n"/>
      <c r="C84" s="8" t="n"/>
      <c r="D84" s="8" t="n"/>
      <c r="E84" s="8" t="n"/>
      <c r="F84" s="8" t="n"/>
      <c r="G84" s="8" t="n"/>
      <c r="H84" s="8" t="n"/>
      <c r="I84" s="6">
        <f>IF(OR(A84="",C84=""),"", XLOOKUP(C84, Constants!$A:$A, Constants!$C:$C, ""))</f>
        <v/>
      </c>
      <c r="J84" s="6">
        <f>IF(OR(A84="",C84=""),"", D84 * (IF(G84="", 1, XLOOKUP(G84, Constants!$E$10:$E$30, Constants!$F$10:$F$30, 1))) * XLOOKUP(C84, Constants!$A:$A, Constants!$D:$D, 0))</f>
        <v/>
      </c>
      <c r="K84" s="6">
        <f>IF(OR(A84="",C84=""),"", D84 * F84 * XLOOKUP(C84, Constants!$A:$A, Constants!$E:$E, 0))</f>
        <v/>
      </c>
      <c r="L84" s="6">
        <f>IF(OR(A84="",C84=""),"", IF(E84="None",0, D84 * IF(E84="Full",1,XLOOKUP("PrimerSpotFactor",Constants!$A$20:$A$40,Constants!$B$20:$B$40,0.35)) * XLOOKUP(C84, Constants!$A:$A, Constants!$F:$F, 0)))</f>
        <v/>
      </c>
      <c r="M84" s="6">
        <f>IF(OR(A84="",C84=""),"", J84+K84+L84)</f>
        <v/>
      </c>
      <c r="N84" s="6">
        <f>IF(OR(A84="",C84=""),"", M84/60)</f>
        <v/>
      </c>
      <c r="O84" s="6">
        <f>IF(OR(A84="",C84=""),"", N84*(IF(XLOOKUP('Job Control'!$B$3, INPUT_JobSettings!$A:$A, INPUT_JobSettings!$F:$F, "")&lt;&gt;"", XLOOKUP('Job Control'!$B$3, INPUT_JobSettings!$A:$A, INPUT_JobSettings!$F:$F, ""), Summary!$B$4)))</f>
        <v/>
      </c>
      <c r="P84" s="6">
        <f>IF(OR(A84="",C84=""),"", 0)</f>
        <v/>
      </c>
      <c r="Q84" s="6">
        <f>IF(OR(A84="",C84=""),"", (O84+P84)*(IF(XLOOKUP('Job Control'!$B$3, INPUT_JobSettings!$A:$A, INPUT_JobSettings!$G:$G, "")&lt;&gt;"", XLOOKUP('Job Control'!$B$3, INPUT_JobSettings!$A:$A, INPUT_JobSettings!$G:$G, ""), Summary!$B$5)))</f>
        <v/>
      </c>
    </row>
    <row r="85">
      <c r="A85" s="8" t="n"/>
      <c r="B85" s="8" t="n"/>
      <c r="C85" s="8" t="n"/>
      <c r="D85" s="8" t="n"/>
      <c r="E85" s="8" t="n"/>
      <c r="F85" s="8" t="n"/>
      <c r="G85" s="8" t="n"/>
      <c r="H85" s="8" t="n"/>
      <c r="I85" s="6">
        <f>IF(OR(A85="",C85=""),"", XLOOKUP(C85, Constants!$A:$A, Constants!$C:$C, ""))</f>
        <v/>
      </c>
      <c r="J85" s="6">
        <f>IF(OR(A85="",C85=""),"", D85 * (IF(G85="", 1, XLOOKUP(G85, Constants!$E$10:$E$30, Constants!$F$10:$F$30, 1))) * XLOOKUP(C85, Constants!$A:$A, Constants!$D:$D, 0))</f>
        <v/>
      </c>
      <c r="K85" s="6">
        <f>IF(OR(A85="",C85=""),"", D85 * F85 * XLOOKUP(C85, Constants!$A:$A, Constants!$E:$E, 0))</f>
        <v/>
      </c>
      <c r="L85" s="6">
        <f>IF(OR(A85="",C85=""),"", IF(E85="None",0, D85 * IF(E85="Full",1,XLOOKUP("PrimerSpotFactor",Constants!$A$20:$A$40,Constants!$B$20:$B$40,0.35)) * XLOOKUP(C85, Constants!$A:$A, Constants!$F:$F, 0)))</f>
        <v/>
      </c>
      <c r="M85" s="6">
        <f>IF(OR(A85="",C85=""),"", J85+K85+L85)</f>
        <v/>
      </c>
      <c r="N85" s="6">
        <f>IF(OR(A85="",C85=""),"", M85/60)</f>
        <v/>
      </c>
      <c r="O85" s="6">
        <f>IF(OR(A85="",C85=""),"", N85*(IF(XLOOKUP('Job Control'!$B$3, INPUT_JobSettings!$A:$A, INPUT_JobSettings!$F:$F, "")&lt;&gt;"", XLOOKUP('Job Control'!$B$3, INPUT_JobSettings!$A:$A, INPUT_JobSettings!$F:$F, ""), Summary!$B$4)))</f>
        <v/>
      </c>
      <c r="P85" s="6">
        <f>IF(OR(A85="",C85=""),"", 0)</f>
        <v/>
      </c>
      <c r="Q85" s="6">
        <f>IF(OR(A85="",C85=""),"", (O85+P85)*(IF(XLOOKUP('Job Control'!$B$3, INPUT_JobSettings!$A:$A, INPUT_JobSettings!$G:$G, "")&lt;&gt;"", XLOOKUP('Job Control'!$B$3, INPUT_JobSettings!$A:$A, INPUT_JobSettings!$G:$G, ""), Summary!$B$5)))</f>
        <v/>
      </c>
    </row>
    <row r="86">
      <c r="A86" s="8" t="n"/>
      <c r="B86" s="8" t="n"/>
      <c r="C86" s="8" t="n"/>
      <c r="D86" s="8" t="n"/>
      <c r="E86" s="8" t="n"/>
      <c r="F86" s="8" t="n"/>
      <c r="G86" s="8" t="n"/>
      <c r="H86" s="8" t="n"/>
      <c r="I86" s="6">
        <f>IF(OR(A86="",C86=""),"", XLOOKUP(C86, Constants!$A:$A, Constants!$C:$C, ""))</f>
        <v/>
      </c>
      <c r="J86" s="6">
        <f>IF(OR(A86="",C86=""),"", D86 * (IF(G86="", 1, XLOOKUP(G86, Constants!$E$10:$E$30, Constants!$F$10:$F$30, 1))) * XLOOKUP(C86, Constants!$A:$A, Constants!$D:$D, 0))</f>
        <v/>
      </c>
      <c r="K86" s="6">
        <f>IF(OR(A86="",C86=""),"", D86 * F86 * XLOOKUP(C86, Constants!$A:$A, Constants!$E:$E, 0))</f>
        <v/>
      </c>
      <c r="L86" s="6">
        <f>IF(OR(A86="",C86=""),"", IF(E86="None",0, D86 * IF(E86="Full",1,XLOOKUP("PrimerSpotFactor",Constants!$A$20:$A$40,Constants!$B$20:$B$40,0.35)) * XLOOKUP(C86, Constants!$A:$A, Constants!$F:$F, 0)))</f>
        <v/>
      </c>
      <c r="M86" s="6">
        <f>IF(OR(A86="",C86=""),"", J86+K86+L86)</f>
        <v/>
      </c>
      <c r="N86" s="6">
        <f>IF(OR(A86="",C86=""),"", M86/60)</f>
        <v/>
      </c>
      <c r="O86" s="6">
        <f>IF(OR(A86="",C86=""),"", N86*(IF(XLOOKUP('Job Control'!$B$3, INPUT_JobSettings!$A:$A, INPUT_JobSettings!$F:$F, "")&lt;&gt;"", XLOOKUP('Job Control'!$B$3, INPUT_JobSettings!$A:$A, INPUT_JobSettings!$F:$F, ""), Summary!$B$4)))</f>
        <v/>
      </c>
      <c r="P86" s="6">
        <f>IF(OR(A86="",C86=""),"", 0)</f>
        <v/>
      </c>
      <c r="Q86" s="6">
        <f>IF(OR(A86="",C86=""),"", (O86+P86)*(IF(XLOOKUP('Job Control'!$B$3, INPUT_JobSettings!$A:$A, INPUT_JobSettings!$G:$G, "")&lt;&gt;"", XLOOKUP('Job Control'!$B$3, INPUT_JobSettings!$A:$A, INPUT_JobSettings!$G:$G, ""), Summary!$B$5)))</f>
        <v/>
      </c>
    </row>
    <row r="87">
      <c r="A87" s="8" t="n"/>
      <c r="B87" s="8" t="n"/>
      <c r="C87" s="8" t="n"/>
      <c r="D87" s="8" t="n"/>
      <c r="E87" s="8" t="n"/>
      <c r="F87" s="8" t="n"/>
      <c r="G87" s="8" t="n"/>
      <c r="H87" s="8" t="n"/>
      <c r="I87" s="6">
        <f>IF(OR(A87="",C87=""),"", XLOOKUP(C87, Constants!$A:$A, Constants!$C:$C, ""))</f>
        <v/>
      </c>
      <c r="J87" s="6">
        <f>IF(OR(A87="",C87=""),"", D87 * (IF(G87="", 1, XLOOKUP(G87, Constants!$E$10:$E$30, Constants!$F$10:$F$30, 1))) * XLOOKUP(C87, Constants!$A:$A, Constants!$D:$D, 0))</f>
        <v/>
      </c>
      <c r="K87" s="6">
        <f>IF(OR(A87="",C87=""),"", D87 * F87 * XLOOKUP(C87, Constants!$A:$A, Constants!$E:$E, 0))</f>
        <v/>
      </c>
      <c r="L87" s="6">
        <f>IF(OR(A87="",C87=""),"", IF(E87="None",0, D87 * IF(E87="Full",1,XLOOKUP("PrimerSpotFactor",Constants!$A$20:$A$40,Constants!$B$20:$B$40,0.35)) * XLOOKUP(C87, Constants!$A:$A, Constants!$F:$F, 0)))</f>
        <v/>
      </c>
      <c r="M87" s="6">
        <f>IF(OR(A87="",C87=""),"", J87+K87+L87)</f>
        <v/>
      </c>
      <c r="N87" s="6">
        <f>IF(OR(A87="",C87=""),"", M87/60)</f>
        <v/>
      </c>
      <c r="O87" s="6">
        <f>IF(OR(A87="",C87=""),"", N87*(IF(XLOOKUP('Job Control'!$B$3, INPUT_JobSettings!$A:$A, INPUT_JobSettings!$F:$F, "")&lt;&gt;"", XLOOKUP('Job Control'!$B$3, INPUT_JobSettings!$A:$A, INPUT_JobSettings!$F:$F, ""), Summary!$B$4)))</f>
        <v/>
      </c>
      <c r="P87" s="6">
        <f>IF(OR(A87="",C87=""),"", 0)</f>
        <v/>
      </c>
      <c r="Q87" s="6">
        <f>IF(OR(A87="",C87=""),"", (O87+P87)*(IF(XLOOKUP('Job Control'!$B$3, INPUT_JobSettings!$A:$A, INPUT_JobSettings!$G:$G, "")&lt;&gt;"", XLOOKUP('Job Control'!$B$3, INPUT_JobSettings!$A:$A, INPUT_JobSettings!$G:$G, ""), Summary!$B$5)))</f>
        <v/>
      </c>
    </row>
    <row r="88">
      <c r="A88" s="8" t="n"/>
      <c r="B88" s="8" t="n"/>
      <c r="C88" s="8" t="n"/>
      <c r="D88" s="8" t="n"/>
      <c r="E88" s="8" t="n"/>
      <c r="F88" s="8" t="n"/>
      <c r="G88" s="8" t="n"/>
      <c r="H88" s="8" t="n"/>
      <c r="I88" s="6">
        <f>IF(OR(A88="",C88=""),"", XLOOKUP(C88, Constants!$A:$A, Constants!$C:$C, ""))</f>
        <v/>
      </c>
      <c r="J88" s="6">
        <f>IF(OR(A88="",C88=""),"", D88 * (IF(G88="", 1, XLOOKUP(G88, Constants!$E$10:$E$30, Constants!$F$10:$F$30, 1))) * XLOOKUP(C88, Constants!$A:$A, Constants!$D:$D, 0))</f>
        <v/>
      </c>
      <c r="K88" s="6">
        <f>IF(OR(A88="",C88=""),"", D88 * F88 * XLOOKUP(C88, Constants!$A:$A, Constants!$E:$E, 0))</f>
        <v/>
      </c>
      <c r="L88" s="6">
        <f>IF(OR(A88="",C88=""),"", IF(E88="None",0, D88 * IF(E88="Full",1,XLOOKUP("PrimerSpotFactor",Constants!$A$20:$A$40,Constants!$B$20:$B$40,0.35)) * XLOOKUP(C88, Constants!$A:$A, Constants!$F:$F, 0)))</f>
        <v/>
      </c>
      <c r="M88" s="6">
        <f>IF(OR(A88="",C88=""),"", J88+K88+L88)</f>
        <v/>
      </c>
      <c r="N88" s="6">
        <f>IF(OR(A88="",C88=""),"", M88/60)</f>
        <v/>
      </c>
      <c r="O88" s="6">
        <f>IF(OR(A88="",C88=""),"", N88*(IF(XLOOKUP('Job Control'!$B$3, INPUT_JobSettings!$A:$A, INPUT_JobSettings!$F:$F, "")&lt;&gt;"", XLOOKUP('Job Control'!$B$3, INPUT_JobSettings!$A:$A, INPUT_JobSettings!$F:$F, ""), Summary!$B$4)))</f>
        <v/>
      </c>
      <c r="P88" s="6">
        <f>IF(OR(A88="",C88=""),"", 0)</f>
        <v/>
      </c>
      <c r="Q88" s="6">
        <f>IF(OR(A88="",C88=""),"", (O88+P88)*(IF(XLOOKUP('Job Control'!$B$3, INPUT_JobSettings!$A:$A, INPUT_JobSettings!$G:$G, "")&lt;&gt;"", XLOOKUP('Job Control'!$B$3, INPUT_JobSettings!$A:$A, INPUT_JobSettings!$G:$G, ""), Summary!$B$5)))</f>
        <v/>
      </c>
    </row>
    <row r="89">
      <c r="A89" s="8" t="n"/>
      <c r="B89" s="8" t="n"/>
      <c r="C89" s="8" t="n"/>
      <c r="D89" s="8" t="n"/>
      <c r="E89" s="8" t="n"/>
      <c r="F89" s="8" t="n"/>
      <c r="G89" s="8" t="n"/>
      <c r="H89" s="8" t="n"/>
      <c r="I89" s="6">
        <f>IF(OR(A89="",C89=""),"", XLOOKUP(C89, Constants!$A:$A, Constants!$C:$C, ""))</f>
        <v/>
      </c>
      <c r="J89" s="6">
        <f>IF(OR(A89="",C89=""),"", D89 * (IF(G89="", 1, XLOOKUP(G89, Constants!$E$10:$E$30, Constants!$F$10:$F$30, 1))) * XLOOKUP(C89, Constants!$A:$A, Constants!$D:$D, 0))</f>
        <v/>
      </c>
      <c r="K89" s="6">
        <f>IF(OR(A89="",C89=""),"", D89 * F89 * XLOOKUP(C89, Constants!$A:$A, Constants!$E:$E, 0))</f>
        <v/>
      </c>
      <c r="L89" s="6">
        <f>IF(OR(A89="",C89=""),"", IF(E89="None",0, D89 * IF(E89="Full",1,XLOOKUP("PrimerSpotFactor",Constants!$A$20:$A$40,Constants!$B$20:$B$40,0.35)) * XLOOKUP(C89, Constants!$A:$A, Constants!$F:$F, 0)))</f>
        <v/>
      </c>
      <c r="M89" s="6">
        <f>IF(OR(A89="",C89=""),"", J89+K89+L89)</f>
        <v/>
      </c>
      <c r="N89" s="6">
        <f>IF(OR(A89="",C89=""),"", M89/60)</f>
        <v/>
      </c>
      <c r="O89" s="6">
        <f>IF(OR(A89="",C89=""),"", N89*(IF(XLOOKUP('Job Control'!$B$3, INPUT_JobSettings!$A:$A, INPUT_JobSettings!$F:$F, "")&lt;&gt;"", XLOOKUP('Job Control'!$B$3, INPUT_JobSettings!$A:$A, INPUT_JobSettings!$F:$F, ""), Summary!$B$4)))</f>
        <v/>
      </c>
      <c r="P89" s="6">
        <f>IF(OR(A89="",C89=""),"", 0)</f>
        <v/>
      </c>
      <c r="Q89" s="6">
        <f>IF(OR(A89="",C89=""),"", (O89+P89)*(IF(XLOOKUP('Job Control'!$B$3, INPUT_JobSettings!$A:$A, INPUT_JobSettings!$G:$G, "")&lt;&gt;"", XLOOKUP('Job Control'!$B$3, INPUT_JobSettings!$A:$A, INPUT_JobSettings!$G:$G, ""), Summary!$B$5)))</f>
        <v/>
      </c>
    </row>
    <row r="90">
      <c r="A90" s="8" t="n"/>
      <c r="B90" s="8" t="n"/>
      <c r="C90" s="8" t="n"/>
      <c r="D90" s="8" t="n"/>
      <c r="E90" s="8" t="n"/>
      <c r="F90" s="8" t="n"/>
      <c r="G90" s="8" t="n"/>
      <c r="H90" s="8" t="n"/>
      <c r="I90" s="6">
        <f>IF(OR(A90="",C90=""),"", XLOOKUP(C90, Constants!$A:$A, Constants!$C:$C, ""))</f>
        <v/>
      </c>
      <c r="J90" s="6">
        <f>IF(OR(A90="",C90=""),"", D90 * (IF(G90="", 1, XLOOKUP(G90, Constants!$E$10:$E$30, Constants!$F$10:$F$30, 1))) * XLOOKUP(C90, Constants!$A:$A, Constants!$D:$D, 0))</f>
        <v/>
      </c>
      <c r="K90" s="6">
        <f>IF(OR(A90="",C90=""),"", D90 * F90 * XLOOKUP(C90, Constants!$A:$A, Constants!$E:$E, 0))</f>
        <v/>
      </c>
      <c r="L90" s="6">
        <f>IF(OR(A90="",C90=""),"", IF(E90="None",0, D90 * IF(E90="Full",1,XLOOKUP("PrimerSpotFactor",Constants!$A$20:$A$40,Constants!$B$20:$B$40,0.35)) * XLOOKUP(C90, Constants!$A:$A, Constants!$F:$F, 0)))</f>
        <v/>
      </c>
      <c r="M90" s="6">
        <f>IF(OR(A90="",C90=""),"", J90+K90+L90)</f>
        <v/>
      </c>
      <c r="N90" s="6">
        <f>IF(OR(A90="",C90=""),"", M90/60)</f>
        <v/>
      </c>
      <c r="O90" s="6">
        <f>IF(OR(A90="",C90=""),"", N90*(IF(XLOOKUP('Job Control'!$B$3, INPUT_JobSettings!$A:$A, INPUT_JobSettings!$F:$F, "")&lt;&gt;"", XLOOKUP('Job Control'!$B$3, INPUT_JobSettings!$A:$A, INPUT_JobSettings!$F:$F, ""), Summary!$B$4)))</f>
        <v/>
      </c>
      <c r="P90" s="6">
        <f>IF(OR(A90="",C90=""),"", 0)</f>
        <v/>
      </c>
      <c r="Q90" s="6">
        <f>IF(OR(A90="",C90=""),"", (O90+P90)*(IF(XLOOKUP('Job Control'!$B$3, INPUT_JobSettings!$A:$A, INPUT_JobSettings!$G:$G, "")&lt;&gt;"", XLOOKUP('Job Control'!$B$3, INPUT_JobSettings!$A:$A, INPUT_JobSettings!$G:$G, ""), Summary!$B$5)))</f>
        <v/>
      </c>
    </row>
    <row r="91">
      <c r="A91" s="8" t="n"/>
      <c r="B91" s="8" t="n"/>
      <c r="C91" s="8" t="n"/>
      <c r="D91" s="8" t="n"/>
      <c r="E91" s="8" t="n"/>
      <c r="F91" s="8" t="n"/>
      <c r="G91" s="8" t="n"/>
      <c r="H91" s="8" t="n"/>
      <c r="I91" s="6">
        <f>IF(OR(A91="",C91=""),"", XLOOKUP(C91, Constants!$A:$A, Constants!$C:$C, ""))</f>
        <v/>
      </c>
      <c r="J91" s="6">
        <f>IF(OR(A91="",C91=""),"", D91 * (IF(G91="", 1, XLOOKUP(G91, Constants!$E$10:$E$30, Constants!$F$10:$F$30, 1))) * XLOOKUP(C91, Constants!$A:$A, Constants!$D:$D, 0))</f>
        <v/>
      </c>
      <c r="K91" s="6">
        <f>IF(OR(A91="",C91=""),"", D91 * F91 * XLOOKUP(C91, Constants!$A:$A, Constants!$E:$E, 0))</f>
        <v/>
      </c>
      <c r="L91" s="6">
        <f>IF(OR(A91="",C91=""),"", IF(E91="None",0, D91 * IF(E91="Full",1,XLOOKUP("PrimerSpotFactor",Constants!$A$20:$A$40,Constants!$B$20:$B$40,0.35)) * XLOOKUP(C91, Constants!$A:$A, Constants!$F:$F, 0)))</f>
        <v/>
      </c>
      <c r="M91" s="6">
        <f>IF(OR(A91="",C91=""),"", J91+K91+L91)</f>
        <v/>
      </c>
      <c r="N91" s="6">
        <f>IF(OR(A91="",C91=""),"", M91/60)</f>
        <v/>
      </c>
      <c r="O91" s="6">
        <f>IF(OR(A91="",C91=""),"", N91*(IF(XLOOKUP('Job Control'!$B$3, INPUT_JobSettings!$A:$A, INPUT_JobSettings!$F:$F, "")&lt;&gt;"", XLOOKUP('Job Control'!$B$3, INPUT_JobSettings!$A:$A, INPUT_JobSettings!$F:$F, ""), Summary!$B$4)))</f>
        <v/>
      </c>
      <c r="P91" s="6">
        <f>IF(OR(A91="",C91=""),"", 0)</f>
        <v/>
      </c>
      <c r="Q91" s="6">
        <f>IF(OR(A91="",C91=""),"", (O91+P91)*(IF(XLOOKUP('Job Control'!$B$3, INPUT_JobSettings!$A:$A, INPUT_JobSettings!$G:$G, "")&lt;&gt;"", XLOOKUP('Job Control'!$B$3, INPUT_JobSettings!$A:$A, INPUT_JobSettings!$G:$G, ""), Summary!$B$5)))</f>
        <v/>
      </c>
    </row>
    <row r="92">
      <c r="A92" s="8" t="n"/>
      <c r="B92" s="8" t="n"/>
      <c r="C92" s="8" t="n"/>
      <c r="D92" s="8" t="n"/>
      <c r="E92" s="8" t="n"/>
      <c r="F92" s="8" t="n"/>
      <c r="G92" s="8" t="n"/>
      <c r="H92" s="8" t="n"/>
      <c r="I92" s="6">
        <f>IF(OR(A92="",C92=""),"", XLOOKUP(C92, Constants!$A:$A, Constants!$C:$C, ""))</f>
        <v/>
      </c>
      <c r="J92" s="6">
        <f>IF(OR(A92="",C92=""),"", D92 * (IF(G92="", 1, XLOOKUP(G92, Constants!$E$10:$E$30, Constants!$F$10:$F$30, 1))) * XLOOKUP(C92, Constants!$A:$A, Constants!$D:$D, 0))</f>
        <v/>
      </c>
      <c r="K92" s="6">
        <f>IF(OR(A92="",C92=""),"", D92 * F92 * XLOOKUP(C92, Constants!$A:$A, Constants!$E:$E, 0))</f>
        <v/>
      </c>
      <c r="L92" s="6">
        <f>IF(OR(A92="",C92=""),"", IF(E92="None",0, D92 * IF(E92="Full",1,XLOOKUP("PrimerSpotFactor",Constants!$A$20:$A$40,Constants!$B$20:$B$40,0.35)) * XLOOKUP(C92, Constants!$A:$A, Constants!$F:$F, 0)))</f>
        <v/>
      </c>
      <c r="M92" s="6">
        <f>IF(OR(A92="",C92=""),"", J92+K92+L92)</f>
        <v/>
      </c>
      <c r="N92" s="6">
        <f>IF(OR(A92="",C92=""),"", M92/60)</f>
        <v/>
      </c>
      <c r="O92" s="6">
        <f>IF(OR(A92="",C92=""),"", N92*(IF(XLOOKUP('Job Control'!$B$3, INPUT_JobSettings!$A:$A, INPUT_JobSettings!$F:$F, "")&lt;&gt;"", XLOOKUP('Job Control'!$B$3, INPUT_JobSettings!$A:$A, INPUT_JobSettings!$F:$F, ""), Summary!$B$4)))</f>
        <v/>
      </c>
      <c r="P92" s="6">
        <f>IF(OR(A92="",C92=""),"", 0)</f>
        <v/>
      </c>
      <c r="Q92" s="6">
        <f>IF(OR(A92="",C92=""),"", (O92+P92)*(IF(XLOOKUP('Job Control'!$B$3, INPUT_JobSettings!$A:$A, INPUT_JobSettings!$G:$G, "")&lt;&gt;"", XLOOKUP('Job Control'!$B$3, INPUT_JobSettings!$A:$A, INPUT_JobSettings!$G:$G, ""), Summary!$B$5)))</f>
        <v/>
      </c>
    </row>
    <row r="93">
      <c r="A93" s="8" t="n"/>
      <c r="B93" s="8" t="n"/>
      <c r="C93" s="8" t="n"/>
      <c r="D93" s="8" t="n"/>
      <c r="E93" s="8" t="n"/>
      <c r="F93" s="8" t="n"/>
      <c r="G93" s="8" t="n"/>
      <c r="H93" s="8" t="n"/>
      <c r="I93" s="6">
        <f>IF(OR(A93="",C93=""),"", XLOOKUP(C93, Constants!$A:$A, Constants!$C:$C, ""))</f>
        <v/>
      </c>
      <c r="J93" s="6">
        <f>IF(OR(A93="",C93=""),"", D93 * (IF(G93="", 1, XLOOKUP(G93, Constants!$E$10:$E$30, Constants!$F$10:$F$30, 1))) * XLOOKUP(C93, Constants!$A:$A, Constants!$D:$D, 0))</f>
        <v/>
      </c>
      <c r="K93" s="6">
        <f>IF(OR(A93="",C93=""),"", D93 * F93 * XLOOKUP(C93, Constants!$A:$A, Constants!$E:$E, 0))</f>
        <v/>
      </c>
      <c r="L93" s="6">
        <f>IF(OR(A93="",C93=""),"", IF(E93="None",0, D93 * IF(E93="Full",1,XLOOKUP("PrimerSpotFactor",Constants!$A$20:$A$40,Constants!$B$20:$B$40,0.35)) * XLOOKUP(C93, Constants!$A:$A, Constants!$F:$F, 0)))</f>
        <v/>
      </c>
      <c r="M93" s="6">
        <f>IF(OR(A93="",C93=""),"", J93+K93+L93)</f>
        <v/>
      </c>
      <c r="N93" s="6">
        <f>IF(OR(A93="",C93=""),"", M93/60)</f>
        <v/>
      </c>
      <c r="O93" s="6">
        <f>IF(OR(A93="",C93=""),"", N93*(IF(XLOOKUP('Job Control'!$B$3, INPUT_JobSettings!$A:$A, INPUT_JobSettings!$F:$F, "")&lt;&gt;"", XLOOKUP('Job Control'!$B$3, INPUT_JobSettings!$A:$A, INPUT_JobSettings!$F:$F, ""), Summary!$B$4)))</f>
        <v/>
      </c>
      <c r="P93" s="6">
        <f>IF(OR(A93="",C93=""),"", 0)</f>
        <v/>
      </c>
      <c r="Q93" s="6">
        <f>IF(OR(A93="",C93=""),"", (O93+P93)*(IF(XLOOKUP('Job Control'!$B$3, INPUT_JobSettings!$A:$A, INPUT_JobSettings!$G:$G, "")&lt;&gt;"", XLOOKUP('Job Control'!$B$3, INPUT_JobSettings!$A:$A, INPUT_JobSettings!$G:$G, ""), Summary!$B$5)))</f>
        <v/>
      </c>
    </row>
    <row r="94">
      <c r="A94" s="8" t="n"/>
      <c r="B94" s="8" t="n"/>
      <c r="C94" s="8" t="n"/>
      <c r="D94" s="8" t="n"/>
      <c r="E94" s="8" t="n"/>
      <c r="F94" s="8" t="n"/>
      <c r="G94" s="8" t="n"/>
      <c r="H94" s="8" t="n"/>
      <c r="I94" s="6">
        <f>IF(OR(A94="",C94=""),"", XLOOKUP(C94, Constants!$A:$A, Constants!$C:$C, ""))</f>
        <v/>
      </c>
      <c r="J94" s="6">
        <f>IF(OR(A94="",C94=""),"", D94 * (IF(G94="", 1, XLOOKUP(G94, Constants!$E$10:$E$30, Constants!$F$10:$F$30, 1))) * XLOOKUP(C94, Constants!$A:$A, Constants!$D:$D, 0))</f>
        <v/>
      </c>
      <c r="K94" s="6">
        <f>IF(OR(A94="",C94=""),"", D94 * F94 * XLOOKUP(C94, Constants!$A:$A, Constants!$E:$E, 0))</f>
        <v/>
      </c>
      <c r="L94" s="6">
        <f>IF(OR(A94="",C94=""),"", IF(E94="None",0, D94 * IF(E94="Full",1,XLOOKUP("PrimerSpotFactor",Constants!$A$20:$A$40,Constants!$B$20:$B$40,0.35)) * XLOOKUP(C94, Constants!$A:$A, Constants!$F:$F, 0)))</f>
        <v/>
      </c>
      <c r="M94" s="6">
        <f>IF(OR(A94="",C94=""),"", J94+K94+L94)</f>
        <v/>
      </c>
      <c r="N94" s="6">
        <f>IF(OR(A94="",C94=""),"", M94/60)</f>
        <v/>
      </c>
      <c r="O94" s="6">
        <f>IF(OR(A94="",C94=""),"", N94*(IF(XLOOKUP('Job Control'!$B$3, INPUT_JobSettings!$A:$A, INPUT_JobSettings!$F:$F, "")&lt;&gt;"", XLOOKUP('Job Control'!$B$3, INPUT_JobSettings!$A:$A, INPUT_JobSettings!$F:$F, ""), Summary!$B$4)))</f>
        <v/>
      </c>
      <c r="P94" s="6">
        <f>IF(OR(A94="",C94=""),"", 0)</f>
        <v/>
      </c>
      <c r="Q94" s="6">
        <f>IF(OR(A94="",C94=""),"", (O94+P94)*(IF(XLOOKUP('Job Control'!$B$3, INPUT_JobSettings!$A:$A, INPUT_JobSettings!$G:$G, "")&lt;&gt;"", XLOOKUP('Job Control'!$B$3, INPUT_JobSettings!$A:$A, INPUT_JobSettings!$G:$G, ""), Summary!$B$5)))</f>
        <v/>
      </c>
    </row>
    <row r="95">
      <c r="A95" s="8" t="n"/>
      <c r="B95" s="8" t="n"/>
      <c r="C95" s="8" t="n"/>
      <c r="D95" s="8" t="n"/>
      <c r="E95" s="8" t="n"/>
      <c r="F95" s="8" t="n"/>
      <c r="G95" s="8" t="n"/>
      <c r="H95" s="8" t="n"/>
      <c r="I95" s="6">
        <f>IF(OR(A95="",C95=""),"", XLOOKUP(C95, Constants!$A:$A, Constants!$C:$C, ""))</f>
        <v/>
      </c>
      <c r="J95" s="6">
        <f>IF(OR(A95="",C95=""),"", D95 * (IF(G95="", 1, XLOOKUP(G95, Constants!$E$10:$E$30, Constants!$F$10:$F$30, 1))) * XLOOKUP(C95, Constants!$A:$A, Constants!$D:$D, 0))</f>
        <v/>
      </c>
      <c r="K95" s="6">
        <f>IF(OR(A95="",C95=""),"", D95 * F95 * XLOOKUP(C95, Constants!$A:$A, Constants!$E:$E, 0))</f>
        <v/>
      </c>
      <c r="L95" s="6">
        <f>IF(OR(A95="",C95=""),"", IF(E95="None",0, D95 * IF(E95="Full",1,XLOOKUP("PrimerSpotFactor",Constants!$A$20:$A$40,Constants!$B$20:$B$40,0.35)) * XLOOKUP(C95, Constants!$A:$A, Constants!$F:$F, 0)))</f>
        <v/>
      </c>
      <c r="M95" s="6">
        <f>IF(OR(A95="",C95=""),"", J95+K95+L95)</f>
        <v/>
      </c>
      <c r="N95" s="6">
        <f>IF(OR(A95="",C95=""),"", M95/60)</f>
        <v/>
      </c>
      <c r="O95" s="6">
        <f>IF(OR(A95="",C95=""),"", N95*(IF(XLOOKUP('Job Control'!$B$3, INPUT_JobSettings!$A:$A, INPUT_JobSettings!$F:$F, "")&lt;&gt;"", XLOOKUP('Job Control'!$B$3, INPUT_JobSettings!$A:$A, INPUT_JobSettings!$F:$F, ""), Summary!$B$4)))</f>
        <v/>
      </c>
      <c r="P95" s="6">
        <f>IF(OR(A95="",C95=""),"", 0)</f>
        <v/>
      </c>
      <c r="Q95" s="6">
        <f>IF(OR(A95="",C95=""),"", (O95+P95)*(IF(XLOOKUP('Job Control'!$B$3, INPUT_JobSettings!$A:$A, INPUT_JobSettings!$G:$G, "")&lt;&gt;"", XLOOKUP('Job Control'!$B$3, INPUT_JobSettings!$A:$A, INPUT_JobSettings!$G:$G, ""), Summary!$B$5)))</f>
        <v/>
      </c>
    </row>
    <row r="96">
      <c r="A96" s="8" t="n"/>
      <c r="B96" s="8" t="n"/>
      <c r="C96" s="8" t="n"/>
      <c r="D96" s="8" t="n"/>
      <c r="E96" s="8" t="n"/>
      <c r="F96" s="8" t="n"/>
      <c r="G96" s="8" t="n"/>
      <c r="H96" s="8" t="n"/>
      <c r="I96" s="6">
        <f>IF(OR(A96="",C96=""),"", XLOOKUP(C96, Constants!$A:$A, Constants!$C:$C, ""))</f>
        <v/>
      </c>
      <c r="J96" s="6">
        <f>IF(OR(A96="",C96=""),"", D96 * (IF(G96="", 1, XLOOKUP(G96, Constants!$E$10:$E$30, Constants!$F$10:$F$30, 1))) * XLOOKUP(C96, Constants!$A:$A, Constants!$D:$D, 0))</f>
        <v/>
      </c>
      <c r="K96" s="6">
        <f>IF(OR(A96="",C96=""),"", D96 * F96 * XLOOKUP(C96, Constants!$A:$A, Constants!$E:$E, 0))</f>
        <v/>
      </c>
      <c r="L96" s="6">
        <f>IF(OR(A96="",C96=""),"", IF(E96="None",0, D96 * IF(E96="Full",1,XLOOKUP("PrimerSpotFactor",Constants!$A$20:$A$40,Constants!$B$20:$B$40,0.35)) * XLOOKUP(C96, Constants!$A:$A, Constants!$F:$F, 0)))</f>
        <v/>
      </c>
      <c r="M96" s="6">
        <f>IF(OR(A96="",C96=""),"", J96+K96+L96)</f>
        <v/>
      </c>
      <c r="N96" s="6">
        <f>IF(OR(A96="",C96=""),"", M96/60)</f>
        <v/>
      </c>
      <c r="O96" s="6">
        <f>IF(OR(A96="",C96=""),"", N96*(IF(XLOOKUP('Job Control'!$B$3, INPUT_JobSettings!$A:$A, INPUT_JobSettings!$F:$F, "")&lt;&gt;"", XLOOKUP('Job Control'!$B$3, INPUT_JobSettings!$A:$A, INPUT_JobSettings!$F:$F, ""), Summary!$B$4)))</f>
        <v/>
      </c>
      <c r="P96" s="6">
        <f>IF(OR(A96="",C96=""),"", 0)</f>
        <v/>
      </c>
      <c r="Q96" s="6">
        <f>IF(OR(A96="",C96=""),"", (O96+P96)*(IF(XLOOKUP('Job Control'!$B$3, INPUT_JobSettings!$A:$A, INPUT_JobSettings!$G:$G, "")&lt;&gt;"", XLOOKUP('Job Control'!$B$3, INPUT_JobSettings!$A:$A, INPUT_JobSettings!$G:$G, ""), Summary!$B$5)))</f>
        <v/>
      </c>
    </row>
    <row r="97">
      <c r="A97" s="8" t="n"/>
      <c r="B97" s="8" t="n"/>
      <c r="C97" s="8" t="n"/>
      <c r="D97" s="8" t="n"/>
      <c r="E97" s="8" t="n"/>
      <c r="F97" s="8" t="n"/>
      <c r="G97" s="8" t="n"/>
      <c r="H97" s="8" t="n"/>
      <c r="I97" s="6">
        <f>IF(OR(A97="",C97=""),"", XLOOKUP(C97, Constants!$A:$A, Constants!$C:$C, ""))</f>
        <v/>
      </c>
      <c r="J97" s="6">
        <f>IF(OR(A97="",C97=""),"", D97 * (IF(G97="", 1, XLOOKUP(G97, Constants!$E$10:$E$30, Constants!$F$10:$F$30, 1))) * XLOOKUP(C97, Constants!$A:$A, Constants!$D:$D, 0))</f>
        <v/>
      </c>
      <c r="K97" s="6">
        <f>IF(OR(A97="",C97=""),"", D97 * F97 * XLOOKUP(C97, Constants!$A:$A, Constants!$E:$E, 0))</f>
        <v/>
      </c>
      <c r="L97" s="6">
        <f>IF(OR(A97="",C97=""),"", IF(E97="None",0, D97 * IF(E97="Full",1,XLOOKUP("PrimerSpotFactor",Constants!$A$20:$A$40,Constants!$B$20:$B$40,0.35)) * XLOOKUP(C97, Constants!$A:$A, Constants!$F:$F, 0)))</f>
        <v/>
      </c>
      <c r="M97" s="6">
        <f>IF(OR(A97="",C97=""),"", J97+K97+L97)</f>
        <v/>
      </c>
      <c r="N97" s="6">
        <f>IF(OR(A97="",C97=""),"", M97/60)</f>
        <v/>
      </c>
      <c r="O97" s="6">
        <f>IF(OR(A97="",C97=""),"", N97*(IF(XLOOKUP('Job Control'!$B$3, INPUT_JobSettings!$A:$A, INPUT_JobSettings!$F:$F, "")&lt;&gt;"", XLOOKUP('Job Control'!$B$3, INPUT_JobSettings!$A:$A, INPUT_JobSettings!$F:$F, ""), Summary!$B$4)))</f>
        <v/>
      </c>
      <c r="P97" s="6">
        <f>IF(OR(A97="",C97=""),"", 0)</f>
        <v/>
      </c>
      <c r="Q97" s="6">
        <f>IF(OR(A97="",C97=""),"", (O97+P97)*(IF(XLOOKUP('Job Control'!$B$3, INPUT_JobSettings!$A:$A, INPUT_JobSettings!$G:$G, "")&lt;&gt;"", XLOOKUP('Job Control'!$B$3, INPUT_JobSettings!$A:$A, INPUT_JobSettings!$G:$G, ""), Summary!$B$5)))</f>
        <v/>
      </c>
    </row>
    <row r="98">
      <c r="A98" s="8" t="n"/>
      <c r="B98" s="8" t="n"/>
      <c r="C98" s="8" t="n"/>
      <c r="D98" s="8" t="n"/>
      <c r="E98" s="8" t="n"/>
      <c r="F98" s="8" t="n"/>
      <c r="G98" s="8" t="n"/>
      <c r="H98" s="8" t="n"/>
      <c r="I98" s="6">
        <f>IF(OR(A98="",C98=""),"", XLOOKUP(C98, Constants!$A:$A, Constants!$C:$C, ""))</f>
        <v/>
      </c>
      <c r="J98" s="6">
        <f>IF(OR(A98="",C98=""),"", D98 * (IF(G98="", 1, XLOOKUP(G98, Constants!$E$10:$E$30, Constants!$F$10:$F$30, 1))) * XLOOKUP(C98, Constants!$A:$A, Constants!$D:$D, 0))</f>
        <v/>
      </c>
      <c r="K98" s="6">
        <f>IF(OR(A98="",C98=""),"", D98 * F98 * XLOOKUP(C98, Constants!$A:$A, Constants!$E:$E, 0))</f>
        <v/>
      </c>
      <c r="L98" s="6">
        <f>IF(OR(A98="",C98=""),"", IF(E98="None",0, D98 * IF(E98="Full",1,XLOOKUP("PrimerSpotFactor",Constants!$A$20:$A$40,Constants!$B$20:$B$40,0.35)) * XLOOKUP(C98, Constants!$A:$A, Constants!$F:$F, 0)))</f>
        <v/>
      </c>
      <c r="M98" s="6">
        <f>IF(OR(A98="",C98=""),"", J98+K98+L98)</f>
        <v/>
      </c>
      <c r="N98" s="6">
        <f>IF(OR(A98="",C98=""),"", M98/60)</f>
        <v/>
      </c>
      <c r="O98" s="6">
        <f>IF(OR(A98="",C98=""),"", N98*(IF(XLOOKUP('Job Control'!$B$3, INPUT_JobSettings!$A:$A, INPUT_JobSettings!$F:$F, "")&lt;&gt;"", XLOOKUP('Job Control'!$B$3, INPUT_JobSettings!$A:$A, INPUT_JobSettings!$F:$F, ""), Summary!$B$4)))</f>
        <v/>
      </c>
      <c r="P98" s="6">
        <f>IF(OR(A98="",C98=""),"", 0)</f>
        <v/>
      </c>
      <c r="Q98" s="6">
        <f>IF(OR(A98="",C98=""),"", (O98+P98)*(IF(XLOOKUP('Job Control'!$B$3, INPUT_JobSettings!$A:$A, INPUT_JobSettings!$G:$G, "")&lt;&gt;"", XLOOKUP('Job Control'!$B$3, INPUT_JobSettings!$A:$A, INPUT_JobSettings!$G:$G, ""), Summary!$B$5)))</f>
        <v/>
      </c>
    </row>
    <row r="99">
      <c r="A99" s="8" t="n"/>
      <c r="B99" s="8" t="n"/>
      <c r="C99" s="8" t="n"/>
      <c r="D99" s="8" t="n"/>
      <c r="E99" s="8" t="n"/>
      <c r="F99" s="8" t="n"/>
      <c r="G99" s="8" t="n"/>
      <c r="H99" s="8" t="n"/>
      <c r="I99" s="6">
        <f>IF(OR(A99="",C99=""),"", XLOOKUP(C99, Constants!$A:$A, Constants!$C:$C, ""))</f>
        <v/>
      </c>
      <c r="J99" s="6">
        <f>IF(OR(A99="",C99=""),"", D99 * (IF(G99="", 1, XLOOKUP(G99, Constants!$E$10:$E$30, Constants!$F$10:$F$30, 1))) * XLOOKUP(C99, Constants!$A:$A, Constants!$D:$D, 0))</f>
        <v/>
      </c>
      <c r="K99" s="6">
        <f>IF(OR(A99="",C99=""),"", D99 * F99 * XLOOKUP(C99, Constants!$A:$A, Constants!$E:$E, 0))</f>
        <v/>
      </c>
      <c r="L99" s="6">
        <f>IF(OR(A99="",C99=""),"", IF(E99="None",0, D99 * IF(E99="Full",1,XLOOKUP("PrimerSpotFactor",Constants!$A$20:$A$40,Constants!$B$20:$B$40,0.35)) * XLOOKUP(C99, Constants!$A:$A, Constants!$F:$F, 0)))</f>
        <v/>
      </c>
      <c r="M99" s="6">
        <f>IF(OR(A99="",C99=""),"", J99+K99+L99)</f>
        <v/>
      </c>
      <c r="N99" s="6">
        <f>IF(OR(A99="",C99=""),"", M99/60)</f>
        <v/>
      </c>
      <c r="O99" s="6">
        <f>IF(OR(A99="",C99=""),"", N99*(IF(XLOOKUP('Job Control'!$B$3, INPUT_JobSettings!$A:$A, INPUT_JobSettings!$F:$F, "")&lt;&gt;"", XLOOKUP('Job Control'!$B$3, INPUT_JobSettings!$A:$A, INPUT_JobSettings!$F:$F, ""), Summary!$B$4)))</f>
        <v/>
      </c>
      <c r="P99" s="6">
        <f>IF(OR(A99="",C99=""),"", 0)</f>
        <v/>
      </c>
      <c r="Q99" s="6">
        <f>IF(OR(A99="",C99=""),"", (O99+P99)*(IF(XLOOKUP('Job Control'!$B$3, INPUT_JobSettings!$A:$A, INPUT_JobSettings!$G:$G, "")&lt;&gt;"", XLOOKUP('Job Control'!$B$3, INPUT_JobSettings!$A:$A, INPUT_JobSettings!$G:$G, ""), Summary!$B$5)))</f>
        <v/>
      </c>
    </row>
    <row r="100">
      <c r="A100" s="8" t="n"/>
      <c r="B100" s="8" t="n"/>
      <c r="C100" s="8" t="n"/>
      <c r="D100" s="8" t="n"/>
      <c r="E100" s="8" t="n"/>
      <c r="F100" s="8" t="n"/>
      <c r="G100" s="8" t="n"/>
      <c r="H100" s="8" t="n"/>
      <c r="I100" s="6">
        <f>IF(OR(A100="",C100=""),"", XLOOKUP(C100, Constants!$A:$A, Constants!$C:$C, ""))</f>
        <v/>
      </c>
      <c r="J100" s="6">
        <f>IF(OR(A100="",C100=""),"", D100 * (IF(G100="", 1, XLOOKUP(G100, Constants!$E$10:$E$30, Constants!$F$10:$F$30, 1))) * XLOOKUP(C100, Constants!$A:$A, Constants!$D:$D, 0))</f>
        <v/>
      </c>
      <c r="K100" s="6">
        <f>IF(OR(A100="",C100=""),"", D100 * F100 * XLOOKUP(C100, Constants!$A:$A, Constants!$E:$E, 0))</f>
        <v/>
      </c>
      <c r="L100" s="6">
        <f>IF(OR(A100="",C100=""),"", IF(E100="None",0, D100 * IF(E100="Full",1,XLOOKUP("PrimerSpotFactor",Constants!$A$20:$A$40,Constants!$B$20:$B$40,0.35)) * XLOOKUP(C100, Constants!$A:$A, Constants!$F:$F, 0)))</f>
        <v/>
      </c>
      <c r="M100" s="6">
        <f>IF(OR(A100="",C100=""),"", J100+K100+L100)</f>
        <v/>
      </c>
      <c r="N100" s="6">
        <f>IF(OR(A100="",C100=""),"", M100/60)</f>
        <v/>
      </c>
      <c r="O100" s="6">
        <f>IF(OR(A100="",C100=""),"", N100*(IF(XLOOKUP('Job Control'!$B$3, INPUT_JobSettings!$A:$A, INPUT_JobSettings!$F:$F, "")&lt;&gt;"", XLOOKUP('Job Control'!$B$3, INPUT_JobSettings!$A:$A, INPUT_JobSettings!$F:$F, ""), Summary!$B$4)))</f>
        <v/>
      </c>
      <c r="P100" s="6">
        <f>IF(OR(A100="",C100=""),"", 0)</f>
        <v/>
      </c>
      <c r="Q100" s="6">
        <f>IF(OR(A100="",C100=""),"", (O100+P100)*(IF(XLOOKUP('Job Control'!$B$3, INPUT_JobSettings!$A:$A, INPUT_JobSettings!$G:$G, "")&lt;&gt;"", XLOOKUP('Job Control'!$B$3, INPUT_JobSettings!$A:$A, INPUT_JobSettings!$G:$G, ""), Summary!$B$5)))</f>
        <v/>
      </c>
    </row>
    <row r="101">
      <c r="A101" s="8" t="n"/>
      <c r="B101" s="8" t="n"/>
      <c r="C101" s="8" t="n"/>
      <c r="D101" s="8" t="n"/>
      <c r="E101" s="8" t="n"/>
      <c r="F101" s="8" t="n"/>
      <c r="G101" s="8" t="n"/>
      <c r="H101" s="8" t="n"/>
      <c r="I101" s="6">
        <f>IF(OR(A101="",C101=""),"", XLOOKUP(C101, Constants!$A:$A, Constants!$C:$C, ""))</f>
        <v/>
      </c>
      <c r="J101" s="6">
        <f>IF(OR(A101="",C101=""),"", D101 * (IF(G101="", 1, XLOOKUP(G101, Constants!$E$10:$E$30, Constants!$F$10:$F$30, 1))) * XLOOKUP(C101, Constants!$A:$A, Constants!$D:$D, 0))</f>
        <v/>
      </c>
      <c r="K101" s="6">
        <f>IF(OR(A101="",C101=""),"", D101 * F101 * XLOOKUP(C101, Constants!$A:$A, Constants!$E:$E, 0))</f>
        <v/>
      </c>
      <c r="L101" s="6">
        <f>IF(OR(A101="",C101=""),"", IF(E101="None",0, D101 * IF(E101="Full",1,XLOOKUP("PrimerSpotFactor",Constants!$A$20:$A$40,Constants!$B$20:$B$40,0.35)) * XLOOKUP(C101, Constants!$A:$A, Constants!$F:$F, 0)))</f>
        <v/>
      </c>
      <c r="M101" s="6">
        <f>IF(OR(A101="",C101=""),"", J101+K101+L101)</f>
        <v/>
      </c>
      <c r="N101" s="6">
        <f>IF(OR(A101="",C101=""),"", M101/60)</f>
        <v/>
      </c>
      <c r="O101" s="6">
        <f>IF(OR(A101="",C101=""),"", N101*(IF(XLOOKUP('Job Control'!$B$3, INPUT_JobSettings!$A:$A, INPUT_JobSettings!$F:$F, "")&lt;&gt;"", XLOOKUP('Job Control'!$B$3, INPUT_JobSettings!$A:$A, INPUT_JobSettings!$F:$F, ""), Summary!$B$4)))</f>
        <v/>
      </c>
      <c r="P101" s="6">
        <f>IF(OR(A101="",C101=""),"", 0)</f>
        <v/>
      </c>
      <c r="Q101" s="6">
        <f>IF(OR(A101="",C101=""),"", (O101+P101)*(IF(XLOOKUP('Job Control'!$B$3, INPUT_JobSettings!$A:$A, INPUT_JobSettings!$G:$G, "")&lt;&gt;"", XLOOKUP('Job Control'!$B$3, INPUT_JobSettings!$A:$A, INPUT_JobSettings!$G:$G, ""), Summary!$B$5)))</f>
        <v/>
      </c>
    </row>
    <row r="102">
      <c r="A102" s="8" t="n"/>
      <c r="B102" s="8" t="n"/>
      <c r="C102" s="8" t="n"/>
      <c r="D102" s="8" t="n"/>
      <c r="E102" s="8" t="n"/>
      <c r="F102" s="8" t="n"/>
      <c r="G102" s="8" t="n"/>
      <c r="H102" s="8" t="n"/>
      <c r="I102" s="6">
        <f>IF(OR(A102="",C102=""),"", XLOOKUP(C102, Constants!$A:$A, Constants!$C:$C, ""))</f>
        <v/>
      </c>
      <c r="J102" s="6">
        <f>IF(OR(A102="",C102=""),"", D102 * (IF(G102="", 1, XLOOKUP(G102, Constants!$E$10:$E$30, Constants!$F$10:$F$30, 1))) * XLOOKUP(C102, Constants!$A:$A, Constants!$D:$D, 0))</f>
        <v/>
      </c>
      <c r="K102" s="6">
        <f>IF(OR(A102="",C102=""),"", D102 * F102 * XLOOKUP(C102, Constants!$A:$A, Constants!$E:$E, 0))</f>
        <v/>
      </c>
      <c r="L102" s="6">
        <f>IF(OR(A102="",C102=""),"", IF(E102="None",0, D102 * IF(E102="Full",1,XLOOKUP("PrimerSpotFactor",Constants!$A$20:$A$40,Constants!$B$20:$B$40,0.35)) * XLOOKUP(C102, Constants!$A:$A, Constants!$F:$F, 0)))</f>
        <v/>
      </c>
      <c r="M102" s="6">
        <f>IF(OR(A102="",C102=""),"", J102+K102+L102)</f>
        <v/>
      </c>
      <c r="N102" s="6">
        <f>IF(OR(A102="",C102=""),"", M102/60)</f>
        <v/>
      </c>
      <c r="O102" s="6">
        <f>IF(OR(A102="",C102=""),"", N102*(IF(XLOOKUP('Job Control'!$B$3, INPUT_JobSettings!$A:$A, INPUT_JobSettings!$F:$F, "")&lt;&gt;"", XLOOKUP('Job Control'!$B$3, INPUT_JobSettings!$A:$A, INPUT_JobSettings!$F:$F, ""), Summary!$B$4)))</f>
        <v/>
      </c>
      <c r="P102" s="6">
        <f>IF(OR(A102="",C102=""),"", 0)</f>
        <v/>
      </c>
      <c r="Q102" s="6">
        <f>IF(OR(A102="",C102=""),"", (O102+P102)*(IF(XLOOKUP('Job Control'!$B$3, INPUT_JobSettings!$A:$A, INPUT_JobSettings!$G:$G, "")&lt;&gt;"", XLOOKUP('Job Control'!$B$3, INPUT_JobSettings!$A:$A, INPUT_JobSettings!$G:$G, ""), Summary!$B$5)))</f>
        <v/>
      </c>
    </row>
    <row r="103">
      <c r="A103" s="8" t="n"/>
      <c r="B103" s="8" t="n"/>
      <c r="C103" s="8" t="n"/>
      <c r="D103" s="8" t="n"/>
      <c r="E103" s="8" t="n"/>
      <c r="F103" s="8" t="n"/>
      <c r="G103" s="8" t="n"/>
      <c r="H103" s="8" t="n"/>
      <c r="I103" s="6">
        <f>IF(OR(A103="",C103=""),"", XLOOKUP(C103, Constants!$A:$A, Constants!$C:$C, ""))</f>
        <v/>
      </c>
      <c r="J103" s="6">
        <f>IF(OR(A103="",C103=""),"", D103 * (IF(G103="", 1, XLOOKUP(G103, Constants!$E$10:$E$30, Constants!$F$10:$F$30, 1))) * XLOOKUP(C103, Constants!$A:$A, Constants!$D:$D, 0))</f>
        <v/>
      </c>
      <c r="K103" s="6">
        <f>IF(OR(A103="",C103=""),"", D103 * F103 * XLOOKUP(C103, Constants!$A:$A, Constants!$E:$E, 0))</f>
        <v/>
      </c>
      <c r="L103" s="6">
        <f>IF(OR(A103="",C103=""),"", IF(E103="None",0, D103 * IF(E103="Full",1,XLOOKUP("PrimerSpotFactor",Constants!$A$20:$A$40,Constants!$B$20:$B$40,0.35)) * XLOOKUP(C103, Constants!$A:$A, Constants!$F:$F, 0)))</f>
        <v/>
      </c>
      <c r="M103" s="6">
        <f>IF(OR(A103="",C103=""),"", J103+K103+L103)</f>
        <v/>
      </c>
      <c r="N103" s="6">
        <f>IF(OR(A103="",C103=""),"", M103/60)</f>
        <v/>
      </c>
      <c r="O103" s="6">
        <f>IF(OR(A103="",C103=""),"", N103*(IF(XLOOKUP('Job Control'!$B$3, INPUT_JobSettings!$A:$A, INPUT_JobSettings!$F:$F, "")&lt;&gt;"", XLOOKUP('Job Control'!$B$3, INPUT_JobSettings!$A:$A, INPUT_JobSettings!$F:$F, ""), Summary!$B$4)))</f>
        <v/>
      </c>
      <c r="P103" s="6">
        <f>IF(OR(A103="",C103=""),"", 0)</f>
        <v/>
      </c>
      <c r="Q103" s="6">
        <f>IF(OR(A103="",C103=""),"", (O103+P103)*(IF(XLOOKUP('Job Control'!$B$3, INPUT_JobSettings!$A:$A, INPUT_JobSettings!$G:$G, "")&lt;&gt;"", XLOOKUP('Job Control'!$B$3, INPUT_JobSettings!$A:$A, INPUT_JobSettings!$G:$G, ""), Summary!$B$5)))</f>
        <v/>
      </c>
    </row>
    <row r="104">
      <c r="A104" s="8" t="n"/>
      <c r="B104" s="8" t="n"/>
      <c r="C104" s="8" t="n"/>
      <c r="D104" s="8" t="n"/>
      <c r="E104" s="8" t="n"/>
      <c r="F104" s="8" t="n"/>
      <c r="G104" s="8" t="n"/>
      <c r="H104" s="8" t="n"/>
      <c r="I104" s="6">
        <f>IF(OR(A104="",C104=""),"", XLOOKUP(C104, Constants!$A:$A, Constants!$C:$C, ""))</f>
        <v/>
      </c>
      <c r="J104" s="6">
        <f>IF(OR(A104="",C104=""),"", D104 * (IF(G104="", 1, XLOOKUP(G104, Constants!$E$10:$E$30, Constants!$F$10:$F$30, 1))) * XLOOKUP(C104, Constants!$A:$A, Constants!$D:$D, 0))</f>
        <v/>
      </c>
      <c r="K104" s="6">
        <f>IF(OR(A104="",C104=""),"", D104 * F104 * XLOOKUP(C104, Constants!$A:$A, Constants!$E:$E, 0))</f>
        <v/>
      </c>
      <c r="L104" s="6">
        <f>IF(OR(A104="",C104=""),"", IF(E104="None",0, D104 * IF(E104="Full",1,XLOOKUP("PrimerSpotFactor",Constants!$A$20:$A$40,Constants!$B$20:$B$40,0.35)) * XLOOKUP(C104, Constants!$A:$A, Constants!$F:$F, 0)))</f>
        <v/>
      </c>
      <c r="M104" s="6">
        <f>IF(OR(A104="",C104=""),"", J104+K104+L104)</f>
        <v/>
      </c>
      <c r="N104" s="6">
        <f>IF(OR(A104="",C104=""),"", M104/60)</f>
        <v/>
      </c>
      <c r="O104" s="6">
        <f>IF(OR(A104="",C104=""),"", N104*(IF(XLOOKUP('Job Control'!$B$3, INPUT_JobSettings!$A:$A, INPUT_JobSettings!$F:$F, "")&lt;&gt;"", XLOOKUP('Job Control'!$B$3, INPUT_JobSettings!$A:$A, INPUT_JobSettings!$F:$F, ""), Summary!$B$4)))</f>
        <v/>
      </c>
      <c r="P104" s="6">
        <f>IF(OR(A104="",C104=""),"", 0)</f>
        <v/>
      </c>
      <c r="Q104" s="6">
        <f>IF(OR(A104="",C104=""),"", (O104+P104)*(IF(XLOOKUP('Job Control'!$B$3, INPUT_JobSettings!$A:$A, INPUT_JobSettings!$G:$G, "")&lt;&gt;"", XLOOKUP('Job Control'!$B$3, INPUT_JobSettings!$A:$A, INPUT_JobSettings!$G:$G, ""), Summary!$B$5)))</f>
        <v/>
      </c>
    </row>
    <row r="105">
      <c r="A105" s="8" t="n"/>
      <c r="B105" s="8" t="n"/>
      <c r="C105" s="8" t="n"/>
      <c r="D105" s="8" t="n"/>
      <c r="E105" s="8" t="n"/>
      <c r="F105" s="8" t="n"/>
      <c r="G105" s="8" t="n"/>
      <c r="H105" s="8" t="n"/>
      <c r="I105" s="6">
        <f>IF(OR(A105="",C105=""),"", XLOOKUP(C105, Constants!$A:$A, Constants!$C:$C, ""))</f>
        <v/>
      </c>
      <c r="J105" s="6">
        <f>IF(OR(A105="",C105=""),"", D105 * (IF(G105="", 1, XLOOKUP(G105, Constants!$E$10:$E$30, Constants!$F$10:$F$30, 1))) * XLOOKUP(C105, Constants!$A:$A, Constants!$D:$D, 0))</f>
        <v/>
      </c>
      <c r="K105" s="6">
        <f>IF(OR(A105="",C105=""),"", D105 * F105 * XLOOKUP(C105, Constants!$A:$A, Constants!$E:$E, 0))</f>
        <v/>
      </c>
      <c r="L105" s="6">
        <f>IF(OR(A105="",C105=""),"", IF(E105="None",0, D105 * IF(E105="Full",1,XLOOKUP("PrimerSpotFactor",Constants!$A$20:$A$40,Constants!$B$20:$B$40,0.35)) * XLOOKUP(C105, Constants!$A:$A, Constants!$F:$F, 0)))</f>
        <v/>
      </c>
      <c r="M105" s="6">
        <f>IF(OR(A105="",C105=""),"", J105+K105+L105)</f>
        <v/>
      </c>
      <c r="N105" s="6">
        <f>IF(OR(A105="",C105=""),"", M105/60)</f>
        <v/>
      </c>
      <c r="O105" s="6">
        <f>IF(OR(A105="",C105=""),"", N105*(IF(XLOOKUP('Job Control'!$B$3, INPUT_JobSettings!$A:$A, INPUT_JobSettings!$F:$F, "")&lt;&gt;"", XLOOKUP('Job Control'!$B$3, INPUT_JobSettings!$A:$A, INPUT_JobSettings!$F:$F, ""), Summary!$B$4)))</f>
        <v/>
      </c>
      <c r="P105" s="6">
        <f>IF(OR(A105="",C105=""),"", 0)</f>
        <v/>
      </c>
      <c r="Q105" s="6">
        <f>IF(OR(A105="",C105=""),"", (O105+P105)*(IF(XLOOKUP('Job Control'!$B$3, INPUT_JobSettings!$A:$A, INPUT_JobSettings!$G:$G, "")&lt;&gt;"", XLOOKUP('Job Control'!$B$3, INPUT_JobSettings!$A:$A, INPUT_JobSettings!$G:$G, ""), Summary!$B$5)))</f>
        <v/>
      </c>
    </row>
    <row r="106">
      <c r="A106" s="8" t="n"/>
      <c r="B106" s="8" t="n"/>
      <c r="C106" s="8" t="n"/>
      <c r="D106" s="8" t="n"/>
      <c r="E106" s="8" t="n"/>
      <c r="F106" s="8" t="n"/>
      <c r="G106" s="8" t="n"/>
      <c r="H106" s="8" t="n"/>
      <c r="I106" s="6">
        <f>IF(OR(A106="",C106=""),"", XLOOKUP(C106, Constants!$A:$A, Constants!$C:$C, ""))</f>
        <v/>
      </c>
      <c r="J106" s="6">
        <f>IF(OR(A106="",C106=""),"", D106 * (IF(G106="", 1, XLOOKUP(G106, Constants!$E$10:$E$30, Constants!$F$10:$F$30, 1))) * XLOOKUP(C106, Constants!$A:$A, Constants!$D:$D, 0))</f>
        <v/>
      </c>
      <c r="K106" s="6">
        <f>IF(OR(A106="",C106=""),"", D106 * F106 * XLOOKUP(C106, Constants!$A:$A, Constants!$E:$E, 0))</f>
        <v/>
      </c>
      <c r="L106" s="6">
        <f>IF(OR(A106="",C106=""),"", IF(E106="None",0, D106 * IF(E106="Full",1,XLOOKUP("PrimerSpotFactor",Constants!$A$20:$A$40,Constants!$B$20:$B$40,0.35)) * XLOOKUP(C106, Constants!$A:$A, Constants!$F:$F, 0)))</f>
        <v/>
      </c>
      <c r="M106" s="6">
        <f>IF(OR(A106="",C106=""),"", J106+K106+L106)</f>
        <v/>
      </c>
      <c r="N106" s="6">
        <f>IF(OR(A106="",C106=""),"", M106/60)</f>
        <v/>
      </c>
      <c r="O106" s="6">
        <f>IF(OR(A106="",C106=""),"", N106*(IF(XLOOKUP('Job Control'!$B$3, INPUT_JobSettings!$A:$A, INPUT_JobSettings!$F:$F, "")&lt;&gt;"", XLOOKUP('Job Control'!$B$3, INPUT_JobSettings!$A:$A, INPUT_JobSettings!$F:$F, ""), Summary!$B$4)))</f>
        <v/>
      </c>
      <c r="P106" s="6">
        <f>IF(OR(A106="",C106=""),"", 0)</f>
        <v/>
      </c>
      <c r="Q106" s="6">
        <f>IF(OR(A106="",C106=""),"", (O106+P106)*(IF(XLOOKUP('Job Control'!$B$3, INPUT_JobSettings!$A:$A, INPUT_JobSettings!$G:$G, "")&lt;&gt;"", XLOOKUP('Job Control'!$B$3, INPUT_JobSettings!$A:$A, INPUT_JobSettings!$G:$G, ""), Summary!$B$5)))</f>
        <v/>
      </c>
    </row>
    <row r="107">
      <c r="A107" s="8" t="n"/>
      <c r="B107" s="8" t="n"/>
      <c r="C107" s="8" t="n"/>
      <c r="D107" s="8" t="n"/>
      <c r="E107" s="8" t="n"/>
      <c r="F107" s="8" t="n"/>
      <c r="G107" s="8" t="n"/>
      <c r="H107" s="8" t="n"/>
      <c r="I107" s="6">
        <f>IF(OR(A107="",C107=""),"", XLOOKUP(C107, Constants!$A:$A, Constants!$C:$C, ""))</f>
        <v/>
      </c>
      <c r="J107" s="6">
        <f>IF(OR(A107="",C107=""),"", D107 * (IF(G107="", 1, XLOOKUP(G107, Constants!$E$10:$E$30, Constants!$F$10:$F$30, 1))) * XLOOKUP(C107, Constants!$A:$A, Constants!$D:$D, 0))</f>
        <v/>
      </c>
      <c r="K107" s="6">
        <f>IF(OR(A107="",C107=""),"", D107 * F107 * XLOOKUP(C107, Constants!$A:$A, Constants!$E:$E, 0))</f>
        <v/>
      </c>
      <c r="L107" s="6">
        <f>IF(OR(A107="",C107=""),"", IF(E107="None",0, D107 * IF(E107="Full",1,XLOOKUP("PrimerSpotFactor",Constants!$A$20:$A$40,Constants!$B$20:$B$40,0.35)) * XLOOKUP(C107, Constants!$A:$A, Constants!$F:$F, 0)))</f>
        <v/>
      </c>
      <c r="M107" s="6">
        <f>IF(OR(A107="",C107=""),"", J107+K107+L107)</f>
        <v/>
      </c>
      <c r="N107" s="6">
        <f>IF(OR(A107="",C107=""),"", M107/60)</f>
        <v/>
      </c>
      <c r="O107" s="6">
        <f>IF(OR(A107="",C107=""),"", N107*(IF(XLOOKUP('Job Control'!$B$3, INPUT_JobSettings!$A:$A, INPUT_JobSettings!$F:$F, "")&lt;&gt;"", XLOOKUP('Job Control'!$B$3, INPUT_JobSettings!$A:$A, INPUT_JobSettings!$F:$F, ""), Summary!$B$4)))</f>
        <v/>
      </c>
      <c r="P107" s="6">
        <f>IF(OR(A107="",C107=""),"", 0)</f>
        <v/>
      </c>
      <c r="Q107" s="6">
        <f>IF(OR(A107="",C107=""),"", (O107+P107)*(IF(XLOOKUP('Job Control'!$B$3, INPUT_JobSettings!$A:$A, INPUT_JobSettings!$G:$G, "")&lt;&gt;"", XLOOKUP('Job Control'!$B$3, INPUT_JobSettings!$A:$A, INPUT_JobSettings!$G:$G, ""), Summary!$B$5)))</f>
        <v/>
      </c>
    </row>
    <row r="108">
      <c r="A108" s="8" t="n"/>
      <c r="B108" s="8" t="n"/>
      <c r="C108" s="8" t="n"/>
      <c r="D108" s="8" t="n"/>
      <c r="E108" s="8" t="n"/>
      <c r="F108" s="8" t="n"/>
      <c r="G108" s="8" t="n"/>
      <c r="H108" s="8" t="n"/>
      <c r="I108" s="6">
        <f>IF(OR(A108="",C108=""),"", XLOOKUP(C108, Constants!$A:$A, Constants!$C:$C, ""))</f>
        <v/>
      </c>
      <c r="J108" s="6">
        <f>IF(OR(A108="",C108=""),"", D108 * (IF(G108="", 1, XLOOKUP(G108, Constants!$E$10:$E$30, Constants!$F$10:$F$30, 1))) * XLOOKUP(C108, Constants!$A:$A, Constants!$D:$D, 0))</f>
        <v/>
      </c>
      <c r="K108" s="6">
        <f>IF(OR(A108="",C108=""),"", D108 * F108 * XLOOKUP(C108, Constants!$A:$A, Constants!$E:$E, 0))</f>
        <v/>
      </c>
      <c r="L108" s="6">
        <f>IF(OR(A108="",C108=""),"", IF(E108="None",0, D108 * IF(E108="Full",1,XLOOKUP("PrimerSpotFactor",Constants!$A$20:$A$40,Constants!$B$20:$B$40,0.35)) * XLOOKUP(C108, Constants!$A:$A, Constants!$F:$F, 0)))</f>
        <v/>
      </c>
      <c r="M108" s="6">
        <f>IF(OR(A108="",C108=""),"", J108+K108+L108)</f>
        <v/>
      </c>
      <c r="N108" s="6">
        <f>IF(OR(A108="",C108=""),"", M108/60)</f>
        <v/>
      </c>
      <c r="O108" s="6">
        <f>IF(OR(A108="",C108=""),"", N108*(IF(XLOOKUP('Job Control'!$B$3, INPUT_JobSettings!$A:$A, INPUT_JobSettings!$F:$F, "")&lt;&gt;"", XLOOKUP('Job Control'!$B$3, INPUT_JobSettings!$A:$A, INPUT_JobSettings!$F:$F, ""), Summary!$B$4)))</f>
        <v/>
      </c>
      <c r="P108" s="6">
        <f>IF(OR(A108="",C108=""),"", 0)</f>
        <v/>
      </c>
      <c r="Q108" s="6">
        <f>IF(OR(A108="",C108=""),"", (O108+P108)*(IF(XLOOKUP('Job Control'!$B$3, INPUT_JobSettings!$A:$A, INPUT_JobSettings!$G:$G, "")&lt;&gt;"", XLOOKUP('Job Control'!$B$3, INPUT_JobSettings!$A:$A, INPUT_JobSettings!$G:$G, ""), Summary!$B$5)))</f>
        <v/>
      </c>
    </row>
    <row r="109">
      <c r="A109" s="8" t="n"/>
      <c r="B109" s="8" t="n"/>
      <c r="C109" s="8" t="n"/>
      <c r="D109" s="8" t="n"/>
      <c r="E109" s="8" t="n"/>
      <c r="F109" s="8" t="n"/>
      <c r="G109" s="8" t="n"/>
      <c r="H109" s="8" t="n"/>
      <c r="I109" s="6">
        <f>IF(OR(A109="",C109=""),"", XLOOKUP(C109, Constants!$A:$A, Constants!$C:$C, ""))</f>
        <v/>
      </c>
      <c r="J109" s="6">
        <f>IF(OR(A109="",C109=""),"", D109 * (IF(G109="", 1, XLOOKUP(G109, Constants!$E$10:$E$30, Constants!$F$10:$F$30, 1))) * XLOOKUP(C109, Constants!$A:$A, Constants!$D:$D, 0))</f>
        <v/>
      </c>
      <c r="K109" s="6">
        <f>IF(OR(A109="",C109=""),"", D109 * F109 * XLOOKUP(C109, Constants!$A:$A, Constants!$E:$E, 0))</f>
        <v/>
      </c>
      <c r="L109" s="6">
        <f>IF(OR(A109="",C109=""),"", IF(E109="None",0, D109 * IF(E109="Full",1,XLOOKUP("PrimerSpotFactor",Constants!$A$20:$A$40,Constants!$B$20:$B$40,0.35)) * XLOOKUP(C109, Constants!$A:$A, Constants!$F:$F, 0)))</f>
        <v/>
      </c>
      <c r="M109" s="6">
        <f>IF(OR(A109="",C109=""),"", J109+K109+L109)</f>
        <v/>
      </c>
      <c r="N109" s="6">
        <f>IF(OR(A109="",C109=""),"", M109/60)</f>
        <v/>
      </c>
      <c r="O109" s="6">
        <f>IF(OR(A109="",C109=""),"", N109*(IF(XLOOKUP('Job Control'!$B$3, INPUT_JobSettings!$A:$A, INPUT_JobSettings!$F:$F, "")&lt;&gt;"", XLOOKUP('Job Control'!$B$3, INPUT_JobSettings!$A:$A, INPUT_JobSettings!$F:$F, ""), Summary!$B$4)))</f>
        <v/>
      </c>
      <c r="P109" s="6">
        <f>IF(OR(A109="",C109=""),"", 0)</f>
        <v/>
      </c>
      <c r="Q109" s="6">
        <f>IF(OR(A109="",C109=""),"", (O109+P109)*(IF(XLOOKUP('Job Control'!$B$3, INPUT_JobSettings!$A:$A, INPUT_JobSettings!$G:$G, "")&lt;&gt;"", XLOOKUP('Job Control'!$B$3, INPUT_JobSettings!$A:$A, INPUT_JobSettings!$G:$G, ""), Summary!$B$5)))</f>
        <v/>
      </c>
    </row>
    <row r="110">
      <c r="A110" s="8" t="n"/>
      <c r="B110" s="8" t="n"/>
      <c r="C110" s="8" t="n"/>
      <c r="D110" s="8" t="n"/>
      <c r="E110" s="8" t="n"/>
      <c r="F110" s="8" t="n"/>
      <c r="G110" s="8" t="n"/>
      <c r="H110" s="8" t="n"/>
      <c r="I110" s="6">
        <f>IF(OR(A110="",C110=""),"", XLOOKUP(C110, Constants!$A:$A, Constants!$C:$C, ""))</f>
        <v/>
      </c>
      <c r="J110" s="6">
        <f>IF(OR(A110="",C110=""),"", D110 * (IF(G110="", 1, XLOOKUP(G110, Constants!$E$10:$E$30, Constants!$F$10:$F$30, 1))) * XLOOKUP(C110, Constants!$A:$A, Constants!$D:$D, 0))</f>
        <v/>
      </c>
      <c r="K110" s="6">
        <f>IF(OR(A110="",C110=""),"", D110 * F110 * XLOOKUP(C110, Constants!$A:$A, Constants!$E:$E, 0))</f>
        <v/>
      </c>
      <c r="L110" s="6">
        <f>IF(OR(A110="",C110=""),"", IF(E110="None",0, D110 * IF(E110="Full",1,XLOOKUP("PrimerSpotFactor",Constants!$A$20:$A$40,Constants!$B$20:$B$40,0.35)) * XLOOKUP(C110, Constants!$A:$A, Constants!$F:$F, 0)))</f>
        <v/>
      </c>
      <c r="M110" s="6">
        <f>IF(OR(A110="",C110=""),"", J110+K110+L110)</f>
        <v/>
      </c>
      <c r="N110" s="6">
        <f>IF(OR(A110="",C110=""),"", M110/60)</f>
        <v/>
      </c>
      <c r="O110" s="6">
        <f>IF(OR(A110="",C110=""),"", N110*(IF(XLOOKUP('Job Control'!$B$3, INPUT_JobSettings!$A:$A, INPUT_JobSettings!$F:$F, "")&lt;&gt;"", XLOOKUP('Job Control'!$B$3, INPUT_JobSettings!$A:$A, INPUT_JobSettings!$F:$F, ""), Summary!$B$4)))</f>
        <v/>
      </c>
      <c r="P110" s="6">
        <f>IF(OR(A110="",C110=""),"", 0)</f>
        <v/>
      </c>
      <c r="Q110" s="6">
        <f>IF(OR(A110="",C110=""),"", (O110+P110)*(IF(XLOOKUP('Job Control'!$B$3, INPUT_JobSettings!$A:$A, INPUT_JobSettings!$G:$G, "")&lt;&gt;"", XLOOKUP('Job Control'!$B$3, INPUT_JobSettings!$A:$A, INPUT_JobSettings!$G:$G, ""), Summary!$B$5)))</f>
        <v/>
      </c>
    </row>
    <row r="111">
      <c r="A111" s="8" t="n"/>
      <c r="B111" s="8" t="n"/>
      <c r="C111" s="8" t="n"/>
      <c r="D111" s="8" t="n"/>
      <c r="E111" s="8" t="n"/>
      <c r="F111" s="8" t="n"/>
      <c r="G111" s="8" t="n"/>
      <c r="H111" s="8" t="n"/>
      <c r="I111" s="6">
        <f>IF(OR(A111="",C111=""),"", XLOOKUP(C111, Constants!$A:$A, Constants!$C:$C, ""))</f>
        <v/>
      </c>
      <c r="J111" s="6">
        <f>IF(OR(A111="",C111=""),"", D111 * (IF(G111="", 1, XLOOKUP(G111, Constants!$E$10:$E$30, Constants!$F$10:$F$30, 1))) * XLOOKUP(C111, Constants!$A:$A, Constants!$D:$D, 0))</f>
        <v/>
      </c>
      <c r="K111" s="6">
        <f>IF(OR(A111="",C111=""),"", D111 * F111 * XLOOKUP(C111, Constants!$A:$A, Constants!$E:$E, 0))</f>
        <v/>
      </c>
      <c r="L111" s="6">
        <f>IF(OR(A111="",C111=""),"", IF(E111="None",0, D111 * IF(E111="Full",1,XLOOKUP("PrimerSpotFactor",Constants!$A$20:$A$40,Constants!$B$20:$B$40,0.35)) * XLOOKUP(C111, Constants!$A:$A, Constants!$F:$F, 0)))</f>
        <v/>
      </c>
      <c r="M111" s="6">
        <f>IF(OR(A111="",C111=""),"", J111+K111+L111)</f>
        <v/>
      </c>
      <c r="N111" s="6">
        <f>IF(OR(A111="",C111=""),"", M111/60)</f>
        <v/>
      </c>
      <c r="O111" s="6">
        <f>IF(OR(A111="",C111=""),"", N111*(IF(XLOOKUP('Job Control'!$B$3, INPUT_JobSettings!$A:$A, INPUT_JobSettings!$F:$F, "")&lt;&gt;"", XLOOKUP('Job Control'!$B$3, INPUT_JobSettings!$A:$A, INPUT_JobSettings!$F:$F, ""), Summary!$B$4)))</f>
        <v/>
      </c>
      <c r="P111" s="6">
        <f>IF(OR(A111="",C111=""),"", 0)</f>
        <v/>
      </c>
      <c r="Q111" s="6">
        <f>IF(OR(A111="",C111=""),"", (O111+P111)*(IF(XLOOKUP('Job Control'!$B$3, INPUT_JobSettings!$A:$A, INPUT_JobSettings!$G:$G, "")&lt;&gt;"", XLOOKUP('Job Control'!$B$3, INPUT_JobSettings!$A:$A, INPUT_JobSettings!$G:$G, ""), Summary!$B$5)))</f>
        <v/>
      </c>
    </row>
    <row r="112">
      <c r="A112" s="8" t="n"/>
      <c r="B112" s="8" t="n"/>
      <c r="C112" s="8" t="n"/>
      <c r="D112" s="8" t="n"/>
      <c r="E112" s="8" t="n"/>
      <c r="F112" s="8" t="n"/>
      <c r="G112" s="8" t="n"/>
      <c r="H112" s="8" t="n"/>
      <c r="I112" s="6">
        <f>IF(OR(A112="",C112=""),"", XLOOKUP(C112, Constants!$A:$A, Constants!$C:$C, ""))</f>
        <v/>
      </c>
      <c r="J112" s="6">
        <f>IF(OR(A112="",C112=""),"", D112 * (IF(G112="", 1, XLOOKUP(G112, Constants!$E$10:$E$30, Constants!$F$10:$F$30, 1))) * XLOOKUP(C112, Constants!$A:$A, Constants!$D:$D, 0))</f>
        <v/>
      </c>
      <c r="K112" s="6">
        <f>IF(OR(A112="",C112=""),"", D112 * F112 * XLOOKUP(C112, Constants!$A:$A, Constants!$E:$E, 0))</f>
        <v/>
      </c>
      <c r="L112" s="6">
        <f>IF(OR(A112="",C112=""),"", IF(E112="None",0, D112 * IF(E112="Full",1,XLOOKUP("PrimerSpotFactor",Constants!$A$20:$A$40,Constants!$B$20:$B$40,0.35)) * XLOOKUP(C112, Constants!$A:$A, Constants!$F:$F, 0)))</f>
        <v/>
      </c>
      <c r="M112" s="6">
        <f>IF(OR(A112="",C112=""),"", J112+K112+L112)</f>
        <v/>
      </c>
      <c r="N112" s="6">
        <f>IF(OR(A112="",C112=""),"", M112/60)</f>
        <v/>
      </c>
      <c r="O112" s="6">
        <f>IF(OR(A112="",C112=""),"", N112*(IF(XLOOKUP('Job Control'!$B$3, INPUT_JobSettings!$A:$A, INPUT_JobSettings!$F:$F, "")&lt;&gt;"", XLOOKUP('Job Control'!$B$3, INPUT_JobSettings!$A:$A, INPUT_JobSettings!$F:$F, ""), Summary!$B$4)))</f>
        <v/>
      </c>
      <c r="P112" s="6">
        <f>IF(OR(A112="",C112=""),"", 0)</f>
        <v/>
      </c>
      <c r="Q112" s="6">
        <f>IF(OR(A112="",C112=""),"", (O112+P112)*(IF(XLOOKUP('Job Control'!$B$3, INPUT_JobSettings!$A:$A, INPUT_JobSettings!$G:$G, "")&lt;&gt;"", XLOOKUP('Job Control'!$B$3, INPUT_JobSettings!$A:$A, INPUT_JobSettings!$G:$G, ""), Summary!$B$5)))</f>
        <v/>
      </c>
    </row>
    <row r="113">
      <c r="A113" s="8" t="n"/>
      <c r="B113" s="8" t="n"/>
      <c r="C113" s="8" t="n"/>
      <c r="D113" s="8" t="n"/>
      <c r="E113" s="8" t="n"/>
      <c r="F113" s="8" t="n"/>
      <c r="G113" s="8" t="n"/>
      <c r="H113" s="8" t="n"/>
      <c r="I113" s="6">
        <f>IF(OR(A113="",C113=""),"", XLOOKUP(C113, Constants!$A:$A, Constants!$C:$C, ""))</f>
        <v/>
      </c>
      <c r="J113" s="6">
        <f>IF(OR(A113="",C113=""),"", D113 * (IF(G113="", 1, XLOOKUP(G113, Constants!$E$10:$E$30, Constants!$F$10:$F$30, 1))) * XLOOKUP(C113, Constants!$A:$A, Constants!$D:$D, 0))</f>
        <v/>
      </c>
      <c r="K113" s="6">
        <f>IF(OR(A113="",C113=""),"", D113 * F113 * XLOOKUP(C113, Constants!$A:$A, Constants!$E:$E, 0))</f>
        <v/>
      </c>
      <c r="L113" s="6">
        <f>IF(OR(A113="",C113=""),"", IF(E113="None",0, D113 * IF(E113="Full",1,XLOOKUP("PrimerSpotFactor",Constants!$A$20:$A$40,Constants!$B$20:$B$40,0.35)) * XLOOKUP(C113, Constants!$A:$A, Constants!$F:$F, 0)))</f>
        <v/>
      </c>
      <c r="M113" s="6">
        <f>IF(OR(A113="",C113=""),"", J113+K113+L113)</f>
        <v/>
      </c>
      <c r="N113" s="6">
        <f>IF(OR(A113="",C113=""),"", M113/60)</f>
        <v/>
      </c>
      <c r="O113" s="6">
        <f>IF(OR(A113="",C113=""),"", N113*(IF(XLOOKUP('Job Control'!$B$3, INPUT_JobSettings!$A:$A, INPUT_JobSettings!$F:$F, "")&lt;&gt;"", XLOOKUP('Job Control'!$B$3, INPUT_JobSettings!$A:$A, INPUT_JobSettings!$F:$F, ""), Summary!$B$4)))</f>
        <v/>
      </c>
      <c r="P113" s="6">
        <f>IF(OR(A113="",C113=""),"", 0)</f>
        <v/>
      </c>
      <c r="Q113" s="6">
        <f>IF(OR(A113="",C113=""),"", (O113+P113)*(IF(XLOOKUP('Job Control'!$B$3, INPUT_JobSettings!$A:$A, INPUT_JobSettings!$G:$G, "")&lt;&gt;"", XLOOKUP('Job Control'!$B$3, INPUT_JobSettings!$A:$A, INPUT_JobSettings!$G:$G, ""), Summary!$B$5)))</f>
        <v/>
      </c>
    </row>
    <row r="114">
      <c r="A114" s="8" t="n"/>
      <c r="B114" s="8" t="n"/>
      <c r="C114" s="8" t="n"/>
      <c r="D114" s="8" t="n"/>
      <c r="E114" s="8" t="n"/>
      <c r="F114" s="8" t="n"/>
      <c r="G114" s="8" t="n"/>
      <c r="H114" s="8" t="n"/>
      <c r="I114" s="6">
        <f>IF(OR(A114="",C114=""),"", XLOOKUP(C114, Constants!$A:$A, Constants!$C:$C, ""))</f>
        <v/>
      </c>
      <c r="J114" s="6">
        <f>IF(OR(A114="",C114=""),"", D114 * (IF(G114="", 1, XLOOKUP(G114, Constants!$E$10:$E$30, Constants!$F$10:$F$30, 1))) * XLOOKUP(C114, Constants!$A:$A, Constants!$D:$D, 0))</f>
        <v/>
      </c>
      <c r="K114" s="6">
        <f>IF(OR(A114="",C114=""),"", D114 * F114 * XLOOKUP(C114, Constants!$A:$A, Constants!$E:$E, 0))</f>
        <v/>
      </c>
      <c r="L114" s="6">
        <f>IF(OR(A114="",C114=""),"", IF(E114="None",0, D114 * IF(E114="Full",1,XLOOKUP("PrimerSpotFactor",Constants!$A$20:$A$40,Constants!$B$20:$B$40,0.35)) * XLOOKUP(C114, Constants!$A:$A, Constants!$F:$F, 0)))</f>
        <v/>
      </c>
      <c r="M114" s="6">
        <f>IF(OR(A114="",C114=""),"", J114+K114+L114)</f>
        <v/>
      </c>
      <c r="N114" s="6">
        <f>IF(OR(A114="",C114=""),"", M114/60)</f>
        <v/>
      </c>
      <c r="O114" s="6">
        <f>IF(OR(A114="",C114=""),"", N114*(IF(XLOOKUP('Job Control'!$B$3, INPUT_JobSettings!$A:$A, INPUT_JobSettings!$F:$F, "")&lt;&gt;"", XLOOKUP('Job Control'!$B$3, INPUT_JobSettings!$A:$A, INPUT_JobSettings!$F:$F, ""), Summary!$B$4)))</f>
        <v/>
      </c>
      <c r="P114" s="6">
        <f>IF(OR(A114="",C114=""),"", 0)</f>
        <v/>
      </c>
      <c r="Q114" s="6">
        <f>IF(OR(A114="",C114=""),"", (O114+P114)*(IF(XLOOKUP('Job Control'!$B$3, INPUT_JobSettings!$A:$A, INPUT_JobSettings!$G:$G, "")&lt;&gt;"", XLOOKUP('Job Control'!$B$3, INPUT_JobSettings!$A:$A, INPUT_JobSettings!$G:$G, ""), Summary!$B$5)))</f>
        <v/>
      </c>
    </row>
    <row r="115">
      <c r="A115" s="8" t="n"/>
      <c r="B115" s="8" t="n"/>
      <c r="C115" s="8" t="n"/>
      <c r="D115" s="8" t="n"/>
      <c r="E115" s="8" t="n"/>
      <c r="F115" s="8" t="n"/>
      <c r="G115" s="8" t="n"/>
      <c r="H115" s="8" t="n"/>
      <c r="I115" s="6">
        <f>IF(OR(A115="",C115=""),"", XLOOKUP(C115, Constants!$A:$A, Constants!$C:$C, ""))</f>
        <v/>
      </c>
      <c r="J115" s="6">
        <f>IF(OR(A115="",C115=""),"", D115 * (IF(G115="", 1, XLOOKUP(G115, Constants!$E$10:$E$30, Constants!$F$10:$F$30, 1))) * XLOOKUP(C115, Constants!$A:$A, Constants!$D:$D, 0))</f>
        <v/>
      </c>
      <c r="K115" s="6">
        <f>IF(OR(A115="",C115=""),"", D115 * F115 * XLOOKUP(C115, Constants!$A:$A, Constants!$E:$E, 0))</f>
        <v/>
      </c>
      <c r="L115" s="6">
        <f>IF(OR(A115="",C115=""),"", IF(E115="None",0, D115 * IF(E115="Full",1,XLOOKUP("PrimerSpotFactor",Constants!$A$20:$A$40,Constants!$B$20:$B$40,0.35)) * XLOOKUP(C115, Constants!$A:$A, Constants!$F:$F, 0)))</f>
        <v/>
      </c>
      <c r="M115" s="6">
        <f>IF(OR(A115="",C115=""),"", J115+K115+L115)</f>
        <v/>
      </c>
      <c r="N115" s="6">
        <f>IF(OR(A115="",C115=""),"", M115/60)</f>
        <v/>
      </c>
      <c r="O115" s="6">
        <f>IF(OR(A115="",C115=""),"", N115*(IF(XLOOKUP('Job Control'!$B$3, INPUT_JobSettings!$A:$A, INPUT_JobSettings!$F:$F, "")&lt;&gt;"", XLOOKUP('Job Control'!$B$3, INPUT_JobSettings!$A:$A, INPUT_JobSettings!$F:$F, ""), Summary!$B$4)))</f>
        <v/>
      </c>
      <c r="P115" s="6">
        <f>IF(OR(A115="",C115=""),"", 0)</f>
        <v/>
      </c>
      <c r="Q115" s="6">
        <f>IF(OR(A115="",C115=""),"", (O115+P115)*(IF(XLOOKUP('Job Control'!$B$3, INPUT_JobSettings!$A:$A, INPUT_JobSettings!$G:$G, "")&lt;&gt;"", XLOOKUP('Job Control'!$B$3, INPUT_JobSettings!$A:$A, INPUT_JobSettings!$G:$G, ""), Summary!$B$5)))</f>
        <v/>
      </c>
    </row>
    <row r="116">
      <c r="A116" s="8" t="n"/>
      <c r="B116" s="8" t="n"/>
      <c r="C116" s="8" t="n"/>
      <c r="D116" s="8" t="n"/>
      <c r="E116" s="8" t="n"/>
      <c r="F116" s="8" t="n"/>
      <c r="G116" s="8" t="n"/>
      <c r="H116" s="8" t="n"/>
      <c r="I116" s="6">
        <f>IF(OR(A116="",C116=""),"", XLOOKUP(C116, Constants!$A:$A, Constants!$C:$C, ""))</f>
        <v/>
      </c>
      <c r="J116" s="6">
        <f>IF(OR(A116="",C116=""),"", D116 * (IF(G116="", 1, XLOOKUP(G116, Constants!$E$10:$E$30, Constants!$F$10:$F$30, 1))) * XLOOKUP(C116, Constants!$A:$A, Constants!$D:$D, 0))</f>
        <v/>
      </c>
      <c r="K116" s="6">
        <f>IF(OR(A116="",C116=""),"", D116 * F116 * XLOOKUP(C116, Constants!$A:$A, Constants!$E:$E, 0))</f>
        <v/>
      </c>
      <c r="L116" s="6">
        <f>IF(OR(A116="",C116=""),"", IF(E116="None",0, D116 * IF(E116="Full",1,XLOOKUP("PrimerSpotFactor",Constants!$A$20:$A$40,Constants!$B$20:$B$40,0.35)) * XLOOKUP(C116, Constants!$A:$A, Constants!$F:$F, 0)))</f>
        <v/>
      </c>
      <c r="M116" s="6">
        <f>IF(OR(A116="",C116=""),"", J116+K116+L116)</f>
        <v/>
      </c>
      <c r="N116" s="6">
        <f>IF(OR(A116="",C116=""),"", M116/60)</f>
        <v/>
      </c>
      <c r="O116" s="6">
        <f>IF(OR(A116="",C116=""),"", N116*(IF(XLOOKUP('Job Control'!$B$3, INPUT_JobSettings!$A:$A, INPUT_JobSettings!$F:$F, "")&lt;&gt;"", XLOOKUP('Job Control'!$B$3, INPUT_JobSettings!$A:$A, INPUT_JobSettings!$F:$F, ""), Summary!$B$4)))</f>
        <v/>
      </c>
      <c r="P116" s="6">
        <f>IF(OR(A116="",C116=""),"", 0)</f>
        <v/>
      </c>
      <c r="Q116" s="6">
        <f>IF(OR(A116="",C116=""),"", (O116+P116)*(IF(XLOOKUP('Job Control'!$B$3, INPUT_JobSettings!$A:$A, INPUT_JobSettings!$G:$G, "")&lt;&gt;"", XLOOKUP('Job Control'!$B$3, INPUT_JobSettings!$A:$A, INPUT_JobSettings!$G:$G, ""), Summary!$B$5)))</f>
        <v/>
      </c>
    </row>
    <row r="117">
      <c r="A117" s="8" t="n"/>
      <c r="B117" s="8" t="n"/>
      <c r="C117" s="8" t="n"/>
      <c r="D117" s="8" t="n"/>
      <c r="E117" s="8" t="n"/>
      <c r="F117" s="8" t="n"/>
      <c r="G117" s="8" t="n"/>
      <c r="H117" s="8" t="n"/>
      <c r="I117" s="6">
        <f>IF(OR(A117="",C117=""),"", XLOOKUP(C117, Constants!$A:$A, Constants!$C:$C, ""))</f>
        <v/>
      </c>
      <c r="J117" s="6">
        <f>IF(OR(A117="",C117=""),"", D117 * (IF(G117="", 1, XLOOKUP(G117, Constants!$E$10:$E$30, Constants!$F$10:$F$30, 1))) * XLOOKUP(C117, Constants!$A:$A, Constants!$D:$D, 0))</f>
        <v/>
      </c>
      <c r="K117" s="6">
        <f>IF(OR(A117="",C117=""),"", D117 * F117 * XLOOKUP(C117, Constants!$A:$A, Constants!$E:$E, 0))</f>
        <v/>
      </c>
      <c r="L117" s="6">
        <f>IF(OR(A117="",C117=""),"", IF(E117="None",0, D117 * IF(E117="Full",1,XLOOKUP("PrimerSpotFactor",Constants!$A$20:$A$40,Constants!$B$20:$B$40,0.35)) * XLOOKUP(C117, Constants!$A:$A, Constants!$F:$F, 0)))</f>
        <v/>
      </c>
      <c r="M117" s="6">
        <f>IF(OR(A117="",C117=""),"", J117+K117+L117)</f>
        <v/>
      </c>
      <c r="N117" s="6">
        <f>IF(OR(A117="",C117=""),"", M117/60)</f>
        <v/>
      </c>
      <c r="O117" s="6">
        <f>IF(OR(A117="",C117=""),"", N117*(IF(XLOOKUP('Job Control'!$B$3, INPUT_JobSettings!$A:$A, INPUT_JobSettings!$F:$F, "")&lt;&gt;"", XLOOKUP('Job Control'!$B$3, INPUT_JobSettings!$A:$A, INPUT_JobSettings!$F:$F, ""), Summary!$B$4)))</f>
        <v/>
      </c>
      <c r="P117" s="6">
        <f>IF(OR(A117="",C117=""),"", 0)</f>
        <v/>
      </c>
      <c r="Q117" s="6">
        <f>IF(OR(A117="",C117=""),"", (O117+P117)*(IF(XLOOKUP('Job Control'!$B$3, INPUT_JobSettings!$A:$A, INPUT_JobSettings!$G:$G, "")&lt;&gt;"", XLOOKUP('Job Control'!$B$3, INPUT_JobSettings!$A:$A, INPUT_JobSettings!$G:$G, ""), Summary!$B$5)))</f>
        <v/>
      </c>
    </row>
    <row r="118">
      <c r="A118" s="8" t="n"/>
      <c r="B118" s="8" t="n"/>
      <c r="C118" s="8" t="n"/>
      <c r="D118" s="8" t="n"/>
      <c r="E118" s="8" t="n"/>
      <c r="F118" s="8" t="n"/>
      <c r="G118" s="8" t="n"/>
      <c r="H118" s="8" t="n"/>
      <c r="I118" s="6">
        <f>IF(OR(A118="",C118=""),"", XLOOKUP(C118, Constants!$A:$A, Constants!$C:$C, ""))</f>
        <v/>
      </c>
      <c r="J118" s="6">
        <f>IF(OR(A118="",C118=""),"", D118 * (IF(G118="", 1, XLOOKUP(G118, Constants!$E$10:$E$30, Constants!$F$10:$F$30, 1))) * XLOOKUP(C118, Constants!$A:$A, Constants!$D:$D, 0))</f>
        <v/>
      </c>
      <c r="K118" s="6">
        <f>IF(OR(A118="",C118=""),"", D118 * F118 * XLOOKUP(C118, Constants!$A:$A, Constants!$E:$E, 0))</f>
        <v/>
      </c>
      <c r="L118" s="6">
        <f>IF(OR(A118="",C118=""),"", IF(E118="None",0, D118 * IF(E118="Full",1,XLOOKUP("PrimerSpotFactor",Constants!$A$20:$A$40,Constants!$B$20:$B$40,0.35)) * XLOOKUP(C118, Constants!$A:$A, Constants!$F:$F, 0)))</f>
        <v/>
      </c>
      <c r="M118" s="6">
        <f>IF(OR(A118="",C118=""),"", J118+K118+L118)</f>
        <v/>
      </c>
      <c r="N118" s="6">
        <f>IF(OR(A118="",C118=""),"", M118/60)</f>
        <v/>
      </c>
      <c r="O118" s="6">
        <f>IF(OR(A118="",C118=""),"", N118*(IF(XLOOKUP('Job Control'!$B$3, INPUT_JobSettings!$A:$A, INPUT_JobSettings!$F:$F, "")&lt;&gt;"", XLOOKUP('Job Control'!$B$3, INPUT_JobSettings!$A:$A, INPUT_JobSettings!$F:$F, ""), Summary!$B$4)))</f>
        <v/>
      </c>
      <c r="P118" s="6">
        <f>IF(OR(A118="",C118=""),"", 0)</f>
        <v/>
      </c>
      <c r="Q118" s="6">
        <f>IF(OR(A118="",C118=""),"", (O118+P118)*(IF(XLOOKUP('Job Control'!$B$3, INPUT_JobSettings!$A:$A, INPUT_JobSettings!$G:$G, "")&lt;&gt;"", XLOOKUP('Job Control'!$B$3, INPUT_JobSettings!$A:$A, INPUT_JobSettings!$G:$G, ""), Summary!$B$5)))</f>
        <v/>
      </c>
    </row>
    <row r="119">
      <c r="A119" s="8" t="n"/>
      <c r="B119" s="8" t="n"/>
      <c r="C119" s="8" t="n"/>
      <c r="D119" s="8" t="n"/>
      <c r="E119" s="8" t="n"/>
      <c r="F119" s="8" t="n"/>
      <c r="G119" s="8" t="n"/>
      <c r="H119" s="8" t="n"/>
      <c r="I119" s="6">
        <f>IF(OR(A119="",C119=""),"", XLOOKUP(C119, Constants!$A:$A, Constants!$C:$C, ""))</f>
        <v/>
      </c>
      <c r="J119" s="6">
        <f>IF(OR(A119="",C119=""),"", D119 * (IF(G119="", 1, XLOOKUP(G119, Constants!$E$10:$E$30, Constants!$F$10:$F$30, 1))) * XLOOKUP(C119, Constants!$A:$A, Constants!$D:$D, 0))</f>
        <v/>
      </c>
      <c r="K119" s="6">
        <f>IF(OR(A119="",C119=""),"", D119 * F119 * XLOOKUP(C119, Constants!$A:$A, Constants!$E:$E, 0))</f>
        <v/>
      </c>
      <c r="L119" s="6">
        <f>IF(OR(A119="",C119=""),"", IF(E119="None",0, D119 * IF(E119="Full",1,XLOOKUP("PrimerSpotFactor",Constants!$A$20:$A$40,Constants!$B$20:$B$40,0.35)) * XLOOKUP(C119, Constants!$A:$A, Constants!$F:$F, 0)))</f>
        <v/>
      </c>
      <c r="M119" s="6">
        <f>IF(OR(A119="",C119=""),"", J119+K119+L119)</f>
        <v/>
      </c>
      <c r="N119" s="6">
        <f>IF(OR(A119="",C119=""),"", M119/60)</f>
        <v/>
      </c>
      <c r="O119" s="6">
        <f>IF(OR(A119="",C119=""),"", N119*(IF(XLOOKUP('Job Control'!$B$3, INPUT_JobSettings!$A:$A, INPUT_JobSettings!$F:$F, "")&lt;&gt;"", XLOOKUP('Job Control'!$B$3, INPUT_JobSettings!$A:$A, INPUT_JobSettings!$F:$F, ""), Summary!$B$4)))</f>
        <v/>
      </c>
      <c r="P119" s="6">
        <f>IF(OR(A119="",C119=""),"", 0)</f>
        <v/>
      </c>
      <c r="Q119" s="6">
        <f>IF(OR(A119="",C119=""),"", (O119+P119)*(IF(XLOOKUP('Job Control'!$B$3, INPUT_JobSettings!$A:$A, INPUT_JobSettings!$G:$G, "")&lt;&gt;"", XLOOKUP('Job Control'!$B$3, INPUT_JobSettings!$A:$A, INPUT_JobSettings!$G:$G, ""), Summary!$B$5)))</f>
        <v/>
      </c>
    </row>
    <row r="120">
      <c r="A120" s="8" t="n"/>
      <c r="B120" s="8" t="n"/>
      <c r="C120" s="8" t="n"/>
      <c r="D120" s="8" t="n"/>
      <c r="E120" s="8" t="n"/>
      <c r="F120" s="8" t="n"/>
      <c r="G120" s="8" t="n"/>
      <c r="H120" s="8" t="n"/>
      <c r="I120" s="6">
        <f>IF(OR(A120="",C120=""),"", XLOOKUP(C120, Constants!$A:$A, Constants!$C:$C, ""))</f>
        <v/>
      </c>
      <c r="J120" s="6">
        <f>IF(OR(A120="",C120=""),"", D120 * (IF(G120="", 1, XLOOKUP(G120, Constants!$E$10:$E$30, Constants!$F$10:$F$30, 1))) * XLOOKUP(C120, Constants!$A:$A, Constants!$D:$D, 0))</f>
        <v/>
      </c>
      <c r="K120" s="6">
        <f>IF(OR(A120="",C120=""),"", D120 * F120 * XLOOKUP(C120, Constants!$A:$A, Constants!$E:$E, 0))</f>
        <v/>
      </c>
      <c r="L120" s="6">
        <f>IF(OR(A120="",C120=""),"", IF(E120="None",0, D120 * IF(E120="Full",1,XLOOKUP("PrimerSpotFactor",Constants!$A$20:$A$40,Constants!$B$20:$B$40,0.35)) * XLOOKUP(C120, Constants!$A:$A, Constants!$F:$F, 0)))</f>
        <v/>
      </c>
      <c r="M120" s="6">
        <f>IF(OR(A120="",C120=""),"", J120+K120+L120)</f>
        <v/>
      </c>
      <c r="N120" s="6">
        <f>IF(OR(A120="",C120=""),"", M120/60)</f>
        <v/>
      </c>
      <c r="O120" s="6">
        <f>IF(OR(A120="",C120=""),"", N120*(IF(XLOOKUP('Job Control'!$B$3, INPUT_JobSettings!$A:$A, INPUT_JobSettings!$F:$F, "")&lt;&gt;"", XLOOKUP('Job Control'!$B$3, INPUT_JobSettings!$A:$A, INPUT_JobSettings!$F:$F, ""), Summary!$B$4)))</f>
        <v/>
      </c>
      <c r="P120" s="6">
        <f>IF(OR(A120="",C120=""),"", 0)</f>
        <v/>
      </c>
      <c r="Q120" s="6">
        <f>IF(OR(A120="",C120=""),"", (O120+P120)*(IF(XLOOKUP('Job Control'!$B$3, INPUT_JobSettings!$A:$A, INPUT_JobSettings!$G:$G, "")&lt;&gt;"", XLOOKUP('Job Control'!$B$3, INPUT_JobSettings!$A:$A, INPUT_JobSettings!$G:$G, ""), Summary!$B$5)))</f>
        <v/>
      </c>
    </row>
    <row r="121">
      <c r="A121" s="8" t="n"/>
      <c r="B121" s="8" t="n"/>
      <c r="C121" s="8" t="n"/>
      <c r="D121" s="8" t="n"/>
      <c r="E121" s="8" t="n"/>
      <c r="F121" s="8" t="n"/>
      <c r="G121" s="8" t="n"/>
      <c r="H121" s="8" t="n"/>
      <c r="I121" s="6">
        <f>IF(OR(A121="",C121=""),"", XLOOKUP(C121, Constants!$A:$A, Constants!$C:$C, ""))</f>
        <v/>
      </c>
      <c r="J121" s="6">
        <f>IF(OR(A121="",C121=""),"", D121 * (IF(G121="", 1, XLOOKUP(G121, Constants!$E$10:$E$30, Constants!$F$10:$F$30, 1))) * XLOOKUP(C121, Constants!$A:$A, Constants!$D:$D, 0))</f>
        <v/>
      </c>
      <c r="K121" s="6">
        <f>IF(OR(A121="",C121=""),"", D121 * F121 * XLOOKUP(C121, Constants!$A:$A, Constants!$E:$E, 0))</f>
        <v/>
      </c>
      <c r="L121" s="6">
        <f>IF(OR(A121="",C121=""),"", IF(E121="None",0, D121 * IF(E121="Full",1,XLOOKUP("PrimerSpotFactor",Constants!$A$20:$A$40,Constants!$B$20:$B$40,0.35)) * XLOOKUP(C121, Constants!$A:$A, Constants!$F:$F, 0)))</f>
        <v/>
      </c>
      <c r="M121" s="6">
        <f>IF(OR(A121="",C121=""),"", J121+K121+L121)</f>
        <v/>
      </c>
      <c r="N121" s="6">
        <f>IF(OR(A121="",C121=""),"", M121/60)</f>
        <v/>
      </c>
      <c r="O121" s="6">
        <f>IF(OR(A121="",C121=""),"", N121*(IF(XLOOKUP('Job Control'!$B$3, INPUT_JobSettings!$A:$A, INPUT_JobSettings!$F:$F, "")&lt;&gt;"", XLOOKUP('Job Control'!$B$3, INPUT_JobSettings!$A:$A, INPUT_JobSettings!$F:$F, ""), Summary!$B$4)))</f>
        <v/>
      </c>
      <c r="P121" s="6">
        <f>IF(OR(A121="",C121=""),"", 0)</f>
        <v/>
      </c>
      <c r="Q121" s="6">
        <f>IF(OR(A121="",C121=""),"", (O121+P121)*(IF(XLOOKUP('Job Control'!$B$3, INPUT_JobSettings!$A:$A, INPUT_JobSettings!$G:$G, "")&lt;&gt;"", XLOOKUP('Job Control'!$B$3, INPUT_JobSettings!$A:$A, INPUT_JobSettings!$G:$G, ""), Summary!$B$5)))</f>
        <v/>
      </c>
    </row>
    <row r="122">
      <c r="A122" s="8" t="n"/>
      <c r="B122" s="8" t="n"/>
      <c r="C122" s="8" t="n"/>
      <c r="D122" s="8" t="n"/>
      <c r="E122" s="8" t="n"/>
      <c r="F122" s="8" t="n"/>
      <c r="G122" s="8" t="n"/>
      <c r="H122" s="8" t="n"/>
      <c r="I122" s="6">
        <f>IF(OR(A122="",C122=""),"", XLOOKUP(C122, Constants!$A:$A, Constants!$C:$C, ""))</f>
        <v/>
      </c>
      <c r="J122" s="6">
        <f>IF(OR(A122="",C122=""),"", D122 * (IF(G122="", 1, XLOOKUP(G122, Constants!$E$10:$E$30, Constants!$F$10:$F$30, 1))) * XLOOKUP(C122, Constants!$A:$A, Constants!$D:$D, 0))</f>
        <v/>
      </c>
      <c r="K122" s="6">
        <f>IF(OR(A122="",C122=""),"", D122 * F122 * XLOOKUP(C122, Constants!$A:$A, Constants!$E:$E, 0))</f>
        <v/>
      </c>
      <c r="L122" s="6">
        <f>IF(OR(A122="",C122=""),"", IF(E122="None",0, D122 * IF(E122="Full",1,XLOOKUP("PrimerSpotFactor",Constants!$A$20:$A$40,Constants!$B$20:$B$40,0.35)) * XLOOKUP(C122, Constants!$A:$A, Constants!$F:$F, 0)))</f>
        <v/>
      </c>
      <c r="M122" s="6">
        <f>IF(OR(A122="",C122=""),"", J122+K122+L122)</f>
        <v/>
      </c>
      <c r="N122" s="6">
        <f>IF(OR(A122="",C122=""),"", M122/60)</f>
        <v/>
      </c>
      <c r="O122" s="6">
        <f>IF(OR(A122="",C122=""),"", N122*(IF(XLOOKUP('Job Control'!$B$3, INPUT_JobSettings!$A:$A, INPUT_JobSettings!$F:$F, "")&lt;&gt;"", XLOOKUP('Job Control'!$B$3, INPUT_JobSettings!$A:$A, INPUT_JobSettings!$F:$F, ""), Summary!$B$4)))</f>
        <v/>
      </c>
      <c r="P122" s="6">
        <f>IF(OR(A122="",C122=""),"", 0)</f>
        <v/>
      </c>
      <c r="Q122" s="6">
        <f>IF(OR(A122="",C122=""),"", (O122+P122)*(IF(XLOOKUP('Job Control'!$B$3, INPUT_JobSettings!$A:$A, INPUT_JobSettings!$G:$G, "")&lt;&gt;"", XLOOKUP('Job Control'!$B$3, INPUT_JobSettings!$A:$A, INPUT_JobSettings!$G:$G, ""), Summary!$B$5)))</f>
        <v/>
      </c>
    </row>
    <row r="123">
      <c r="A123" s="8" t="n"/>
      <c r="B123" s="8" t="n"/>
      <c r="C123" s="8" t="n"/>
      <c r="D123" s="8" t="n"/>
      <c r="E123" s="8" t="n"/>
      <c r="F123" s="8" t="n"/>
      <c r="G123" s="8" t="n"/>
      <c r="H123" s="8" t="n"/>
      <c r="I123" s="6">
        <f>IF(OR(A123="",C123=""),"", XLOOKUP(C123, Constants!$A:$A, Constants!$C:$C, ""))</f>
        <v/>
      </c>
      <c r="J123" s="6">
        <f>IF(OR(A123="",C123=""),"", D123 * (IF(G123="", 1, XLOOKUP(G123, Constants!$E$10:$E$30, Constants!$F$10:$F$30, 1))) * XLOOKUP(C123, Constants!$A:$A, Constants!$D:$D, 0))</f>
        <v/>
      </c>
      <c r="K123" s="6">
        <f>IF(OR(A123="",C123=""),"", D123 * F123 * XLOOKUP(C123, Constants!$A:$A, Constants!$E:$E, 0))</f>
        <v/>
      </c>
      <c r="L123" s="6">
        <f>IF(OR(A123="",C123=""),"", IF(E123="None",0, D123 * IF(E123="Full",1,XLOOKUP("PrimerSpotFactor",Constants!$A$20:$A$40,Constants!$B$20:$B$40,0.35)) * XLOOKUP(C123, Constants!$A:$A, Constants!$F:$F, 0)))</f>
        <v/>
      </c>
      <c r="M123" s="6">
        <f>IF(OR(A123="",C123=""),"", J123+K123+L123)</f>
        <v/>
      </c>
      <c r="N123" s="6">
        <f>IF(OR(A123="",C123=""),"", M123/60)</f>
        <v/>
      </c>
      <c r="O123" s="6">
        <f>IF(OR(A123="",C123=""),"", N123*(IF(XLOOKUP('Job Control'!$B$3, INPUT_JobSettings!$A:$A, INPUT_JobSettings!$F:$F, "")&lt;&gt;"", XLOOKUP('Job Control'!$B$3, INPUT_JobSettings!$A:$A, INPUT_JobSettings!$F:$F, ""), Summary!$B$4)))</f>
        <v/>
      </c>
      <c r="P123" s="6">
        <f>IF(OR(A123="",C123=""),"", 0)</f>
        <v/>
      </c>
      <c r="Q123" s="6">
        <f>IF(OR(A123="",C123=""),"", (O123+P123)*(IF(XLOOKUP('Job Control'!$B$3, INPUT_JobSettings!$A:$A, INPUT_JobSettings!$G:$G, "")&lt;&gt;"", XLOOKUP('Job Control'!$B$3, INPUT_JobSettings!$A:$A, INPUT_JobSettings!$G:$G, ""), Summary!$B$5)))</f>
        <v/>
      </c>
    </row>
    <row r="124">
      <c r="A124" s="8" t="n"/>
      <c r="B124" s="8" t="n"/>
      <c r="C124" s="8" t="n"/>
      <c r="D124" s="8" t="n"/>
      <c r="E124" s="8" t="n"/>
      <c r="F124" s="8" t="n"/>
      <c r="G124" s="8" t="n"/>
      <c r="H124" s="8" t="n"/>
      <c r="I124" s="6">
        <f>IF(OR(A124="",C124=""),"", XLOOKUP(C124, Constants!$A:$A, Constants!$C:$C, ""))</f>
        <v/>
      </c>
      <c r="J124" s="6">
        <f>IF(OR(A124="",C124=""),"", D124 * (IF(G124="", 1, XLOOKUP(G124, Constants!$E$10:$E$30, Constants!$F$10:$F$30, 1))) * XLOOKUP(C124, Constants!$A:$A, Constants!$D:$D, 0))</f>
        <v/>
      </c>
      <c r="K124" s="6">
        <f>IF(OR(A124="",C124=""),"", D124 * F124 * XLOOKUP(C124, Constants!$A:$A, Constants!$E:$E, 0))</f>
        <v/>
      </c>
      <c r="L124" s="6">
        <f>IF(OR(A124="",C124=""),"", IF(E124="None",0, D124 * IF(E124="Full",1,XLOOKUP("PrimerSpotFactor",Constants!$A$20:$A$40,Constants!$B$20:$B$40,0.35)) * XLOOKUP(C124, Constants!$A:$A, Constants!$F:$F, 0)))</f>
        <v/>
      </c>
      <c r="M124" s="6">
        <f>IF(OR(A124="",C124=""),"", J124+K124+L124)</f>
        <v/>
      </c>
      <c r="N124" s="6">
        <f>IF(OR(A124="",C124=""),"", M124/60)</f>
        <v/>
      </c>
      <c r="O124" s="6">
        <f>IF(OR(A124="",C124=""),"", N124*(IF(XLOOKUP('Job Control'!$B$3, INPUT_JobSettings!$A:$A, INPUT_JobSettings!$F:$F, "")&lt;&gt;"", XLOOKUP('Job Control'!$B$3, INPUT_JobSettings!$A:$A, INPUT_JobSettings!$F:$F, ""), Summary!$B$4)))</f>
        <v/>
      </c>
      <c r="P124" s="6">
        <f>IF(OR(A124="",C124=""),"", 0)</f>
        <v/>
      </c>
      <c r="Q124" s="6">
        <f>IF(OR(A124="",C124=""),"", (O124+P124)*(IF(XLOOKUP('Job Control'!$B$3, INPUT_JobSettings!$A:$A, INPUT_JobSettings!$G:$G, "")&lt;&gt;"", XLOOKUP('Job Control'!$B$3, INPUT_JobSettings!$A:$A, INPUT_JobSettings!$G:$G, ""), Summary!$B$5)))</f>
        <v/>
      </c>
    </row>
    <row r="125">
      <c r="A125" s="8" t="n"/>
      <c r="B125" s="8" t="n"/>
      <c r="C125" s="8" t="n"/>
      <c r="D125" s="8" t="n"/>
      <c r="E125" s="8" t="n"/>
      <c r="F125" s="8" t="n"/>
      <c r="G125" s="8" t="n"/>
      <c r="H125" s="8" t="n"/>
      <c r="I125" s="6">
        <f>IF(OR(A125="",C125=""),"", XLOOKUP(C125, Constants!$A:$A, Constants!$C:$C, ""))</f>
        <v/>
      </c>
      <c r="J125" s="6">
        <f>IF(OR(A125="",C125=""),"", D125 * (IF(G125="", 1, XLOOKUP(G125, Constants!$E$10:$E$30, Constants!$F$10:$F$30, 1))) * XLOOKUP(C125, Constants!$A:$A, Constants!$D:$D, 0))</f>
        <v/>
      </c>
      <c r="K125" s="6">
        <f>IF(OR(A125="",C125=""),"", D125 * F125 * XLOOKUP(C125, Constants!$A:$A, Constants!$E:$E, 0))</f>
        <v/>
      </c>
      <c r="L125" s="6">
        <f>IF(OR(A125="",C125=""),"", IF(E125="None",0, D125 * IF(E125="Full",1,XLOOKUP("PrimerSpotFactor",Constants!$A$20:$A$40,Constants!$B$20:$B$40,0.35)) * XLOOKUP(C125, Constants!$A:$A, Constants!$F:$F, 0)))</f>
        <v/>
      </c>
      <c r="M125" s="6">
        <f>IF(OR(A125="",C125=""),"", J125+K125+L125)</f>
        <v/>
      </c>
      <c r="N125" s="6">
        <f>IF(OR(A125="",C125=""),"", M125/60)</f>
        <v/>
      </c>
      <c r="O125" s="6">
        <f>IF(OR(A125="",C125=""),"", N125*(IF(XLOOKUP('Job Control'!$B$3, INPUT_JobSettings!$A:$A, INPUT_JobSettings!$F:$F, "")&lt;&gt;"", XLOOKUP('Job Control'!$B$3, INPUT_JobSettings!$A:$A, INPUT_JobSettings!$F:$F, ""), Summary!$B$4)))</f>
        <v/>
      </c>
      <c r="P125" s="6">
        <f>IF(OR(A125="",C125=""),"", 0)</f>
        <v/>
      </c>
      <c r="Q125" s="6">
        <f>IF(OR(A125="",C125=""),"", (O125+P125)*(IF(XLOOKUP('Job Control'!$B$3, INPUT_JobSettings!$A:$A, INPUT_JobSettings!$G:$G, "")&lt;&gt;"", XLOOKUP('Job Control'!$B$3, INPUT_JobSettings!$A:$A, INPUT_JobSettings!$G:$G, ""), Summary!$B$5)))</f>
        <v/>
      </c>
    </row>
    <row r="126">
      <c r="A126" s="8" t="n"/>
      <c r="B126" s="8" t="n"/>
      <c r="C126" s="8" t="n"/>
      <c r="D126" s="8" t="n"/>
      <c r="E126" s="8" t="n"/>
      <c r="F126" s="8" t="n"/>
      <c r="G126" s="8" t="n"/>
      <c r="H126" s="8" t="n"/>
      <c r="I126" s="6">
        <f>IF(OR(A126="",C126=""),"", XLOOKUP(C126, Constants!$A:$A, Constants!$C:$C, ""))</f>
        <v/>
      </c>
      <c r="J126" s="6">
        <f>IF(OR(A126="",C126=""),"", D126 * (IF(G126="", 1, XLOOKUP(G126, Constants!$E$10:$E$30, Constants!$F$10:$F$30, 1))) * XLOOKUP(C126, Constants!$A:$A, Constants!$D:$D, 0))</f>
        <v/>
      </c>
      <c r="K126" s="6">
        <f>IF(OR(A126="",C126=""),"", D126 * F126 * XLOOKUP(C126, Constants!$A:$A, Constants!$E:$E, 0))</f>
        <v/>
      </c>
      <c r="L126" s="6">
        <f>IF(OR(A126="",C126=""),"", IF(E126="None",0, D126 * IF(E126="Full",1,XLOOKUP("PrimerSpotFactor",Constants!$A$20:$A$40,Constants!$B$20:$B$40,0.35)) * XLOOKUP(C126, Constants!$A:$A, Constants!$F:$F, 0)))</f>
        <v/>
      </c>
      <c r="M126" s="6">
        <f>IF(OR(A126="",C126=""),"", J126+K126+L126)</f>
        <v/>
      </c>
      <c r="N126" s="6">
        <f>IF(OR(A126="",C126=""),"", M126/60)</f>
        <v/>
      </c>
      <c r="O126" s="6">
        <f>IF(OR(A126="",C126=""),"", N126*(IF(XLOOKUP('Job Control'!$B$3, INPUT_JobSettings!$A:$A, INPUT_JobSettings!$F:$F, "")&lt;&gt;"", XLOOKUP('Job Control'!$B$3, INPUT_JobSettings!$A:$A, INPUT_JobSettings!$F:$F, ""), Summary!$B$4)))</f>
        <v/>
      </c>
      <c r="P126" s="6">
        <f>IF(OR(A126="",C126=""),"", 0)</f>
        <v/>
      </c>
      <c r="Q126" s="6">
        <f>IF(OR(A126="",C126=""),"", (O126+P126)*(IF(XLOOKUP('Job Control'!$B$3, INPUT_JobSettings!$A:$A, INPUT_JobSettings!$G:$G, "")&lt;&gt;"", XLOOKUP('Job Control'!$B$3, INPUT_JobSettings!$A:$A, INPUT_JobSettings!$G:$G, ""), Summary!$B$5)))</f>
        <v/>
      </c>
    </row>
    <row r="127">
      <c r="A127" s="8" t="n"/>
      <c r="B127" s="8" t="n"/>
      <c r="C127" s="8" t="n"/>
      <c r="D127" s="8" t="n"/>
      <c r="E127" s="8" t="n"/>
      <c r="F127" s="8" t="n"/>
      <c r="G127" s="8" t="n"/>
      <c r="H127" s="8" t="n"/>
      <c r="I127" s="6">
        <f>IF(OR(A127="",C127=""),"", XLOOKUP(C127, Constants!$A:$A, Constants!$C:$C, ""))</f>
        <v/>
      </c>
      <c r="J127" s="6">
        <f>IF(OR(A127="",C127=""),"", D127 * (IF(G127="", 1, XLOOKUP(G127, Constants!$E$10:$E$30, Constants!$F$10:$F$30, 1))) * XLOOKUP(C127, Constants!$A:$A, Constants!$D:$D, 0))</f>
        <v/>
      </c>
      <c r="K127" s="6">
        <f>IF(OR(A127="",C127=""),"", D127 * F127 * XLOOKUP(C127, Constants!$A:$A, Constants!$E:$E, 0))</f>
        <v/>
      </c>
      <c r="L127" s="6">
        <f>IF(OR(A127="",C127=""),"", IF(E127="None",0, D127 * IF(E127="Full",1,XLOOKUP("PrimerSpotFactor",Constants!$A$20:$A$40,Constants!$B$20:$B$40,0.35)) * XLOOKUP(C127, Constants!$A:$A, Constants!$F:$F, 0)))</f>
        <v/>
      </c>
      <c r="M127" s="6">
        <f>IF(OR(A127="",C127=""),"", J127+K127+L127)</f>
        <v/>
      </c>
      <c r="N127" s="6">
        <f>IF(OR(A127="",C127=""),"", M127/60)</f>
        <v/>
      </c>
      <c r="O127" s="6">
        <f>IF(OR(A127="",C127=""),"", N127*(IF(XLOOKUP('Job Control'!$B$3, INPUT_JobSettings!$A:$A, INPUT_JobSettings!$F:$F, "")&lt;&gt;"", XLOOKUP('Job Control'!$B$3, INPUT_JobSettings!$A:$A, INPUT_JobSettings!$F:$F, ""), Summary!$B$4)))</f>
        <v/>
      </c>
      <c r="P127" s="6">
        <f>IF(OR(A127="",C127=""),"", 0)</f>
        <v/>
      </c>
      <c r="Q127" s="6">
        <f>IF(OR(A127="",C127=""),"", (O127+P127)*(IF(XLOOKUP('Job Control'!$B$3, INPUT_JobSettings!$A:$A, INPUT_JobSettings!$G:$G, "")&lt;&gt;"", XLOOKUP('Job Control'!$B$3, INPUT_JobSettings!$A:$A, INPUT_JobSettings!$G:$G, ""), Summary!$B$5)))</f>
        <v/>
      </c>
    </row>
    <row r="128">
      <c r="A128" s="8" t="n"/>
      <c r="B128" s="8" t="n"/>
      <c r="C128" s="8" t="n"/>
      <c r="D128" s="8" t="n"/>
      <c r="E128" s="8" t="n"/>
      <c r="F128" s="8" t="n"/>
      <c r="G128" s="8" t="n"/>
      <c r="H128" s="8" t="n"/>
      <c r="I128" s="6">
        <f>IF(OR(A128="",C128=""),"", XLOOKUP(C128, Constants!$A:$A, Constants!$C:$C, ""))</f>
        <v/>
      </c>
      <c r="J128" s="6">
        <f>IF(OR(A128="",C128=""),"", D128 * (IF(G128="", 1, XLOOKUP(G128, Constants!$E$10:$E$30, Constants!$F$10:$F$30, 1))) * XLOOKUP(C128, Constants!$A:$A, Constants!$D:$D, 0))</f>
        <v/>
      </c>
      <c r="K128" s="6">
        <f>IF(OR(A128="",C128=""),"", D128 * F128 * XLOOKUP(C128, Constants!$A:$A, Constants!$E:$E, 0))</f>
        <v/>
      </c>
      <c r="L128" s="6">
        <f>IF(OR(A128="",C128=""),"", IF(E128="None",0, D128 * IF(E128="Full",1,XLOOKUP("PrimerSpotFactor",Constants!$A$20:$A$40,Constants!$B$20:$B$40,0.35)) * XLOOKUP(C128, Constants!$A:$A, Constants!$F:$F, 0)))</f>
        <v/>
      </c>
      <c r="M128" s="6">
        <f>IF(OR(A128="",C128=""),"", J128+K128+L128)</f>
        <v/>
      </c>
      <c r="N128" s="6">
        <f>IF(OR(A128="",C128=""),"", M128/60)</f>
        <v/>
      </c>
      <c r="O128" s="6">
        <f>IF(OR(A128="",C128=""),"", N128*(IF(XLOOKUP('Job Control'!$B$3, INPUT_JobSettings!$A:$A, INPUT_JobSettings!$F:$F, "")&lt;&gt;"", XLOOKUP('Job Control'!$B$3, INPUT_JobSettings!$A:$A, INPUT_JobSettings!$F:$F, ""), Summary!$B$4)))</f>
        <v/>
      </c>
      <c r="P128" s="6">
        <f>IF(OR(A128="",C128=""),"", 0)</f>
        <v/>
      </c>
      <c r="Q128" s="6">
        <f>IF(OR(A128="",C128=""),"", (O128+P128)*(IF(XLOOKUP('Job Control'!$B$3, INPUT_JobSettings!$A:$A, INPUT_JobSettings!$G:$G, "")&lt;&gt;"", XLOOKUP('Job Control'!$B$3, INPUT_JobSettings!$A:$A, INPUT_JobSettings!$G:$G, ""), Summary!$B$5)))</f>
        <v/>
      </c>
    </row>
    <row r="129">
      <c r="A129" s="8" t="n"/>
      <c r="B129" s="8" t="n"/>
      <c r="C129" s="8" t="n"/>
      <c r="D129" s="8" t="n"/>
      <c r="E129" s="8" t="n"/>
      <c r="F129" s="8" t="n"/>
      <c r="G129" s="8" t="n"/>
      <c r="H129" s="8" t="n"/>
      <c r="I129" s="6">
        <f>IF(OR(A129="",C129=""),"", XLOOKUP(C129, Constants!$A:$A, Constants!$C:$C, ""))</f>
        <v/>
      </c>
      <c r="J129" s="6">
        <f>IF(OR(A129="",C129=""),"", D129 * (IF(G129="", 1, XLOOKUP(G129, Constants!$E$10:$E$30, Constants!$F$10:$F$30, 1))) * XLOOKUP(C129, Constants!$A:$A, Constants!$D:$D, 0))</f>
        <v/>
      </c>
      <c r="K129" s="6">
        <f>IF(OR(A129="",C129=""),"", D129 * F129 * XLOOKUP(C129, Constants!$A:$A, Constants!$E:$E, 0))</f>
        <v/>
      </c>
      <c r="L129" s="6">
        <f>IF(OR(A129="",C129=""),"", IF(E129="None",0, D129 * IF(E129="Full",1,XLOOKUP("PrimerSpotFactor",Constants!$A$20:$A$40,Constants!$B$20:$B$40,0.35)) * XLOOKUP(C129, Constants!$A:$A, Constants!$F:$F, 0)))</f>
        <v/>
      </c>
      <c r="M129" s="6">
        <f>IF(OR(A129="",C129=""),"", J129+K129+L129)</f>
        <v/>
      </c>
      <c r="N129" s="6">
        <f>IF(OR(A129="",C129=""),"", M129/60)</f>
        <v/>
      </c>
      <c r="O129" s="6">
        <f>IF(OR(A129="",C129=""),"", N129*(IF(XLOOKUP('Job Control'!$B$3, INPUT_JobSettings!$A:$A, INPUT_JobSettings!$F:$F, "")&lt;&gt;"", XLOOKUP('Job Control'!$B$3, INPUT_JobSettings!$A:$A, INPUT_JobSettings!$F:$F, ""), Summary!$B$4)))</f>
        <v/>
      </c>
      <c r="P129" s="6">
        <f>IF(OR(A129="",C129=""),"", 0)</f>
        <v/>
      </c>
      <c r="Q129" s="6">
        <f>IF(OR(A129="",C129=""),"", (O129+P129)*(IF(XLOOKUP('Job Control'!$B$3, INPUT_JobSettings!$A:$A, INPUT_JobSettings!$G:$G, "")&lt;&gt;"", XLOOKUP('Job Control'!$B$3, INPUT_JobSettings!$A:$A, INPUT_JobSettings!$G:$G, ""), Summary!$B$5)))</f>
        <v/>
      </c>
    </row>
    <row r="130">
      <c r="A130" s="8" t="n"/>
      <c r="B130" s="8" t="n"/>
      <c r="C130" s="8" t="n"/>
      <c r="D130" s="8" t="n"/>
      <c r="E130" s="8" t="n"/>
      <c r="F130" s="8" t="n"/>
      <c r="G130" s="8" t="n"/>
      <c r="H130" s="8" t="n"/>
      <c r="I130" s="6">
        <f>IF(OR(A130="",C130=""),"", XLOOKUP(C130, Constants!$A:$A, Constants!$C:$C, ""))</f>
        <v/>
      </c>
      <c r="J130" s="6">
        <f>IF(OR(A130="",C130=""),"", D130 * (IF(G130="", 1, XLOOKUP(G130, Constants!$E$10:$E$30, Constants!$F$10:$F$30, 1))) * XLOOKUP(C130, Constants!$A:$A, Constants!$D:$D, 0))</f>
        <v/>
      </c>
      <c r="K130" s="6">
        <f>IF(OR(A130="",C130=""),"", D130 * F130 * XLOOKUP(C130, Constants!$A:$A, Constants!$E:$E, 0))</f>
        <v/>
      </c>
      <c r="L130" s="6">
        <f>IF(OR(A130="",C130=""),"", IF(E130="None",0, D130 * IF(E130="Full",1,XLOOKUP("PrimerSpotFactor",Constants!$A$20:$A$40,Constants!$B$20:$B$40,0.35)) * XLOOKUP(C130, Constants!$A:$A, Constants!$F:$F, 0)))</f>
        <v/>
      </c>
      <c r="M130" s="6">
        <f>IF(OR(A130="",C130=""),"", J130+K130+L130)</f>
        <v/>
      </c>
      <c r="N130" s="6">
        <f>IF(OR(A130="",C130=""),"", M130/60)</f>
        <v/>
      </c>
      <c r="O130" s="6">
        <f>IF(OR(A130="",C130=""),"", N130*(IF(XLOOKUP('Job Control'!$B$3, INPUT_JobSettings!$A:$A, INPUT_JobSettings!$F:$F, "")&lt;&gt;"", XLOOKUP('Job Control'!$B$3, INPUT_JobSettings!$A:$A, INPUT_JobSettings!$F:$F, ""), Summary!$B$4)))</f>
        <v/>
      </c>
      <c r="P130" s="6">
        <f>IF(OR(A130="",C130=""),"", 0)</f>
        <v/>
      </c>
      <c r="Q130" s="6">
        <f>IF(OR(A130="",C130=""),"", (O130+P130)*(IF(XLOOKUP('Job Control'!$B$3, INPUT_JobSettings!$A:$A, INPUT_JobSettings!$G:$G, "")&lt;&gt;"", XLOOKUP('Job Control'!$B$3, INPUT_JobSettings!$A:$A, INPUT_JobSettings!$G:$G, ""), Summary!$B$5)))</f>
        <v/>
      </c>
    </row>
    <row r="131">
      <c r="A131" s="8" t="n"/>
      <c r="B131" s="8" t="n"/>
      <c r="C131" s="8" t="n"/>
      <c r="D131" s="8" t="n"/>
      <c r="E131" s="8" t="n"/>
      <c r="F131" s="8" t="n"/>
      <c r="G131" s="8" t="n"/>
      <c r="H131" s="8" t="n"/>
      <c r="I131" s="6">
        <f>IF(OR(A131="",C131=""),"", XLOOKUP(C131, Constants!$A:$A, Constants!$C:$C, ""))</f>
        <v/>
      </c>
      <c r="J131" s="6">
        <f>IF(OR(A131="",C131=""),"", D131 * (IF(G131="", 1, XLOOKUP(G131, Constants!$E$10:$E$30, Constants!$F$10:$F$30, 1))) * XLOOKUP(C131, Constants!$A:$A, Constants!$D:$D, 0))</f>
        <v/>
      </c>
      <c r="K131" s="6">
        <f>IF(OR(A131="",C131=""),"", D131 * F131 * XLOOKUP(C131, Constants!$A:$A, Constants!$E:$E, 0))</f>
        <v/>
      </c>
      <c r="L131" s="6">
        <f>IF(OR(A131="",C131=""),"", IF(E131="None",0, D131 * IF(E131="Full",1,XLOOKUP("PrimerSpotFactor",Constants!$A$20:$A$40,Constants!$B$20:$B$40,0.35)) * XLOOKUP(C131, Constants!$A:$A, Constants!$F:$F, 0)))</f>
        <v/>
      </c>
      <c r="M131" s="6">
        <f>IF(OR(A131="",C131=""),"", J131+K131+L131)</f>
        <v/>
      </c>
      <c r="N131" s="6">
        <f>IF(OR(A131="",C131=""),"", M131/60)</f>
        <v/>
      </c>
      <c r="O131" s="6">
        <f>IF(OR(A131="",C131=""),"", N131*(IF(XLOOKUP('Job Control'!$B$3, INPUT_JobSettings!$A:$A, INPUT_JobSettings!$F:$F, "")&lt;&gt;"", XLOOKUP('Job Control'!$B$3, INPUT_JobSettings!$A:$A, INPUT_JobSettings!$F:$F, ""), Summary!$B$4)))</f>
        <v/>
      </c>
      <c r="P131" s="6">
        <f>IF(OR(A131="",C131=""),"", 0)</f>
        <v/>
      </c>
      <c r="Q131" s="6">
        <f>IF(OR(A131="",C131=""),"", (O131+P131)*(IF(XLOOKUP('Job Control'!$B$3, INPUT_JobSettings!$A:$A, INPUT_JobSettings!$G:$G, "")&lt;&gt;"", XLOOKUP('Job Control'!$B$3, INPUT_JobSettings!$A:$A, INPUT_JobSettings!$G:$G, ""), Summary!$B$5)))</f>
        <v/>
      </c>
    </row>
    <row r="132">
      <c r="A132" s="8" t="n"/>
      <c r="B132" s="8" t="n"/>
      <c r="C132" s="8" t="n"/>
      <c r="D132" s="8" t="n"/>
      <c r="E132" s="8" t="n"/>
      <c r="F132" s="8" t="n"/>
      <c r="G132" s="8" t="n"/>
      <c r="H132" s="8" t="n"/>
      <c r="I132" s="6">
        <f>IF(OR(A132="",C132=""),"", XLOOKUP(C132, Constants!$A:$A, Constants!$C:$C, ""))</f>
        <v/>
      </c>
      <c r="J132" s="6">
        <f>IF(OR(A132="",C132=""),"", D132 * (IF(G132="", 1, XLOOKUP(G132, Constants!$E$10:$E$30, Constants!$F$10:$F$30, 1))) * XLOOKUP(C132, Constants!$A:$A, Constants!$D:$D, 0))</f>
        <v/>
      </c>
      <c r="K132" s="6">
        <f>IF(OR(A132="",C132=""),"", D132 * F132 * XLOOKUP(C132, Constants!$A:$A, Constants!$E:$E, 0))</f>
        <v/>
      </c>
      <c r="L132" s="6">
        <f>IF(OR(A132="",C132=""),"", IF(E132="None",0, D132 * IF(E132="Full",1,XLOOKUP("PrimerSpotFactor",Constants!$A$20:$A$40,Constants!$B$20:$B$40,0.35)) * XLOOKUP(C132, Constants!$A:$A, Constants!$F:$F, 0)))</f>
        <v/>
      </c>
      <c r="M132" s="6">
        <f>IF(OR(A132="",C132=""),"", J132+K132+L132)</f>
        <v/>
      </c>
      <c r="N132" s="6">
        <f>IF(OR(A132="",C132=""),"", M132/60)</f>
        <v/>
      </c>
      <c r="O132" s="6">
        <f>IF(OR(A132="",C132=""),"", N132*(IF(XLOOKUP('Job Control'!$B$3, INPUT_JobSettings!$A:$A, INPUT_JobSettings!$F:$F, "")&lt;&gt;"", XLOOKUP('Job Control'!$B$3, INPUT_JobSettings!$A:$A, INPUT_JobSettings!$F:$F, ""), Summary!$B$4)))</f>
        <v/>
      </c>
      <c r="P132" s="6">
        <f>IF(OR(A132="",C132=""),"", 0)</f>
        <v/>
      </c>
      <c r="Q132" s="6">
        <f>IF(OR(A132="",C132=""),"", (O132+P132)*(IF(XLOOKUP('Job Control'!$B$3, INPUT_JobSettings!$A:$A, INPUT_JobSettings!$G:$G, "")&lt;&gt;"", XLOOKUP('Job Control'!$B$3, INPUT_JobSettings!$A:$A, INPUT_JobSettings!$G:$G, ""), Summary!$B$5)))</f>
        <v/>
      </c>
    </row>
    <row r="133">
      <c r="A133" s="8" t="n"/>
      <c r="B133" s="8" t="n"/>
      <c r="C133" s="8" t="n"/>
      <c r="D133" s="8" t="n"/>
      <c r="E133" s="8" t="n"/>
      <c r="F133" s="8" t="n"/>
      <c r="G133" s="8" t="n"/>
      <c r="H133" s="8" t="n"/>
      <c r="I133" s="6">
        <f>IF(OR(A133="",C133=""),"", XLOOKUP(C133, Constants!$A:$A, Constants!$C:$C, ""))</f>
        <v/>
      </c>
      <c r="J133" s="6">
        <f>IF(OR(A133="",C133=""),"", D133 * (IF(G133="", 1, XLOOKUP(G133, Constants!$E$10:$E$30, Constants!$F$10:$F$30, 1))) * XLOOKUP(C133, Constants!$A:$A, Constants!$D:$D, 0))</f>
        <v/>
      </c>
      <c r="K133" s="6">
        <f>IF(OR(A133="",C133=""),"", D133 * F133 * XLOOKUP(C133, Constants!$A:$A, Constants!$E:$E, 0))</f>
        <v/>
      </c>
      <c r="L133" s="6">
        <f>IF(OR(A133="",C133=""),"", IF(E133="None",0, D133 * IF(E133="Full",1,XLOOKUP("PrimerSpotFactor",Constants!$A$20:$A$40,Constants!$B$20:$B$40,0.35)) * XLOOKUP(C133, Constants!$A:$A, Constants!$F:$F, 0)))</f>
        <v/>
      </c>
      <c r="M133" s="6">
        <f>IF(OR(A133="",C133=""),"", J133+K133+L133)</f>
        <v/>
      </c>
      <c r="N133" s="6">
        <f>IF(OR(A133="",C133=""),"", M133/60)</f>
        <v/>
      </c>
      <c r="O133" s="6">
        <f>IF(OR(A133="",C133=""),"", N133*(IF(XLOOKUP('Job Control'!$B$3, INPUT_JobSettings!$A:$A, INPUT_JobSettings!$F:$F, "")&lt;&gt;"", XLOOKUP('Job Control'!$B$3, INPUT_JobSettings!$A:$A, INPUT_JobSettings!$F:$F, ""), Summary!$B$4)))</f>
        <v/>
      </c>
      <c r="P133" s="6">
        <f>IF(OR(A133="",C133=""),"", 0)</f>
        <v/>
      </c>
      <c r="Q133" s="6">
        <f>IF(OR(A133="",C133=""),"", (O133+P133)*(IF(XLOOKUP('Job Control'!$B$3, INPUT_JobSettings!$A:$A, INPUT_JobSettings!$G:$G, "")&lt;&gt;"", XLOOKUP('Job Control'!$B$3, INPUT_JobSettings!$A:$A, INPUT_JobSettings!$G:$G, ""), Summary!$B$5)))</f>
        <v/>
      </c>
    </row>
    <row r="134">
      <c r="A134" s="8" t="n"/>
      <c r="B134" s="8" t="n"/>
      <c r="C134" s="8" t="n"/>
      <c r="D134" s="8" t="n"/>
      <c r="E134" s="8" t="n"/>
      <c r="F134" s="8" t="n"/>
      <c r="G134" s="8" t="n"/>
      <c r="H134" s="8" t="n"/>
      <c r="I134" s="6">
        <f>IF(OR(A134="",C134=""),"", XLOOKUP(C134, Constants!$A:$A, Constants!$C:$C, ""))</f>
        <v/>
      </c>
      <c r="J134" s="6">
        <f>IF(OR(A134="",C134=""),"", D134 * (IF(G134="", 1, XLOOKUP(G134, Constants!$E$10:$E$30, Constants!$F$10:$F$30, 1))) * XLOOKUP(C134, Constants!$A:$A, Constants!$D:$D, 0))</f>
        <v/>
      </c>
      <c r="K134" s="6">
        <f>IF(OR(A134="",C134=""),"", D134 * F134 * XLOOKUP(C134, Constants!$A:$A, Constants!$E:$E, 0))</f>
        <v/>
      </c>
      <c r="L134" s="6">
        <f>IF(OR(A134="",C134=""),"", IF(E134="None",0, D134 * IF(E134="Full",1,XLOOKUP("PrimerSpotFactor",Constants!$A$20:$A$40,Constants!$B$20:$B$40,0.35)) * XLOOKUP(C134, Constants!$A:$A, Constants!$F:$F, 0)))</f>
        <v/>
      </c>
      <c r="M134" s="6">
        <f>IF(OR(A134="",C134=""),"", J134+K134+L134)</f>
        <v/>
      </c>
      <c r="N134" s="6">
        <f>IF(OR(A134="",C134=""),"", M134/60)</f>
        <v/>
      </c>
      <c r="O134" s="6">
        <f>IF(OR(A134="",C134=""),"", N134*(IF(XLOOKUP('Job Control'!$B$3, INPUT_JobSettings!$A:$A, INPUT_JobSettings!$F:$F, "")&lt;&gt;"", XLOOKUP('Job Control'!$B$3, INPUT_JobSettings!$A:$A, INPUT_JobSettings!$F:$F, ""), Summary!$B$4)))</f>
        <v/>
      </c>
      <c r="P134" s="6">
        <f>IF(OR(A134="",C134=""),"", 0)</f>
        <v/>
      </c>
      <c r="Q134" s="6">
        <f>IF(OR(A134="",C134=""),"", (O134+P134)*(IF(XLOOKUP('Job Control'!$B$3, INPUT_JobSettings!$A:$A, INPUT_JobSettings!$G:$G, "")&lt;&gt;"", XLOOKUP('Job Control'!$B$3, INPUT_JobSettings!$A:$A, INPUT_JobSettings!$G:$G, ""), Summary!$B$5)))</f>
        <v/>
      </c>
    </row>
    <row r="135">
      <c r="A135" s="8" t="n"/>
      <c r="B135" s="8" t="n"/>
      <c r="C135" s="8" t="n"/>
      <c r="D135" s="8" t="n"/>
      <c r="E135" s="8" t="n"/>
      <c r="F135" s="8" t="n"/>
      <c r="G135" s="8" t="n"/>
      <c r="H135" s="8" t="n"/>
      <c r="I135" s="6">
        <f>IF(OR(A135="",C135=""),"", XLOOKUP(C135, Constants!$A:$A, Constants!$C:$C, ""))</f>
        <v/>
      </c>
      <c r="J135" s="6">
        <f>IF(OR(A135="",C135=""),"", D135 * (IF(G135="", 1, XLOOKUP(G135, Constants!$E$10:$E$30, Constants!$F$10:$F$30, 1))) * XLOOKUP(C135, Constants!$A:$A, Constants!$D:$D, 0))</f>
        <v/>
      </c>
      <c r="K135" s="6">
        <f>IF(OR(A135="",C135=""),"", D135 * F135 * XLOOKUP(C135, Constants!$A:$A, Constants!$E:$E, 0))</f>
        <v/>
      </c>
      <c r="L135" s="6">
        <f>IF(OR(A135="",C135=""),"", IF(E135="None",0, D135 * IF(E135="Full",1,XLOOKUP("PrimerSpotFactor",Constants!$A$20:$A$40,Constants!$B$20:$B$40,0.35)) * XLOOKUP(C135, Constants!$A:$A, Constants!$F:$F, 0)))</f>
        <v/>
      </c>
      <c r="M135" s="6">
        <f>IF(OR(A135="",C135=""),"", J135+K135+L135)</f>
        <v/>
      </c>
      <c r="N135" s="6">
        <f>IF(OR(A135="",C135=""),"", M135/60)</f>
        <v/>
      </c>
      <c r="O135" s="6">
        <f>IF(OR(A135="",C135=""),"", N135*(IF(XLOOKUP('Job Control'!$B$3, INPUT_JobSettings!$A:$A, INPUT_JobSettings!$F:$F, "")&lt;&gt;"", XLOOKUP('Job Control'!$B$3, INPUT_JobSettings!$A:$A, INPUT_JobSettings!$F:$F, ""), Summary!$B$4)))</f>
        <v/>
      </c>
      <c r="P135" s="6">
        <f>IF(OR(A135="",C135=""),"", 0)</f>
        <v/>
      </c>
      <c r="Q135" s="6">
        <f>IF(OR(A135="",C135=""),"", (O135+P135)*(IF(XLOOKUP('Job Control'!$B$3, INPUT_JobSettings!$A:$A, INPUT_JobSettings!$G:$G, "")&lt;&gt;"", XLOOKUP('Job Control'!$B$3, INPUT_JobSettings!$A:$A, INPUT_JobSettings!$G:$G, ""), Summary!$B$5)))</f>
        <v/>
      </c>
    </row>
    <row r="136">
      <c r="A136" s="8" t="n"/>
      <c r="B136" s="8" t="n"/>
      <c r="C136" s="8" t="n"/>
      <c r="D136" s="8" t="n"/>
      <c r="E136" s="8" t="n"/>
      <c r="F136" s="8" t="n"/>
      <c r="G136" s="8" t="n"/>
      <c r="H136" s="8" t="n"/>
      <c r="I136" s="6">
        <f>IF(OR(A136="",C136=""),"", XLOOKUP(C136, Constants!$A:$A, Constants!$C:$C, ""))</f>
        <v/>
      </c>
      <c r="J136" s="6">
        <f>IF(OR(A136="",C136=""),"", D136 * (IF(G136="", 1, XLOOKUP(G136, Constants!$E$10:$E$30, Constants!$F$10:$F$30, 1))) * XLOOKUP(C136, Constants!$A:$A, Constants!$D:$D, 0))</f>
        <v/>
      </c>
      <c r="K136" s="6">
        <f>IF(OR(A136="",C136=""),"", D136 * F136 * XLOOKUP(C136, Constants!$A:$A, Constants!$E:$E, 0))</f>
        <v/>
      </c>
      <c r="L136" s="6">
        <f>IF(OR(A136="",C136=""),"", IF(E136="None",0, D136 * IF(E136="Full",1,XLOOKUP("PrimerSpotFactor",Constants!$A$20:$A$40,Constants!$B$20:$B$40,0.35)) * XLOOKUP(C136, Constants!$A:$A, Constants!$F:$F, 0)))</f>
        <v/>
      </c>
      <c r="M136" s="6">
        <f>IF(OR(A136="",C136=""),"", J136+K136+L136)</f>
        <v/>
      </c>
      <c r="N136" s="6">
        <f>IF(OR(A136="",C136=""),"", M136/60)</f>
        <v/>
      </c>
      <c r="O136" s="6">
        <f>IF(OR(A136="",C136=""),"", N136*(IF(XLOOKUP('Job Control'!$B$3, INPUT_JobSettings!$A:$A, INPUT_JobSettings!$F:$F, "")&lt;&gt;"", XLOOKUP('Job Control'!$B$3, INPUT_JobSettings!$A:$A, INPUT_JobSettings!$F:$F, ""), Summary!$B$4)))</f>
        <v/>
      </c>
      <c r="P136" s="6">
        <f>IF(OR(A136="",C136=""),"", 0)</f>
        <v/>
      </c>
      <c r="Q136" s="6">
        <f>IF(OR(A136="",C136=""),"", (O136+P136)*(IF(XLOOKUP('Job Control'!$B$3, INPUT_JobSettings!$A:$A, INPUT_JobSettings!$G:$G, "")&lt;&gt;"", XLOOKUP('Job Control'!$B$3, INPUT_JobSettings!$A:$A, INPUT_JobSettings!$G:$G, ""), Summary!$B$5)))</f>
        <v/>
      </c>
    </row>
    <row r="137">
      <c r="A137" s="8" t="n"/>
      <c r="B137" s="8" t="n"/>
      <c r="C137" s="8" t="n"/>
      <c r="D137" s="8" t="n"/>
      <c r="E137" s="8" t="n"/>
      <c r="F137" s="8" t="n"/>
      <c r="G137" s="8" t="n"/>
      <c r="H137" s="8" t="n"/>
      <c r="I137" s="6">
        <f>IF(OR(A137="",C137=""),"", XLOOKUP(C137, Constants!$A:$A, Constants!$C:$C, ""))</f>
        <v/>
      </c>
      <c r="J137" s="6">
        <f>IF(OR(A137="",C137=""),"", D137 * (IF(G137="", 1, XLOOKUP(G137, Constants!$E$10:$E$30, Constants!$F$10:$F$30, 1))) * XLOOKUP(C137, Constants!$A:$A, Constants!$D:$D, 0))</f>
        <v/>
      </c>
      <c r="K137" s="6">
        <f>IF(OR(A137="",C137=""),"", D137 * F137 * XLOOKUP(C137, Constants!$A:$A, Constants!$E:$E, 0))</f>
        <v/>
      </c>
      <c r="L137" s="6">
        <f>IF(OR(A137="",C137=""),"", IF(E137="None",0, D137 * IF(E137="Full",1,XLOOKUP("PrimerSpotFactor",Constants!$A$20:$A$40,Constants!$B$20:$B$40,0.35)) * XLOOKUP(C137, Constants!$A:$A, Constants!$F:$F, 0)))</f>
        <v/>
      </c>
      <c r="M137" s="6">
        <f>IF(OR(A137="",C137=""),"", J137+K137+L137)</f>
        <v/>
      </c>
      <c r="N137" s="6">
        <f>IF(OR(A137="",C137=""),"", M137/60)</f>
        <v/>
      </c>
      <c r="O137" s="6">
        <f>IF(OR(A137="",C137=""),"", N137*(IF(XLOOKUP('Job Control'!$B$3, INPUT_JobSettings!$A:$A, INPUT_JobSettings!$F:$F, "")&lt;&gt;"", XLOOKUP('Job Control'!$B$3, INPUT_JobSettings!$A:$A, INPUT_JobSettings!$F:$F, ""), Summary!$B$4)))</f>
        <v/>
      </c>
      <c r="P137" s="6">
        <f>IF(OR(A137="",C137=""),"", 0)</f>
        <v/>
      </c>
      <c r="Q137" s="6">
        <f>IF(OR(A137="",C137=""),"", (O137+P137)*(IF(XLOOKUP('Job Control'!$B$3, INPUT_JobSettings!$A:$A, INPUT_JobSettings!$G:$G, "")&lt;&gt;"", XLOOKUP('Job Control'!$B$3, INPUT_JobSettings!$A:$A, INPUT_JobSettings!$G:$G, ""), Summary!$B$5)))</f>
        <v/>
      </c>
    </row>
    <row r="138">
      <c r="A138" s="8" t="n"/>
      <c r="B138" s="8" t="n"/>
      <c r="C138" s="8" t="n"/>
      <c r="D138" s="8" t="n"/>
      <c r="E138" s="8" t="n"/>
      <c r="F138" s="8" t="n"/>
      <c r="G138" s="8" t="n"/>
      <c r="H138" s="8" t="n"/>
      <c r="I138" s="6">
        <f>IF(OR(A138="",C138=""),"", XLOOKUP(C138, Constants!$A:$A, Constants!$C:$C, ""))</f>
        <v/>
      </c>
      <c r="J138" s="6">
        <f>IF(OR(A138="",C138=""),"", D138 * (IF(G138="", 1, XLOOKUP(G138, Constants!$E$10:$E$30, Constants!$F$10:$F$30, 1))) * XLOOKUP(C138, Constants!$A:$A, Constants!$D:$D, 0))</f>
        <v/>
      </c>
      <c r="K138" s="6">
        <f>IF(OR(A138="",C138=""),"", D138 * F138 * XLOOKUP(C138, Constants!$A:$A, Constants!$E:$E, 0))</f>
        <v/>
      </c>
      <c r="L138" s="6">
        <f>IF(OR(A138="",C138=""),"", IF(E138="None",0, D138 * IF(E138="Full",1,XLOOKUP("PrimerSpotFactor",Constants!$A$20:$A$40,Constants!$B$20:$B$40,0.35)) * XLOOKUP(C138, Constants!$A:$A, Constants!$F:$F, 0)))</f>
        <v/>
      </c>
      <c r="M138" s="6">
        <f>IF(OR(A138="",C138=""),"", J138+K138+L138)</f>
        <v/>
      </c>
      <c r="N138" s="6">
        <f>IF(OR(A138="",C138=""),"", M138/60)</f>
        <v/>
      </c>
      <c r="O138" s="6">
        <f>IF(OR(A138="",C138=""),"", N138*(IF(XLOOKUP('Job Control'!$B$3, INPUT_JobSettings!$A:$A, INPUT_JobSettings!$F:$F, "")&lt;&gt;"", XLOOKUP('Job Control'!$B$3, INPUT_JobSettings!$A:$A, INPUT_JobSettings!$F:$F, ""), Summary!$B$4)))</f>
        <v/>
      </c>
      <c r="P138" s="6">
        <f>IF(OR(A138="",C138=""),"", 0)</f>
        <v/>
      </c>
      <c r="Q138" s="6">
        <f>IF(OR(A138="",C138=""),"", (O138+P138)*(IF(XLOOKUP('Job Control'!$B$3, INPUT_JobSettings!$A:$A, INPUT_JobSettings!$G:$G, "")&lt;&gt;"", XLOOKUP('Job Control'!$B$3, INPUT_JobSettings!$A:$A, INPUT_JobSettings!$G:$G, ""), Summary!$B$5)))</f>
        <v/>
      </c>
    </row>
    <row r="139">
      <c r="A139" s="8" t="n"/>
      <c r="B139" s="8" t="n"/>
      <c r="C139" s="8" t="n"/>
      <c r="D139" s="8" t="n"/>
      <c r="E139" s="8" t="n"/>
      <c r="F139" s="8" t="n"/>
      <c r="G139" s="8" t="n"/>
      <c r="H139" s="8" t="n"/>
      <c r="I139" s="6">
        <f>IF(OR(A139="",C139=""),"", XLOOKUP(C139, Constants!$A:$A, Constants!$C:$C, ""))</f>
        <v/>
      </c>
      <c r="J139" s="6">
        <f>IF(OR(A139="",C139=""),"", D139 * (IF(G139="", 1, XLOOKUP(G139, Constants!$E$10:$E$30, Constants!$F$10:$F$30, 1))) * XLOOKUP(C139, Constants!$A:$A, Constants!$D:$D, 0))</f>
        <v/>
      </c>
      <c r="K139" s="6">
        <f>IF(OR(A139="",C139=""),"", D139 * F139 * XLOOKUP(C139, Constants!$A:$A, Constants!$E:$E, 0))</f>
        <v/>
      </c>
      <c r="L139" s="6">
        <f>IF(OR(A139="",C139=""),"", IF(E139="None",0, D139 * IF(E139="Full",1,XLOOKUP("PrimerSpotFactor",Constants!$A$20:$A$40,Constants!$B$20:$B$40,0.35)) * XLOOKUP(C139, Constants!$A:$A, Constants!$F:$F, 0)))</f>
        <v/>
      </c>
      <c r="M139" s="6">
        <f>IF(OR(A139="",C139=""),"", J139+K139+L139)</f>
        <v/>
      </c>
      <c r="N139" s="6">
        <f>IF(OR(A139="",C139=""),"", M139/60)</f>
        <v/>
      </c>
      <c r="O139" s="6">
        <f>IF(OR(A139="",C139=""),"", N139*(IF(XLOOKUP('Job Control'!$B$3, INPUT_JobSettings!$A:$A, INPUT_JobSettings!$F:$F, "")&lt;&gt;"", XLOOKUP('Job Control'!$B$3, INPUT_JobSettings!$A:$A, INPUT_JobSettings!$F:$F, ""), Summary!$B$4)))</f>
        <v/>
      </c>
      <c r="P139" s="6">
        <f>IF(OR(A139="",C139=""),"", 0)</f>
        <v/>
      </c>
      <c r="Q139" s="6">
        <f>IF(OR(A139="",C139=""),"", (O139+P139)*(IF(XLOOKUP('Job Control'!$B$3, INPUT_JobSettings!$A:$A, INPUT_JobSettings!$G:$G, "")&lt;&gt;"", XLOOKUP('Job Control'!$B$3, INPUT_JobSettings!$A:$A, INPUT_JobSettings!$G:$G, ""), Summary!$B$5)))</f>
        <v/>
      </c>
    </row>
    <row r="140">
      <c r="A140" s="8" t="n"/>
      <c r="B140" s="8" t="n"/>
      <c r="C140" s="8" t="n"/>
      <c r="D140" s="8" t="n"/>
      <c r="E140" s="8" t="n"/>
      <c r="F140" s="8" t="n"/>
      <c r="G140" s="8" t="n"/>
      <c r="H140" s="8" t="n"/>
      <c r="I140" s="6">
        <f>IF(OR(A140="",C140=""),"", XLOOKUP(C140, Constants!$A:$A, Constants!$C:$C, ""))</f>
        <v/>
      </c>
      <c r="J140" s="6">
        <f>IF(OR(A140="",C140=""),"", D140 * (IF(G140="", 1, XLOOKUP(G140, Constants!$E$10:$E$30, Constants!$F$10:$F$30, 1))) * XLOOKUP(C140, Constants!$A:$A, Constants!$D:$D, 0))</f>
        <v/>
      </c>
      <c r="K140" s="6">
        <f>IF(OR(A140="",C140=""),"", D140 * F140 * XLOOKUP(C140, Constants!$A:$A, Constants!$E:$E, 0))</f>
        <v/>
      </c>
      <c r="L140" s="6">
        <f>IF(OR(A140="",C140=""),"", IF(E140="None",0, D140 * IF(E140="Full",1,XLOOKUP("PrimerSpotFactor",Constants!$A$20:$A$40,Constants!$B$20:$B$40,0.35)) * XLOOKUP(C140, Constants!$A:$A, Constants!$F:$F, 0)))</f>
        <v/>
      </c>
      <c r="M140" s="6">
        <f>IF(OR(A140="",C140=""),"", J140+K140+L140)</f>
        <v/>
      </c>
      <c r="N140" s="6">
        <f>IF(OR(A140="",C140=""),"", M140/60)</f>
        <v/>
      </c>
      <c r="O140" s="6">
        <f>IF(OR(A140="",C140=""),"", N140*(IF(XLOOKUP('Job Control'!$B$3, INPUT_JobSettings!$A:$A, INPUT_JobSettings!$F:$F, "")&lt;&gt;"", XLOOKUP('Job Control'!$B$3, INPUT_JobSettings!$A:$A, INPUT_JobSettings!$F:$F, ""), Summary!$B$4)))</f>
        <v/>
      </c>
      <c r="P140" s="6">
        <f>IF(OR(A140="",C140=""),"", 0)</f>
        <v/>
      </c>
      <c r="Q140" s="6">
        <f>IF(OR(A140="",C140=""),"", (O140+P140)*(IF(XLOOKUP('Job Control'!$B$3, INPUT_JobSettings!$A:$A, INPUT_JobSettings!$G:$G, "")&lt;&gt;"", XLOOKUP('Job Control'!$B$3, INPUT_JobSettings!$A:$A, INPUT_JobSettings!$G:$G, ""), Summary!$B$5)))</f>
        <v/>
      </c>
    </row>
    <row r="141">
      <c r="A141" s="8" t="n"/>
      <c r="B141" s="8" t="n"/>
      <c r="C141" s="8" t="n"/>
      <c r="D141" s="8" t="n"/>
      <c r="E141" s="8" t="n"/>
      <c r="F141" s="8" t="n"/>
      <c r="G141" s="8" t="n"/>
      <c r="H141" s="8" t="n"/>
      <c r="I141" s="6">
        <f>IF(OR(A141="",C141=""),"", XLOOKUP(C141, Constants!$A:$A, Constants!$C:$C, ""))</f>
        <v/>
      </c>
      <c r="J141" s="6">
        <f>IF(OR(A141="",C141=""),"", D141 * (IF(G141="", 1, XLOOKUP(G141, Constants!$E$10:$E$30, Constants!$F$10:$F$30, 1))) * XLOOKUP(C141, Constants!$A:$A, Constants!$D:$D, 0))</f>
        <v/>
      </c>
      <c r="K141" s="6">
        <f>IF(OR(A141="",C141=""),"", D141 * F141 * XLOOKUP(C141, Constants!$A:$A, Constants!$E:$E, 0))</f>
        <v/>
      </c>
      <c r="L141" s="6">
        <f>IF(OR(A141="",C141=""),"", IF(E141="None",0, D141 * IF(E141="Full",1,XLOOKUP("PrimerSpotFactor",Constants!$A$20:$A$40,Constants!$B$20:$B$40,0.35)) * XLOOKUP(C141, Constants!$A:$A, Constants!$F:$F, 0)))</f>
        <v/>
      </c>
      <c r="M141" s="6">
        <f>IF(OR(A141="",C141=""),"", J141+K141+L141)</f>
        <v/>
      </c>
      <c r="N141" s="6">
        <f>IF(OR(A141="",C141=""),"", M141/60)</f>
        <v/>
      </c>
      <c r="O141" s="6">
        <f>IF(OR(A141="",C141=""),"", N141*(IF(XLOOKUP('Job Control'!$B$3, INPUT_JobSettings!$A:$A, INPUT_JobSettings!$F:$F, "")&lt;&gt;"", XLOOKUP('Job Control'!$B$3, INPUT_JobSettings!$A:$A, INPUT_JobSettings!$F:$F, ""), Summary!$B$4)))</f>
        <v/>
      </c>
      <c r="P141" s="6">
        <f>IF(OR(A141="",C141=""),"", 0)</f>
        <v/>
      </c>
      <c r="Q141" s="6">
        <f>IF(OR(A141="",C141=""),"", (O141+P141)*(IF(XLOOKUP('Job Control'!$B$3, INPUT_JobSettings!$A:$A, INPUT_JobSettings!$G:$G, "")&lt;&gt;"", XLOOKUP('Job Control'!$B$3, INPUT_JobSettings!$A:$A, INPUT_JobSettings!$G:$G, ""), Summary!$B$5)))</f>
        <v/>
      </c>
    </row>
    <row r="142">
      <c r="A142" s="8" t="n"/>
      <c r="B142" s="8" t="n"/>
      <c r="C142" s="8" t="n"/>
      <c r="D142" s="8" t="n"/>
      <c r="E142" s="8" t="n"/>
      <c r="F142" s="8" t="n"/>
      <c r="G142" s="8" t="n"/>
      <c r="H142" s="8" t="n"/>
      <c r="I142" s="6">
        <f>IF(OR(A142="",C142=""),"", XLOOKUP(C142, Constants!$A:$A, Constants!$C:$C, ""))</f>
        <v/>
      </c>
      <c r="J142" s="6">
        <f>IF(OR(A142="",C142=""),"", D142 * (IF(G142="", 1, XLOOKUP(G142, Constants!$E$10:$E$30, Constants!$F$10:$F$30, 1))) * XLOOKUP(C142, Constants!$A:$A, Constants!$D:$D, 0))</f>
        <v/>
      </c>
      <c r="K142" s="6">
        <f>IF(OR(A142="",C142=""),"", D142 * F142 * XLOOKUP(C142, Constants!$A:$A, Constants!$E:$E, 0))</f>
        <v/>
      </c>
      <c r="L142" s="6">
        <f>IF(OR(A142="",C142=""),"", IF(E142="None",0, D142 * IF(E142="Full",1,XLOOKUP("PrimerSpotFactor",Constants!$A$20:$A$40,Constants!$B$20:$B$40,0.35)) * XLOOKUP(C142, Constants!$A:$A, Constants!$F:$F, 0)))</f>
        <v/>
      </c>
      <c r="M142" s="6">
        <f>IF(OR(A142="",C142=""),"", J142+K142+L142)</f>
        <v/>
      </c>
      <c r="N142" s="6">
        <f>IF(OR(A142="",C142=""),"", M142/60)</f>
        <v/>
      </c>
      <c r="O142" s="6">
        <f>IF(OR(A142="",C142=""),"", N142*(IF(XLOOKUP('Job Control'!$B$3, INPUT_JobSettings!$A:$A, INPUT_JobSettings!$F:$F, "")&lt;&gt;"", XLOOKUP('Job Control'!$B$3, INPUT_JobSettings!$A:$A, INPUT_JobSettings!$F:$F, ""), Summary!$B$4)))</f>
        <v/>
      </c>
      <c r="P142" s="6">
        <f>IF(OR(A142="",C142=""),"", 0)</f>
        <v/>
      </c>
      <c r="Q142" s="6">
        <f>IF(OR(A142="",C142=""),"", (O142+P142)*(IF(XLOOKUP('Job Control'!$B$3, INPUT_JobSettings!$A:$A, INPUT_JobSettings!$G:$G, "")&lt;&gt;"", XLOOKUP('Job Control'!$B$3, INPUT_JobSettings!$A:$A, INPUT_JobSettings!$G:$G, ""), Summary!$B$5)))</f>
        <v/>
      </c>
    </row>
    <row r="143">
      <c r="A143" s="8" t="n"/>
      <c r="B143" s="8" t="n"/>
      <c r="C143" s="8" t="n"/>
      <c r="D143" s="8" t="n"/>
      <c r="E143" s="8" t="n"/>
      <c r="F143" s="8" t="n"/>
      <c r="G143" s="8" t="n"/>
      <c r="H143" s="8" t="n"/>
      <c r="I143" s="6">
        <f>IF(OR(A143="",C143=""),"", XLOOKUP(C143, Constants!$A:$A, Constants!$C:$C, ""))</f>
        <v/>
      </c>
      <c r="J143" s="6">
        <f>IF(OR(A143="",C143=""),"", D143 * (IF(G143="", 1, XLOOKUP(G143, Constants!$E$10:$E$30, Constants!$F$10:$F$30, 1))) * XLOOKUP(C143, Constants!$A:$A, Constants!$D:$D, 0))</f>
        <v/>
      </c>
      <c r="K143" s="6">
        <f>IF(OR(A143="",C143=""),"", D143 * F143 * XLOOKUP(C143, Constants!$A:$A, Constants!$E:$E, 0))</f>
        <v/>
      </c>
      <c r="L143" s="6">
        <f>IF(OR(A143="",C143=""),"", IF(E143="None",0, D143 * IF(E143="Full",1,XLOOKUP("PrimerSpotFactor",Constants!$A$20:$A$40,Constants!$B$20:$B$40,0.35)) * XLOOKUP(C143, Constants!$A:$A, Constants!$F:$F, 0)))</f>
        <v/>
      </c>
      <c r="M143" s="6">
        <f>IF(OR(A143="",C143=""),"", J143+K143+L143)</f>
        <v/>
      </c>
      <c r="N143" s="6">
        <f>IF(OR(A143="",C143=""),"", M143/60)</f>
        <v/>
      </c>
      <c r="O143" s="6">
        <f>IF(OR(A143="",C143=""),"", N143*(IF(XLOOKUP('Job Control'!$B$3, INPUT_JobSettings!$A:$A, INPUT_JobSettings!$F:$F, "")&lt;&gt;"", XLOOKUP('Job Control'!$B$3, INPUT_JobSettings!$A:$A, INPUT_JobSettings!$F:$F, ""), Summary!$B$4)))</f>
        <v/>
      </c>
      <c r="P143" s="6">
        <f>IF(OR(A143="",C143=""),"", 0)</f>
        <v/>
      </c>
      <c r="Q143" s="6">
        <f>IF(OR(A143="",C143=""),"", (O143+P143)*(IF(XLOOKUP('Job Control'!$B$3, INPUT_JobSettings!$A:$A, INPUT_JobSettings!$G:$G, "")&lt;&gt;"", XLOOKUP('Job Control'!$B$3, INPUT_JobSettings!$A:$A, INPUT_JobSettings!$G:$G, ""), Summary!$B$5)))</f>
        <v/>
      </c>
    </row>
    <row r="144">
      <c r="A144" s="8" t="n"/>
      <c r="B144" s="8" t="n"/>
      <c r="C144" s="8" t="n"/>
      <c r="D144" s="8" t="n"/>
      <c r="E144" s="8" t="n"/>
      <c r="F144" s="8" t="n"/>
      <c r="G144" s="8" t="n"/>
      <c r="H144" s="8" t="n"/>
      <c r="I144" s="6">
        <f>IF(OR(A144="",C144=""),"", XLOOKUP(C144, Constants!$A:$A, Constants!$C:$C, ""))</f>
        <v/>
      </c>
      <c r="J144" s="6">
        <f>IF(OR(A144="",C144=""),"", D144 * (IF(G144="", 1, XLOOKUP(G144, Constants!$E$10:$E$30, Constants!$F$10:$F$30, 1))) * XLOOKUP(C144, Constants!$A:$A, Constants!$D:$D, 0))</f>
        <v/>
      </c>
      <c r="K144" s="6">
        <f>IF(OR(A144="",C144=""),"", D144 * F144 * XLOOKUP(C144, Constants!$A:$A, Constants!$E:$E, 0))</f>
        <v/>
      </c>
      <c r="L144" s="6">
        <f>IF(OR(A144="",C144=""),"", IF(E144="None",0, D144 * IF(E144="Full",1,XLOOKUP("PrimerSpotFactor",Constants!$A$20:$A$40,Constants!$B$20:$B$40,0.35)) * XLOOKUP(C144, Constants!$A:$A, Constants!$F:$F, 0)))</f>
        <v/>
      </c>
      <c r="M144" s="6">
        <f>IF(OR(A144="",C144=""),"", J144+K144+L144)</f>
        <v/>
      </c>
      <c r="N144" s="6">
        <f>IF(OR(A144="",C144=""),"", M144/60)</f>
        <v/>
      </c>
      <c r="O144" s="6">
        <f>IF(OR(A144="",C144=""),"", N144*(IF(XLOOKUP('Job Control'!$B$3, INPUT_JobSettings!$A:$A, INPUT_JobSettings!$F:$F, "")&lt;&gt;"", XLOOKUP('Job Control'!$B$3, INPUT_JobSettings!$A:$A, INPUT_JobSettings!$F:$F, ""), Summary!$B$4)))</f>
        <v/>
      </c>
      <c r="P144" s="6">
        <f>IF(OR(A144="",C144=""),"", 0)</f>
        <v/>
      </c>
      <c r="Q144" s="6">
        <f>IF(OR(A144="",C144=""),"", (O144+P144)*(IF(XLOOKUP('Job Control'!$B$3, INPUT_JobSettings!$A:$A, INPUT_JobSettings!$G:$G, "")&lt;&gt;"", XLOOKUP('Job Control'!$B$3, INPUT_JobSettings!$A:$A, INPUT_JobSettings!$G:$G, ""), Summary!$B$5)))</f>
        <v/>
      </c>
    </row>
    <row r="145">
      <c r="A145" s="8" t="n"/>
      <c r="B145" s="8" t="n"/>
      <c r="C145" s="8" t="n"/>
      <c r="D145" s="8" t="n"/>
      <c r="E145" s="8" t="n"/>
      <c r="F145" s="8" t="n"/>
      <c r="G145" s="8" t="n"/>
      <c r="H145" s="8" t="n"/>
      <c r="I145" s="6">
        <f>IF(OR(A145="",C145=""),"", XLOOKUP(C145, Constants!$A:$A, Constants!$C:$C, ""))</f>
        <v/>
      </c>
      <c r="J145" s="6">
        <f>IF(OR(A145="",C145=""),"", D145 * (IF(G145="", 1, XLOOKUP(G145, Constants!$E$10:$E$30, Constants!$F$10:$F$30, 1))) * XLOOKUP(C145, Constants!$A:$A, Constants!$D:$D, 0))</f>
        <v/>
      </c>
      <c r="K145" s="6">
        <f>IF(OR(A145="",C145=""),"", D145 * F145 * XLOOKUP(C145, Constants!$A:$A, Constants!$E:$E, 0))</f>
        <v/>
      </c>
      <c r="L145" s="6">
        <f>IF(OR(A145="",C145=""),"", IF(E145="None",0, D145 * IF(E145="Full",1,XLOOKUP("PrimerSpotFactor",Constants!$A$20:$A$40,Constants!$B$20:$B$40,0.35)) * XLOOKUP(C145, Constants!$A:$A, Constants!$F:$F, 0)))</f>
        <v/>
      </c>
      <c r="M145" s="6">
        <f>IF(OR(A145="",C145=""),"", J145+K145+L145)</f>
        <v/>
      </c>
      <c r="N145" s="6">
        <f>IF(OR(A145="",C145=""),"", M145/60)</f>
        <v/>
      </c>
      <c r="O145" s="6">
        <f>IF(OR(A145="",C145=""),"", N145*(IF(XLOOKUP('Job Control'!$B$3, INPUT_JobSettings!$A:$A, INPUT_JobSettings!$F:$F, "")&lt;&gt;"", XLOOKUP('Job Control'!$B$3, INPUT_JobSettings!$A:$A, INPUT_JobSettings!$F:$F, ""), Summary!$B$4)))</f>
        <v/>
      </c>
      <c r="P145" s="6">
        <f>IF(OR(A145="",C145=""),"", 0)</f>
        <v/>
      </c>
      <c r="Q145" s="6">
        <f>IF(OR(A145="",C145=""),"", (O145+P145)*(IF(XLOOKUP('Job Control'!$B$3, INPUT_JobSettings!$A:$A, INPUT_JobSettings!$G:$G, "")&lt;&gt;"", XLOOKUP('Job Control'!$B$3, INPUT_JobSettings!$A:$A, INPUT_JobSettings!$G:$G, ""), Summary!$B$5)))</f>
        <v/>
      </c>
    </row>
    <row r="146">
      <c r="A146" s="8" t="n"/>
      <c r="B146" s="8" t="n"/>
      <c r="C146" s="8" t="n"/>
      <c r="D146" s="8" t="n"/>
      <c r="E146" s="8" t="n"/>
      <c r="F146" s="8" t="n"/>
      <c r="G146" s="8" t="n"/>
      <c r="H146" s="8" t="n"/>
      <c r="I146" s="6">
        <f>IF(OR(A146="",C146=""),"", XLOOKUP(C146, Constants!$A:$A, Constants!$C:$C, ""))</f>
        <v/>
      </c>
      <c r="J146" s="6">
        <f>IF(OR(A146="",C146=""),"", D146 * (IF(G146="", 1, XLOOKUP(G146, Constants!$E$10:$E$30, Constants!$F$10:$F$30, 1))) * XLOOKUP(C146, Constants!$A:$A, Constants!$D:$D, 0))</f>
        <v/>
      </c>
      <c r="K146" s="6">
        <f>IF(OR(A146="",C146=""),"", D146 * F146 * XLOOKUP(C146, Constants!$A:$A, Constants!$E:$E, 0))</f>
        <v/>
      </c>
      <c r="L146" s="6">
        <f>IF(OR(A146="",C146=""),"", IF(E146="None",0, D146 * IF(E146="Full",1,XLOOKUP("PrimerSpotFactor",Constants!$A$20:$A$40,Constants!$B$20:$B$40,0.35)) * XLOOKUP(C146, Constants!$A:$A, Constants!$F:$F, 0)))</f>
        <v/>
      </c>
      <c r="M146" s="6">
        <f>IF(OR(A146="",C146=""),"", J146+K146+L146)</f>
        <v/>
      </c>
      <c r="N146" s="6">
        <f>IF(OR(A146="",C146=""),"", M146/60)</f>
        <v/>
      </c>
      <c r="O146" s="6">
        <f>IF(OR(A146="",C146=""),"", N146*(IF(XLOOKUP('Job Control'!$B$3, INPUT_JobSettings!$A:$A, INPUT_JobSettings!$F:$F, "")&lt;&gt;"", XLOOKUP('Job Control'!$B$3, INPUT_JobSettings!$A:$A, INPUT_JobSettings!$F:$F, ""), Summary!$B$4)))</f>
        <v/>
      </c>
      <c r="P146" s="6">
        <f>IF(OR(A146="",C146=""),"", 0)</f>
        <v/>
      </c>
      <c r="Q146" s="6">
        <f>IF(OR(A146="",C146=""),"", (O146+P146)*(IF(XLOOKUP('Job Control'!$B$3, INPUT_JobSettings!$A:$A, INPUT_JobSettings!$G:$G, "")&lt;&gt;"", XLOOKUP('Job Control'!$B$3, INPUT_JobSettings!$A:$A, INPUT_JobSettings!$G:$G, ""), Summary!$B$5)))</f>
        <v/>
      </c>
    </row>
    <row r="147">
      <c r="A147" s="8" t="n"/>
      <c r="B147" s="8" t="n"/>
      <c r="C147" s="8" t="n"/>
      <c r="D147" s="8" t="n"/>
      <c r="E147" s="8" t="n"/>
      <c r="F147" s="8" t="n"/>
      <c r="G147" s="8" t="n"/>
      <c r="H147" s="8" t="n"/>
      <c r="I147" s="6">
        <f>IF(OR(A147="",C147=""),"", XLOOKUP(C147, Constants!$A:$A, Constants!$C:$C, ""))</f>
        <v/>
      </c>
      <c r="J147" s="6">
        <f>IF(OR(A147="",C147=""),"", D147 * (IF(G147="", 1, XLOOKUP(G147, Constants!$E$10:$E$30, Constants!$F$10:$F$30, 1))) * XLOOKUP(C147, Constants!$A:$A, Constants!$D:$D, 0))</f>
        <v/>
      </c>
      <c r="K147" s="6">
        <f>IF(OR(A147="",C147=""),"", D147 * F147 * XLOOKUP(C147, Constants!$A:$A, Constants!$E:$E, 0))</f>
        <v/>
      </c>
      <c r="L147" s="6">
        <f>IF(OR(A147="",C147=""),"", IF(E147="None",0, D147 * IF(E147="Full",1,XLOOKUP("PrimerSpotFactor",Constants!$A$20:$A$40,Constants!$B$20:$B$40,0.35)) * XLOOKUP(C147, Constants!$A:$A, Constants!$F:$F, 0)))</f>
        <v/>
      </c>
      <c r="M147" s="6">
        <f>IF(OR(A147="",C147=""),"", J147+K147+L147)</f>
        <v/>
      </c>
      <c r="N147" s="6">
        <f>IF(OR(A147="",C147=""),"", M147/60)</f>
        <v/>
      </c>
      <c r="O147" s="6">
        <f>IF(OR(A147="",C147=""),"", N147*(IF(XLOOKUP('Job Control'!$B$3, INPUT_JobSettings!$A:$A, INPUT_JobSettings!$F:$F, "")&lt;&gt;"", XLOOKUP('Job Control'!$B$3, INPUT_JobSettings!$A:$A, INPUT_JobSettings!$F:$F, ""), Summary!$B$4)))</f>
        <v/>
      </c>
      <c r="P147" s="6">
        <f>IF(OR(A147="",C147=""),"", 0)</f>
        <v/>
      </c>
      <c r="Q147" s="6">
        <f>IF(OR(A147="",C147=""),"", (O147+P147)*(IF(XLOOKUP('Job Control'!$B$3, INPUT_JobSettings!$A:$A, INPUT_JobSettings!$G:$G, "")&lt;&gt;"", XLOOKUP('Job Control'!$B$3, INPUT_JobSettings!$A:$A, INPUT_JobSettings!$G:$G, ""), Summary!$B$5)))</f>
        <v/>
      </c>
    </row>
    <row r="148">
      <c r="A148" s="8" t="n"/>
      <c r="B148" s="8" t="n"/>
      <c r="C148" s="8" t="n"/>
      <c r="D148" s="8" t="n"/>
      <c r="E148" s="8" t="n"/>
      <c r="F148" s="8" t="n"/>
      <c r="G148" s="8" t="n"/>
      <c r="H148" s="8" t="n"/>
      <c r="I148" s="6">
        <f>IF(OR(A148="",C148=""),"", XLOOKUP(C148, Constants!$A:$A, Constants!$C:$C, ""))</f>
        <v/>
      </c>
      <c r="J148" s="6">
        <f>IF(OR(A148="",C148=""),"", D148 * (IF(G148="", 1, XLOOKUP(G148, Constants!$E$10:$E$30, Constants!$F$10:$F$30, 1))) * XLOOKUP(C148, Constants!$A:$A, Constants!$D:$D, 0))</f>
        <v/>
      </c>
      <c r="K148" s="6">
        <f>IF(OR(A148="",C148=""),"", D148 * F148 * XLOOKUP(C148, Constants!$A:$A, Constants!$E:$E, 0))</f>
        <v/>
      </c>
      <c r="L148" s="6">
        <f>IF(OR(A148="",C148=""),"", IF(E148="None",0, D148 * IF(E148="Full",1,XLOOKUP("PrimerSpotFactor",Constants!$A$20:$A$40,Constants!$B$20:$B$40,0.35)) * XLOOKUP(C148, Constants!$A:$A, Constants!$F:$F, 0)))</f>
        <v/>
      </c>
      <c r="M148" s="6">
        <f>IF(OR(A148="",C148=""),"", J148+K148+L148)</f>
        <v/>
      </c>
      <c r="N148" s="6">
        <f>IF(OR(A148="",C148=""),"", M148/60)</f>
        <v/>
      </c>
      <c r="O148" s="6">
        <f>IF(OR(A148="",C148=""),"", N148*(IF(XLOOKUP('Job Control'!$B$3, INPUT_JobSettings!$A:$A, INPUT_JobSettings!$F:$F, "")&lt;&gt;"", XLOOKUP('Job Control'!$B$3, INPUT_JobSettings!$A:$A, INPUT_JobSettings!$F:$F, ""), Summary!$B$4)))</f>
        <v/>
      </c>
      <c r="P148" s="6">
        <f>IF(OR(A148="",C148=""),"", 0)</f>
        <v/>
      </c>
      <c r="Q148" s="6">
        <f>IF(OR(A148="",C148=""),"", (O148+P148)*(IF(XLOOKUP('Job Control'!$B$3, INPUT_JobSettings!$A:$A, INPUT_JobSettings!$G:$G, "")&lt;&gt;"", XLOOKUP('Job Control'!$B$3, INPUT_JobSettings!$A:$A, INPUT_JobSettings!$G:$G, ""), Summary!$B$5)))</f>
        <v/>
      </c>
    </row>
    <row r="149">
      <c r="A149" s="8" t="n"/>
      <c r="B149" s="8" t="n"/>
      <c r="C149" s="8" t="n"/>
      <c r="D149" s="8" t="n"/>
      <c r="E149" s="8" t="n"/>
      <c r="F149" s="8" t="n"/>
      <c r="G149" s="8" t="n"/>
      <c r="H149" s="8" t="n"/>
      <c r="I149" s="6">
        <f>IF(OR(A149="",C149=""),"", XLOOKUP(C149, Constants!$A:$A, Constants!$C:$C, ""))</f>
        <v/>
      </c>
      <c r="J149" s="6">
        <f>IF(OR(A149="",C149=""),"", D149 * (IF(G149="", 1, XLOOKUP(G149, Constants!$E$10:$E$30, Constants!$F$10:$F$30, 1))) * XLOOKUP(C149, Constants!$A:$A, Constants!$D:$D, 0))</f>
        <v/>
      </c>
      <c r="K149" s="6">
        <f>IF(OR(A149="",C149=""),"", D149 * F149 * XLOOKUP(C149, Constants!$A:$A, Constants!$E:$E, 0))</f>
        <v/>
      </c>
      <c r="L149" s="6">
        <f>IF(OR(A149="",C149=""),"", IF(E149="None",0, D149 * IF(E149="Full",1,XLOOKUP("PrimerSpotFactor",Constants!$A$20:$A$40,Constants!$B$20:$B$40,0.35)) * XLOOKUP(C149, Constants!$A:$A, Constants!$F:$F, 0)))</f>
        <v/>
      </c>
      <c r="M149" s="6">
        <f>IF(OR(A149="",C149=""),"", J149+K149+L149)</f>
        <v/>
      </c>
      <c r="N149" s="6">
        <f>IF(OR(A149="",C149=""),"", M149/60)</f>
        <v/>
      </c>
      <c r="O149" s="6">
        <f>IF(OR(A149="",C149=""),"", N149*(IF(XLOOKUP('Job Control'!$B$3, INPUT_JobSettings!$A:$A, INPUT_JobSettings!$F:$F, "")&lt;&gt;"", XLOOKUP('Job Control'!$B$3, INPUT_JobSettings!$A:$A, INPUT_JobSettings!$F:$F, ""), Summary!$B$4)))</f>
        <v/>
      </c>
      <c r="P149" s="6">
        <f>IF(OR(A149="",C149=""),"", 0)</f>
        <v/>
      </c>
      <c r="Q149" s="6">
        <f>IF(OR(A149="",C149=""),"", (O149+P149)*(IF(XLOOKUP('Job Control'!$B$3, INPUT_JobSettings!$A:$A, INPUT_JobSettings!$G:$G, "")&lt;&gt;"", XLOOKUP('Job Control'!$B$3, INPUT_JobSettings!$A:$A, INPUT_JobSettings!$G:$G, ""), Summary!$B$5)))</f>
        <v/>
      </c>
    </row>
    <row r="150">
      <c r="A150" s="8" t="n"/>
      <c r="B150" s="8" t="n"/>
      <c r="C150" s="8" t="n"/>
      <c r="D150" s="8" t="n"/>
      <c r="E150" s="8" t="n"/>
      <c r="F150" s="8" t="n"/>
      <c r="G150" s="8" t="n"/>
      <c r="H150" s="8" t="n"/>
      <c r="I150" s="6">
        <f>IF(OR(A150="",C150=""),"", XLOOKUP(C150, Constants!$A:$A, Constants!$C:$C, ""))</f>
        <v/>
      </c>
      <c r="J150" s="6">
        <f>IF(OR(A150="",C150=""),"", D150 * (IF(G150="", 1, XLOOKUP(G150, Constants!$E$10:$E$30, Constants!$F$10:$F$30, 1))) * XLOOKUP(C150, Constants!$A:$A, Constants!$D:$D, 0))</f>
        <v/>
      </c>
      <c r="K150" s="6">
        <f>IF(OR(A150="",C150=""),"", D150 * F150 * XLOOKUP(C150, Constants!$A:$A, Constants!$E:$E, 0))</f>
        <v/>
      </c>
      <c r="L150" s="6">
        <f>IF(OR(A150="",C150=""),"", IF(E150="None",0, D150 * IF(E150="Full",1,XLOOKUP("PrimerSpotFactor",Constants!$A$20:$A$40,Constants!$B$20:$B$40,0.35)) * XLOOKUP(C150, Constants!$A:$A, Constants!$F:$F, 0)))</f>
        <v/>
      </c>
      <c r="M150" s="6">
        <f>IF(OR(A150="",C150=""),"", J150+K150+L150)</f>
        <v/>
      </c>
      <c r="N150" s="6">
        <f>IF(OR(A150="",C150=""),"", M150/60)</f>
        <v/>
      </c>
      <c r="O150" s="6">
        <f>IF(OR(A150="",C150=""),"", N150*(IF(XLOOKUP('Job Control'!$B$3, INPUT_JobSettings!$A:$A, INPUT_JobSettings!$F:$F, "")&lt;&gt;"", XLOOKUP('Job Control'!$B$3, INPUT_JobSettings!$A:$A, INPUT_JobSettings!$F:$F, ""), Summary!$B$4)))</f>
        <v/>
      </c>
      <c r="P150" s="6">
        <f>IF(OR(A150="",C150=""),"", 0)</f>
        <v/>
      </c>
      <c r="Q150" s="6">
        <f>IF(OR(A150="",C150=""),"", (O150+P150)*(IF(XLOOKUP('Job Control'!$B$3, INPUT_JobSettings!$A:$A, INPUT_JobSettings!$G:$G, "")&lt;&gt;"", XLOOKUP('Job Control'!$B$3, INPUT_JobSettings!$A:$A, INPUT_JobSettings!$G:$G, ""), Summary!$B$5)))</f>
        <v/>
      </c>
    </row>
    <row r="151">
      <c r="A151" s="8" t="n"/>
      <c r="B151" s="8" t="n"/>
      <c r="C151" s="8" t="n"/>
      <c r="D151" s="8" t="n"/>
      <c r="E151" s="8" t="n"/>
      <c r="F151" s="8" t="n"/>
      <c r="G151" s="8" t="n"/>
      <c r="H151" s="8" t="n"/>
      <c r="I151" s="6">
        <f>IF(OR(A151="",C151=""),"", XLOOKUP(C151, Constants!$A:$A, Constants!$C:$C, ""))</f>
        <v/>
      </c>
      <c r="J151" s="6">
        <f>IF(OR(A151="",C151=""),"", D151 * (IF(G151="", 1, XLOOKUP(G151, Constants!$E$10:$E$30, Constants!$F$10:$F$30, 1))) * XLOOKUP(C151, Constants!$A:$A, Constants!$D:$D, 0))</f>
        <v/>
      </c>
      <c r="K151" s="6">
        <f>IF(OR(A151="",C151=""),"", D151 * F151 * XLOOKUP(C151, Constants!$A:$A, Constants!$E:$E, 0))</f>
        <v/>
      </c>
      <c r="L151" s="6">
        <f>IF(OR(A151="",C151=""),"", IF(E151="None",0, D151 * IF(E151="Full",1,XLOOKUP("PrimerSpotFactor",Constants!$A$20:$A$40,Constants!$B$20:$B$40,0.35)) * XLOOKUP(C151, Constants!$A:$A, Constants!$F:$F, 0)))</f>
        <v/>
      </c>
      <c r="M151" s="6">
        <f>IF(OR(A151="",C151=""),"", J151+K151+L151)</f>
        <v/>
      </c>
      <c r="N151" s="6">
        <f>IF(OR(A151="",C151=""),"", M151/60)</f>
        <v/>
      </c>
      <c r="O151" s="6">
        <f>IF(OR(A151="",C151=""),"", N151*(IF(XLOOKUP('Job Control'!$B$3, INPUT_JobSettings!$A:$A, INPUT_JobSettings!$F:$F, "")&lt;&gt;"", XLOOKUP('Job Control'!$B$3, INPUT_JobSettings!$A:$A, INPUT_JobSettings!$F:$F, ""), Summary!$B$4)))</f>
        <v/>
      </c>
      <c r="P151" s="6">
        <f>IF(OR(A151="",C151=""),"", 0)</f>
        <v/>
      </c>
      <c r="Q151" s="6">
        <f>IF(OR(A151="",C151=""),"", (O151+P151)*(IF(XLOOKUP('Job Control'!$B$3, INPUT_JobSettings!$A:$A, INPUT_JobSettings!$G:$G, "")&lt;&gt;"", XLOOKUP('Job Control'!$B$3, INPUT_JobSettings!$A:$A, INPUT_JobSettings!$G:$G, ""), Summary!$B$5)))</f>
        <v/>
      </c>
    </row>
    <row r="152">
      <c r="A152" s="8" t="n"/>
      <c r="B152" s="8" t="n"/>
      <c r="C152" s="8" t="n"/>
      <c r="D152" s="8" t="n"/>
      <c r="E152" s="8" t="n"/>
      <c r="F152" s="8" t="n"/>
      <c r="G152" s="8" t="n"/>
      <c r="H152" s="8" t="n"/>
      <c r="I152" s="6">
        <f>IF(OR(A152="",C152=""),"", XLOOKUP(C152, Constants!$A:$A, Constants!$C:$C, ""))</f>
        <v/>
      </c>
      <c r="J152" s="6">
        <f>IF(OR(A152="",C152=""),"", D152 * (IF(G152="", 1, XLOOKUP(G152, Constants!$E$10:$E$30, Constants!$F$10:$F$30, 1))) * XLOOKUP(C152, Constants!$A:$A, Constants!$D:$D, 0))</f>
        <v/>
      </c>
      <c r="K152" s="6">
        <f>IF(OR(A152="",C152=""),"", D152 * F152 * XLOOKUP(C152, Constants!$A:$A, Constants!$E:$E, 0))</f>
        <v/>
      </c>
      <c r="L152" s="6">
        <f>IF(OR(A152="",C152=""),"", IF(E152="None",0, D152 * IF(E152="Full",1,XLOOKUP("PrimerSpotFactor",Constants!$A$20:$A$40,Constants!$B$20:$B$40,0.35)) * XLOOKUP(C152, Constants!$A:$A, Constants!$F:$F, 0)))</f>
        <v/>
      </c>
      <c r="M152" s="6">
        <f>IF(OR(A152="",C152=""),"", J152+K152+L152)</f>
        <v/>
      </c>
      <c r="N152" s="6">
        <f>IF(OR(A152="",C152=""),"", M152/60)</f>
        <v/>
      </c>
      <c r="O152" s="6">
        <f>IF(OR(A152="",C152=""),"", N152*(IF(XLOOKUP('Job Control'!$B$3, INPUT_JobSettings!$A:$A, INPUT_JobSettings!$F:$F, "")&lt;&gt;"", XLOOKUP('Job Control'!$B$3, INPUT_JobSettings!$A:$A, INPUT_JobSettings!$F:$F, ""), Summary!$B$4)))</f>
        <v/>
      </c>
      <c r="P152" s="6">
        <f>IF(OR(A152="",C152=""),"", 0)</f>
        <v/>
      </c>
      <c r="Q152" s="6">
        <f>IF(OR(A152="",C152=""),"", (O152+P152)*(IF(XLOOKUP('Job Control'!$B$3, INPUT_JobSettings!$A:$A, INPUT_JobSettings!$G:$G, "")&lt;&gt;"", XLOOKUP('Job Control'!$B$3, INPUT_JobSettings!$A:$A, INPUT_JobSettings!$G:$G, ""), Summary!$B$5)))</f>
        <v/>
      </c>
    </row>
    <row r="153">
      <c r="A153" s="8" t="n"/>
      <c r="B153" s="8" t="n"/>
      <c r="C153" s="8" t="n"/>
      <c r="D153" s="8" t="n"/>
      <c r="E153" s="8" t="n"/>
      <c r="F153" s="8" t="n"/>
      <c r="G153" s="8" t="n"/>
      <c r="H153" s="8" t="n"/>
      <c r="I153" s="6">
        <f>IF(OR(A153="",C153=""),"", XLOOKUP(C153, Constants!$A:$A, Constants!$C:$C, ""))</f>
        <v/>
      </c>
      <c r="J153" s="6">
        <f>IF(OR(A153="",C153=""),"", D153 * (IF(G153="", 1, XLOOKUP(G153, Constants!$E$10:$E$30, Constants!$F$10:$F$30, 1))) * XLOOKUP(C153, Constants!$A:$A, Constants!$D:$D, 0))</f>
        <v/>
      </c>
      <c r="K153" s="6">
        <f>IF(OR(A153="",C153=""),"", D153 * F153 * XLOOKUP(C153, Constants!$A:$A, Constants!$E:$E, 0))</f>
        <v/>
      </c>
      <c r="L153" s="6">
        <f>IF(OR(A153="",C153=""),"", IF(E153="None",0, D153 * IF(E153="Full",1,XLOOKUP("PrimerSpotFactor",Constants!$A$20:$A$40,Constants!$B$20:$B$40,0.35)) * XLOOKUP(C153, Constants!$A:$A, Constants!$F:$F, 0)))</f>
        <v/>
      </c>
      <c r="M153" s="6">
        <f>IF(OR(A153="",C153=""),"", J153+K153+L153)</f>
        <v/>
      </c>
      <c r="N153" s="6">
        <f>IF(OR(A153="",C153=""),"", M153/60)</f>
        <v/>
      </c>
      <c r="O153" s="6">
        <f>IF(OR(A153="",C153=""),"", N153*(IF(XLOOKUP('Job Control'!$B$3, INPUT_JobSettings!$A:$A, INPUT_JobSettings!$F:$F, "")&lt;&gt;"", XLOOKUP('Job Control'!$B$3, INPUT_JobSettings!$A:$A, INPUT_JobSettings!$F:$F, ""), Summary!$B$4)))</f>
        <v/>
      </c>
      <c r="P153" s="6">
        <f>IF(OR(A153="",C153=""),"", 0)</f>
        <v/>
      </c>
      <c r="Q153" s="6">
        <f>IF(OR(A153="",C153=""),"", (O153+P153)*(IF(XLOOKUP('Job Control'!$B$3, INPUT_JobSettings!$A:$A, INPUT_JobSettings!$G:$G, "")&lt;&gt;"", XLOOKUP('Job Control'!$B$3, INPUT_JobSettings!$A:$A, INPUT_JobSettings!$G:$G, ""), Summary!$B$5)))</f>
        <v/>
      </c>
    </row>
    <row r="154">
      <c r="A154" s="8" t="n"/>
      <c r="B154" s="8" t="n"/>
      <c r="C154" s="8" t="n"/>
      <c r="D154" s="8" t="n"/>
      <c r="E154" s="8" t="n"/>
      <c r="F154" s="8" t="n"/>
      <c r="G154" s="8" t="n"/>
      <c r="H154" s="8" t="n"/>
      <c r="I154" s="6">
        <f>IF(OR(A154="",C154=""),"", XLOOKUP(C154, Constants!$A:$A, Constants!$C:$C, ""))</f>
        <v/>
      </c>
      <c r="J154" s="6">
        <f>IF(OR(A154="",C154=""),"", D154 * (IF(G154="", 1, XLOOKUP(G154, Constants!$E$10:$E$30, Constants!$F$10:$F$30, 1))) * XLOOKUP(C154, Constants!$A:$A, Constants!$D:$D, 0))</f>
        <v/>
      </c>
      <c r="K154" s="6">
        <f>IF(OR(A154="",C154=""),"", D154 * F154 * XLOOKUP(C154, Constants!$A:$A, Constants!$E:$E, 0))</f>
        <v/>
      </c>
      <c r="L154" s="6">
        <f>IF(OR(A154="",C154=""),"", IF(E154="None",0, D154 * IF(E154="Full",1,XLOOKUP("PrimerSpotFactor",Constants!$A$20:$A$40,Constants!$B$20:$B$40,0.35)) * XLOOKUP(C154, Constants!$A:$A, Constants!$F:$F, 0)))</f>
        <v/>
      </c>
      <c r="M154" s="6">
        <f>IF(OR(A154="",C154=""),"", J154+K154+L154)</f>
        <v/>
      </c>
      <c r="N154" s="6">
        <f>IF(OR(A154="",C154=""),"", M154/60)</f>
        <v/>
      </c>
      <c r="O154" s="6">
        <f>IF(OR(A154="",C154=""),"", N154*(IF(XLOOKUP('Job Control'!$B$3, INPUT_JobSettings!$A:$A, INPUT_JobSettings!$F:$F, "")&lt;&gt;"", XLOOKUP('Job Control'!$B$3, INPUT_JobSettings!$A:$A, INPUT_JobSettings!$F:$F, ""), Summary!$B$4)))</f>
        <v/>
      </c>
      <c r="P154" s="6">
        <f>IF(OR(A154="",C154=""),"", 0)</f>
        <v/>
      </c>
      <c r="Q154" s="6">
        <f>IF(OR(A154="",C154=""),"", (O154+P154)*(IF(XLOOKUP('Job Control'!$B$3, INPUT_JobSettings!$A:$A, INPUT_JobSettings!$G:$G, "")&lt;&gt;"", XLOOKUP('Job Control'!$B$3, INPUT_JobSettings!$A:$A, INPUT_JobSettings!$G:$G, ""), Summary!$B$5)))</f>
        <v/>
      </c>
    </row>
    <row r="155">
      <c r="A155" s="8" t="n"/>
      <c r="B155" s="8" t="n"/>
      <c r="C155" s="8" t="n"/>
      <c r="D155" s="8" t="n"/>
      <c r="E155" s="8" t="n"/>
      <c r="F155" s="8" t="n"/>
      <c r="G155" s="8" t="n"/>
      <c r="H155" s="8" t="n"/>
      <c r="I155" s="6">
        <f>IF(OR(A155="",C155=""),"", XLOOKUP(C155, Constants!$A:$A, Constants!$C:$C, ""))</f>
        <v/>
      </c>
      <c r="J155" s="6">
        <f>IF(OR(A155="",C155=""),"", D155 * (IF(G155="", 1, XLOOKUP(G155, Constants!$E$10:$E$30, Constants!$F$10:$F$30, 1))) * XLOOKUP(C155, Constants!$A:$A, Constants!$D:$D, 0))</f>
        <v/>
      </c>
      <c r="K155" s="6">
        <f>IF(OR(A155="",C155=""),"", D155 * F155 * XLOOKUP(C155, Constants!$A:$A, Constants!$E:$E, 0))</f>
        <v/>
      </c>
      <c r="L155" s="6">
        <f>IF(OR(A155="",C155=""),"", IF(E155="None",0, D155 * IF(E155="Full",1,XLOOKUP("PrimerSpotFactor",Constants!$A$20:$A$40,Constants!$B$20:$B$40,0.35)) * XLOOKUP(C155, Constants!$A:$A, Constants!$F:$F, 0)))</f>
        <v/>
      </c>
      <c r="M155" s="6">
        <f>IF(OR(A155="",C155=""),"", J155+K155+L155)</f>
        <v/>
      </c>
      <c r="N155" s="6">
        <f>IF(OR(A155="",C155=""),"", M155/60)</f>
        <v/>
      </c>
      <c r="O155" s="6">
        <f>IF(OR(A155="",C155=""),"", N155*(IF(XLOOKUP('Job Control'!$B$3, INPUT_JobSettings!$A:$A, INPUT_JobSettings!$F:$F, "")&lt;&gt;"", XLOOKUP('Job Control'!$B$3, INPUT_JobSettings!$A:$A, INPUT_JobSettings!$F:$F, ""), Summary!$B$4)))</f>
        <v/>
      </c>
      <c r="P155" s="6">
        <f>IF(OR(A155="",C155=""),"", 0)</f>
        <v/>
      </c>
      <c r="Q155" s="6">
        <f>IF(OR(A155="",C155=""),"", (O155+P155)*(IF(XLOOKUP('Job Control'!$B$3, INPUT_JobSettings!$A:$A, INPUT_JobSettings!$G:$G, "")&lt;&gt;"", XLOOKUP('Job Control'!$B$3, INPUT_JobSettings!$A:$A, INPUT_JobSettings!$G:$G, ""), Summary!$B$5)))</f>
        <v/>
      </c>
    </row>
    <row r="156">
      <c r="A156" s="8" t="n"/>
      <c r="B156" s="8" t="n"/>
      <c r="C156" s="8" t="n"/>
      <c r="D156" s="8" t="n"/>
      <c r="E156" s="8" t="n"/>
      <c r="F156" s="8" t="n"/>
      <c r="G156" s="8" t="n"/>
      <c r="H156" s="8" t="n"/>
      <c r="I156" s="6">
        <f>IF(OR(A156="",C156=""),"", XLOOKUP(C156, Constants!$A:$A, Constants!$C:$C, ""))</f>
        <v/>
      </c>
      <c r="J156" s="6">
        <f>IF(OR(A156="",C156=""),"", D156 * (IF(G156="", 1, XLOOKUP(G156, Constants!$E$10:$E$30, Constants!$F$10:$F$30, 1))) * XLOOKUP(C156, Constants!$A:$A, Constants!$D:$D, 0))</f>
        <v/>
      </c>
      <c r="K156" s="6">
        <f>IF(OR(A156="",C156=""),"", D156 * F156 * XLOOKUP(C156, Constants!$A:$A, Constants!$E:$E, 0))</f>
        <v/>
      </c>
      <c r="L156" s="6">
        <f>IF(OR(A156="",C156=""),"", IF(E156="None",0, D156 * IF(E156="Full",1,XLOOKUP("PrimerSpotFactor",Constants!$A$20:$A$40,Constants!$B$20:$B$40,0.35)) * XLOOKUP(C156, Constants!$A:$A, Constants!$F:$F, 0)))</f>
        <v/>
      </c>
      <c r="M156" s="6">
        <f>IF(OR(A156="",C156=""),"", J156+K156+L156)</f>
        <v/>
      </c>
      <c r="N156" s="6">
        <f>IF(OR(A156="",C156=""),"", M156/60)</f>
        <v/>
      </c>
      <c r="O156" s="6">
        <f>IF(OR(A156="",C156=""),"", N156*(IF(XLOOKUP('Job Control'!$B$3, INPUT_JobSettings!$A:$A, INPUT_JobSettings!$F:$F, "")&lt;&gt;"", XLOOKUP('Job Control'!$B$3, INPUT_JobSettings!$A:$A, INPUT_JobSettings!$F:$F, ""), Summary!$B$4)))</f>
        <v/>
      </c>
      <c r="P156" s="6">
        <f>IF(OR(A156="",C156=""),"", 0)</f>
        <v/>
      </c>
      <c r="Q156" s="6">
        <f>IF(OR(A156="",C156=""),"", (O156+P156)*(IF(XLOOKUP('Job Control'!$B$3, INPUT_JobSettings!$A:$A, INPUT_JobSettings!$G:$G, "")&lt;&gt;"", XLOOKUP('Job Control'!$B$3, INPUT_JobSettings!$A:$A, INPUT_JobSettings!$G:$G, ""), Summary!$B$5)))</f>
        <v/>
      </c>
    </row>
    <row r="157">
      <c r="A157" s="8" t="n"/>
      <c r="B157" s="8" t="n"/>
      <c r="C157" s="8" t="n"/>
      <c r="D157" s="8" t="n"/>
      <c r="E157" s="8" t="n"/>
      <c r="F157" s="8" t="n"/>
      <c r="G157" s="8" t="n"/>
      <c r="H157" s="8" t="n"/>
      <c r="I157" s="6">
        <f>IF(OR(A157="",C157=""),"", XLOOKUP(C157, Constants!$A:$A, Constants!$C:$C, ""))</f>
        <v/>
      </c>
      <c r="J157" s="6">
        <f>IF(OR(A157="",C157=""),"", D157 * (IF(G157="", 1, XLOOKUP(G157, Constants!$E$10:$E$30, Constants!$F$10:$F$30, 1))) * XLOOKUP(C157, Constants!$A:$A, Constants!$D:$D, 0))</f>
        <v/>
      </c>
      <c r="K157" s="6">
        <f>IF(OR(A157="",C157=""),"", D157 * F157 * XLOOKUP(C157, Constants!$A:$A, Constants!$E:$E, 0))</f>
        <v/>
      </c>
      <c r="L157" s="6">
        <f>IF(OR(A157="",C157=""),"", IF(E157="None",0, D157 * IF(E157="Full",1,XLOOKUP("PrimerSpotFactor",Constants!$A$20:$A$40,Constants!$B$20:$B$40,0.35)) * XLOOKUP(C157, Constants!$A:$A, Constants!$F:$F, 0)))</f>
        <v/>
      </c>
      <c r="M157" s="6">
        <f>IF(OR(A157="",C157=""),"", J157+K157+L157)</f>
        <v/>
      </c>
      <c r="N157" s="6">
        <f>IF(OR(A157="",C157=""),"", M157/60)</f>
        <v/>
      </c>
      <c r="O157" s="6">
        <f>IF(OR(A157="",C157=""),"", N157*(IF(XLOOKUP('Job Control'!$B$3, INPUT_JobSettings!$A:$A, INPUT_JobSettings!$F:$F, "")&lt;&gt;"", XLOOKUP('Job Control'!$B$3, INPUT_JobSettings!$A:$A, INPUT_JobSettings!$F:$F, ""), Summary!$B$4)))</f>
        <v/>
      </c>
      <c r="P157" s="6">
        <f>IF(OR(A157="",C157=""),"", 0)</f>
        <v/>
      </c>
      <c r="Q157" s="6">
        <f>IF(OR(A157="",C157=""),"", (O157+P157)*(IF(XLOOKUP('Job Control'!$B$3, INPUT_JobSettings!$A:$A, INPUT_JobSettings!$G:$G, "")&lt;&gt;"", XLOOKUP('Job Control'!$B$3, INPUT_JobSettings!$A:$A, INPUT_JobSettings!$G:$G, ""), Summary!$B$5)))</f>
        <v/>
      </c>
    </row>
    <row r="158">
      <c r="A158" s="8" t="n"/>
      <c r="B158" s="8" t="n"/>
      <c r="C158" s="8" t="n"/>
      <c r="D158" s="8" t="n"/>
      <c r="E158" s="8" t="n"/>
      <c r="F158" s="8" t="n"/>
      <c r="G158" s="8" t="n"/>
      <c r="H158" s="8" t="n"/>
      <c r="I158" s="6">
        <f>IF(OR(A158="",C158=""),"", XLOOKUP(C158, Constants!$A:$A, Constants!$C:$C, ""))</f>
        <v/>
      </c>
      <c r="J158" s="6">
        <f>IF(OR(A158="",C158=""),"", D158 * (IF(G158="", 1, XLOOKUP(G158, Constants!$E$10:$E$30, Constants!$F$10:$F$30, 1))) * XLOOKUP(C158, Constants!$A:$A, Constants!$D:$D, 0))</f>
        <v/>
      </c>
      <c r="K158" s="6">
        <f>IF(OR(A158="",C158=""),"", D158 * F158 * XLOOKUP(C158, Constants!$A:$A, Constants!$E:$E, 0))</f>
        <v/>
      </c>
      <c r="L158" s="6">
        <f>IF(OR(A158="",C158=""),"", IF(E158="None",0, D158 * IF(E158="Full",1,XLOOKUP("PrimerSpotFactor",Constants!$A$20:$A$40,Constants!$B$20:$B$40,0.35)) * XLOOKUP(C158, Constants!$A:$A, Constants!$F:$F, 0)))</f>
        <v/>
      </c>
      <c r="M158" s="6">
        <f>IF(OR(A158="",C158=""),"", J158+K158+L158)</f>
        <v/>
      </c>
      <c r="N158" s="6">
        <f>IF(OR(A158="",C158=""),"", M158/60)</f>
        <v/>
      </c>
      <c r="O158" s="6">
        <f>IF(OR(A158="",C158=""),"", N158*(IF(XLOOKUP('Job Control'!$B$3, INPUT_JobSettings!$A:$A, INPUT_JobSettings!$F:$F, "")&lt;&gt;"", XLOOKUP('Job Control'!$B$3, INPUT_JobSettings!$A:$A, INPUT_JobSettings!$F:$F, ""), Summary!$B$4)))</f>
        <v/>
      </c>
      <c r="P158" s="6">
        <f>IF(OR(A158="",C158=""),"", 0)</f>
        <v/>
      </c>
      <c r="Q158" s="6">
        <f>IF(OR(A158="",C158=""),"", (O158+P158)*(IF(XLOOKUP('Job Control'!$B$3, INPUT_JobSettings!$A:$A, INPUT_JobSettings!$G:$G, "")&lt;&gt;"", XLOOKUP('Job Control'!$B$3, INPUT_JobSettings!$A:$A, INPUT_JobSettings!$G:$G, ""), Summary!$B$5)))</f>
        <v/>
      </c>
    </row>
    <row r="159">
      <c r="A159" s="8" t="n"/>
      <c r="B159" s="8" t="n"/>
      <c r="C159" s="8" t="n"/>
      <c r="D159" s="8" t="n"/>
      <c r="E159" s="8" t="n"/>
      <c r="F159" s="8" t="n"/>
      <c r="G159" s="8" t="n"/>
      <c r="H159" s="8" t="n"/>
      <c r="I159" s="6">
        <f>IF(OR(A159="",C159=""),"", XLOOKUP(C159, Constants!$A:$A, Constants!$C:$C, ""))</f>
        <v/>
      </c>
      <c r="J159" s="6">
        <f>IF(OR(A159="",C159=""),"", D159 * (IF(G159="", 1, XLOOKUP(G159, Constants!$E$10:$E$30, Constants!$F$10:$F$30, 1))) * XLOOKUP(C159, Constants!$A:$A, Constants!$D:$D, 0))</f>
        <v/>
      </c>
      <c r="K159" s="6">
        <f>IF(OR(A159="",C159=""),"", D159 * F159 * XLOOKUP(C159, Constants!$A:$A, Constants!$E:$E, 0))</f>
        <v/>
      </c>
      <c r="L159" s="6">
        <f>IF(OR(A159="",C159=""),"", IF(E159="None",0, D159 * IF(E159="Full",1,XLOOKUP("PrimerSpotFactor",Constants!$A$20:$A$40,Constants!$B$20:$B$40,0.35)) * XLOOKUP(C159, Constants!$A:$A, Constants!$F:$F, 0)))</f>
        <v/>
      </c>
      <c r="M159" s="6">
        <f>IF(OR(A159="",C159=""),"", J159+K159+L159)</f>
        <v/>
      </c>
      <c r="N159" s="6">
        <f>IF(OR(A159="",C159=""),"", M159/60)</f>
        <v/>
      </c>
      <c r="O159" s="6">
        <f>IF(OR(A159="",C159=""),"", N159*(IF(XLOOKUP('Job Control'!$B$3, INPUT_JobSettings!$A:$A, INPUT_JobSettings!$F:$F, "")&lt;&gt;"", XLOOKUP('Job Control'!$B$3, INPUT_JobSettings!$A:$A, INPUT_JobSettings!$F:$F, ""), Summary!$B$4)))</f>
        <v/>
      </c>
      <c r="P159" s="6">
        <f>IF(OR(A159="",C159=""),"", 0)</f>
        <v/>
      </c>
      <c r="Q159" s="6">
        <f>IF(OR(A159="",C159=""),"", (O159+P159)*(IF(XLOOKUP('Job Control'!$B$3, INPUT_JobSettings!$A:$A, INPUT_JobSettings!$G:$G, "")&lt;&gt;"", XLOOKUP('Job Control'!$B$3, INPUT_JobSettings!$A:$A, INPUT_JobSettings!$G:$G, ""), Summary!$B$5)))</f>
        <v/>
      </c>
    </row>
    <row r="160">
      <c r="A160" s="8" t="n"/>
      <c r="B160" s="8" t="n"/>
      <c r="C160" s="8" t="n"/>
      <c r="D160" s="8" t="n"/>
      <c r="E160" s="8" t="n"/>
      <c r="F160" s="8" t="n"/>
      <c r="G160" s="8" t="n"/>
      <c r="H160" s="8" t="n"/>
      <c r="I160" s="6">
        <f>IF(OR(A160="",C160=""),"", XLOOKUP(C160, Constants!$A:$A, Constants!$C:$C, ""))</f>
        <v/>
      </c>
      <c r="J160" s="6">
        <f>IF(OR(A160="",C160=""),"", D160 * (IF(G160="", 1, XLOOKUP(G160, Constants!$E$10:$E$30, Constants!$F$10:$F$30, 1))) * XLOOKUP(C160, Constants!$A:$A, Constants!$D:$D, 0))</f>
        <v/>
      </c>
      <c r="K160" s="6">
        <f>IF(OR(A160="",C160=""),"", D160 * F160 * XLOOKUP(C160, Constants!$A:$A, Constants!$E:$E, 0))</f>
        <v/>
      </c>
      <c r="L160" s="6">
        <f>IF(OR(A160="",C160=""),"", IF(E160="None",0, D160 * IF(E160="Full",1,XLOOKUP("PrimerSpotFactor",Constants!$A$20:$A$40,Constants!$B$20:$B$40,0.35)) * XLOOKUP(C160, Constants!$A:$A, Constants!$F:$F, 0)))</f>
        <v/>
      </c>
      <c r="M160" s="6">
        <f>IF(OR(A160="",C160=""),"", J160+K160+L160)</f>
        <v/>
      </c>
      <c r="N160" s="6">
        <f>IF(OR(A160="",C160=""),"", M160/60)</f>
        <v/>
      </c>
      <c r="O160" s="6">
        <f>IF(OR(A160="",C160=""),"", N160*(IF(XLOOKUP('Job Control'!$B$3, INPUT_JobSettings!$A:$A, INPUT_JobSettings!$F:$F, "")&lt;&gt;"", XLOOKUP('Job Control'!$B$3, INPUT_JobSettings!$A:$A, INPUT_JobSettings!$F:$F, ""), Summary!$B$4)))</f>
        <v/>
      </c>
      <c r="P160" s="6">
        <f>IF(OR(A160="",C160=""),"", 0)</f>
        <v/>
      </c>
      <c r="Q160" s="6">
        <f>IF(OR(A160="",C160=""),"", (O160+P160)*(IF(XLOOKUP('Job Control'!$B$3, INPUT_JobSettings!$A:$A, INPUT_JobSettings!$G:$G, "")&lt;&gt;"", XLOOKUP('Job Control'!$B$3, INPUT_JobSettings!$A:$A, INPUT_JobSettings!$G:$G, ""), Summary!$B$5)))</f>
        <v/>
      </c>
    </row>
    <row r="161">
      <c r="A161" s="8" t="n"/>
      <c r="B161" s="8" t="n"/>
      <c r="C161" s="8" t="n"/>
      <c r="D161" s="8" t="n"/>
      <c r="E161" s="8" t="n"/>
      <c r="F161" s="8" t="n"/>
      <c r="G161" s="8" t="n"/>
      <c r="H161" s="8" t="n"/>
      <c r="I161" s="6">
        <f>IF(OR(A161="",C161=""),"", XLOOKUP(C161, Constants!$A:$A, Constants!$C:$C, ""))</f>
        <v/>
      </c>
      <c r="J161" s="6">
        <f>IF(OR(A161="",C161=""),"", D161 * (IF(G161="", 1, XLOOKUP(G161, Constants!$E$10:$E$30, Constants!$F$10:$F$30, 1))) * XLOOKUP(C161, Constants!$A:$A, Constants!$D:$D, 0))</f>
        <v/>
      </c>
      <c r="K161" s="6">
        <f>IF(OR(A161="",C161=""),"", D161 * F161 * XLOOKUP(C161, Constants!$A:$A, Constants!$E:$E, 0))</f>
        <v/>
      </c>
      <c r="L161" s="6">
        <f>IF(OR(A161="",C161=""),"", IF(E161="None",0, D161 * IF(E161="Full",1,XLOOKUP("PrimerSpotFactor",Constants!$A$20:$A$40,Constants!$B$20:$B$40,0.35)) * XLOOKUP(C161, Constants!$A:$A, Constants!$F:$F, 0)))</f>
        <v/>
      </c>
      <c r="M161" s="6">
        <f>IF(OR(A161="",C161=""),"", J161+K161+L161)</f>
        <v/>
      </c>
      <c r="N161" s="6">
        <f>IF(OR(A161="",C161=""),"", M161/60)</f>
        <v/>
      </c>
      <c r="O161" s="6">
        <f>IF(OR(A161="",C161=""),"", N161*(IF(XLOOKUP('Job Control'!$B$3, INPUT_JobSettings!$A:$A, INPUT_JobSettings!$F:$F, "")&lt;&gt;"", XLOOKUP('Job Control'!$B$3, INPUT_JobSettings!$A:$A, INPUT_JobSettings!$F:$F, ""), Summary!$B$4)))</f>
        <v/>
      </c>
      <c r="P161" s="6">
        <f>IF(OR(A161="",C161=""),"", 0)</f>
        <v/>
      </c>
      <c r="Q161" s="6">
        <f>IF(OR(A161="",C161=""),"", (O161+P161)*(IF(XLOOKUP('Job Control'!$B$3, INPUT_JobSettings!$A:$A, INPUT_JobSettings!$G:$G, "")&lt;&gt;"", XLOOKUP('Job Control'!$B$3, INPUT_JobSettings!$A:$A, INPUT_JobSettings!$G:$G, ""), Summary!$B$5)))</f>
        <v/>
      </c>
    </row>
    <row r="162">
      <c r="A162" s="8" t="n"/>
      <c r="B162" s="8" t="n"/>
      <c r="C162" s="8" t="n"/>
      <c r="D162" s="8" t="n"/>
      <c r="E162" s="8" t="n"/>
      <c r="F162" s="8" t="n"/>
      <c r="G162" s="8" t="n"/>
      <c r="H162" s="8" t="n"/>
      <c r="I162" s="6">
        <f>IF(OR(A162="",C162=""),"", XLOOKUP(C162, Constants!$A:$A, Constants!$C:$C, ""))</f>
        <v/>
      </c>
      <c r="J162" s="6">
        <f>IF(OR(A162="",C162=""),"", D162 * (IF(G162="", 1, XLOOKUP(G162, Constants!$E$10:$E$30, Constants!$F$10:$F$30, 1))) * XLOOKUP(C162, Constants!$A:$A, Constants!$D:$D, 0))</f>
        <v/>
      </c>
      <c r="K162" s="6">
        <f>IF(OR(A162="",C162=""),"", D162 * F162 * XLOOKUP(C162, Constants!$A:$A, Constants!$E:$E, 0))</f>
        <v/>
      </c>
      <c r="L162" s="6">
        <f>IF(OR(A162="",C162=""),"", IF(E162="None",0, D162 * IF(E162="Full",1,XLOOKUP("PrimerSpotFactor",Constants!$A$20:$A$40,Constants!$B$20:$B$40,0.35)) * XLOOKUP(C162, Constants!$A:$A, Constants!$F:$F, 0)))</f>
        <v/>
      </c>
      <c r="M162" s="6">
        <f>IF(OR(A162="",C162=""),"", J162+K162+L162)</f>
        <v/>
      </c>
      <c r="N162" s="6">
        <f>IF(OR(A162="",C162=""),"", M162/60)</f>
        <v/>
      </c>
      <c r="O162" s="6">
        <f>IF(OR(A162="",C162=""),"", N162*(IF(XLOOKUP('Job Control'!$B$3, INPUT_JobSettings!$A:$A, INPUT_JobSettings!$F:$F, "")&lt;&gt;"", XLOOKUP('Job Control'!$B$3, INPUT_JobSettings!$A:$A, INPUT_JobSettings!$F:$F, ""), Summary!$B$4)))</f>
        <v/>
      </c>
      <c r="P162" s="6">
        <f>IF(OR(A162="",C162=""),"", 0)</f>
        <v/>
      </c>
      <c r="Q162" s="6">
        <f>IF(OR(A162="",C162=""),"", (O162+P162)*(IF(XLOOKUP('Job Control'!$B$3, INPUT_JobSettings!$A:$A, INPUT_JobSettings!$G:$G, "")&lt;&gt;"", XLOOKUP('Job Control'!$B$3, INPUT_JobSettings!$A:$A, INPUT_JobSettings!$G:$G, ""), Summary!$B$5)))</f>
        <v/>
      </c>
    </row>
    <row r="163">
      <c r="A163" s="8" t="n"/>
      <c r="B163" s="8" t="n"/>
      <c r="C163" s="8" t="n"/>
      <c r="D163" s="8" t="n"/>
      <c r="E163" s="8" t="n"/>
      <c r="F163" s="8" t="n"/>
      <c r="G163" s="8" t="n"/>
      <c r="H163" s="8" t="n"/>
      <c r="I163" s="6">
        <f>IF(OR(A163="",C163=""),"", XLOOKUP(C163, Constants!$A:$A, Constants!$C:$C, ""))</f>
        <v/>
      </c>
      <c r="J163" s="6">
        <f>IF(OR(A163="",C163=""),"", D163 * (IF(G163="", 1, XLOOKUP(G163, Constants!$E$10:$E$30, Constants!$F$10:$F$30, 1))) * XLOOKUP(C163, Constants!$A:$A, Constants!$D:$D, 0))</f>
        <v/>
      </c>
      <c r="K163" s="6">
        <f>IF(OR(A163="",C163=""),"", D163 * F163 * XLOOKUP(C163, Constants!$A:$A, Constants!$E:$E, 0))</f>
        <v/>
      </c>
      <c r="L163" s="6">
        <f>IF(OR(A163="",C163=""),"", IF(E163="None",0, D163 * IF(E163="Full",1,XLOOKUP("PrimerSpotFactor",Constants!$A$20:$A$40,Constants!$B$20:$B$40,0.35)) * XLOOKUP(C163, Constants!$A:$A, Constants!$F:$F, 0)))</f>
        <v/>
      </c>
      <c r="M163" s="6">
        <f>IF(OR(A163="",C163=""),"", J163+K163+L163)</f>
        <v/>
      </c>
      <c r="N163" s="6">
        <f>IF(OR(A163="",C163=""),"", M163/60)</f>
        <v/>
      </c>
      <c r="O163" s="6">
        <f>IF(OR(A163="",C163=""),"", N163*(IF(XLOOKUP('Job Control'!$B$3, INPUT_JobSettings!$A:$A, INPUT_JobSettings!$F:$F, "")&lt;&gt;"", XLOOKUP('Job Control'!$B$3, INPUT_JobSettings!$A:$A, INPUT_JobSettings!$F:$F, ""), Summary!$B$4)))</f>
        <v/>
      </c>
      <c r="P163" s="6">
        <f>IF(OR(A163="",C163=""),"", 0)</f>
        <v/>
      </c>
      <c r="Q163" s="6">
        <f>IF(OR(A163="",C163=""),"", (O163+P163)*(IF(XLOOKUP('Job Control'!$B$3, INPUT_JobSettings!$A:$A, INPUT_JobSettings!$G:$G, "")&lt;&gt;"", XLOOKUP('Job Control'!$B$3, INPUT_JobSettings!$A:$A, INPUT_JobSettings!$G:$G, ""), Summary!$B$5)))</f>
        <v/>
      </c>
    </row>
    <row r="164">
      <c r="A164" s="8" t="n"/>
      <c r="B164" s="8" t="n"/>
      <c r="C164" s="8" t="n"/>
      <c r="D164" s="8" t="n"/>
      <c r="E164" s="8" t="n"/>
      <c r="F164" s="8" t="n"/>
      <c r="G164" s="8" t="n"/>
      <c r="H164" s="8" t="n"/>
      <c r="I164" s="6">
        <f>IF(OR(A164="",C164=""),"", XLOOKUP(C164, Constants!$A:$A, Constants!$C:$C, ""))</f>
        <v/>
      </c>
      <c r="J164" s="6">
        <f>IF(OR(A164="",C164=""),"", D164 * (IF(G164="", 1, XLOOKUP(G164, Constants!$E$10:$E$30, Constants!$F$10:$F$30, 1))) * XLOOKUP(C164, Constants!$A:$A, Constants!$D:$D, 0))</f>
        <v/>
      </c>
      <c r="K164" s="6">
        <f>IF(OR(A164="",C164=""),"", D164 * F164 * XLOOKUP(C164, Constants!$A:$A, Constants!$E:$E, 0))</f>
        <v/>
      </c>
      <c r="L164" s="6">
        <f>IF(OR(A164="",C164=""),"", IF(E164="None",0, D164 * IF(E164="Full",1,XLOOKUP("PrimerSpotFactor",Constants!$A$20:$A$40,Constants!$B$20:$B$40,0.35)) * XLOOKUP(C164, Constants!$A:$A, Constants!$F:$F, 0)))</f>
        <v/>
      </c>
      <c r="M164" s="6">
        <f>IF(OR(A164="",C164=""),"", J164+K164+L164)</f>
        <v/>
      </c>
      <c r="N164" s="6">
        <f>IF(OR(A164="",C164=""),"", M164/60)</f>
        <v/>
      </c>
      <c r="O164" s="6">
        <f>IF(OR(A164="",C164=""),"", N164*(IF(XLOOKUP('Job Control'!$B$3, INPUT_JobSettings!$A:$A, INPUT_JobSettings!$F:$F, "")&lt;&gt;"", XLOOKUP('Job Control'!$B$3, INPUT_JobSettings!$A:$A, INPUT_JobSettings!$F:$F, ""), Summary!$B$4)))</f>
        <v/>
      </c>
      <c r="P164" s="6">
        <f>IF(OR(A164="",C164=""),"", 0)</f>
        <v/>
      </c>
      <c r="Q164" s="6">
        <f>IF(OR(A164="",C164=""),"", (O164+P164)*(IF(XLOOKUP('Job Control'!$B$3, INPUT_JobSettings!$A:$A, INPUT_JobSettings!$G:$G, "")&lt;&gt;"", XLOOKUP('Job Control'!$B$3, INPUT_JobSettings!$A:$A, INPUT_JobSettings!$G:$G, ""), Summary!$B$5)))</f>
        <v/>
      </c>
    </row>
    <row r="165">
      <c r="A165" s="8" t="n"/>
      <c r="B165" s="8" t="n"/>
      <c r="C165" s="8" t="n"/>
      <c r="D165" s="8" t="n"/>
      <c r="E165" s="8" t="n"/>
      <c r="F165" s="8" t="n"/>
      <c r="G165" s="8" t="n"/>
      <c r="H165" s="8" t="n"/>
      <c r="I165" s="6">
        <f>IF(OR(A165="",C165=""),"", XLOOKUP(C165, Constants!$A:$A, Constants!$C:$C, ""))</f>
        <v/>
      </c>
      <c r="J165" s="6">
        <f>IF(OR(A165="",C165=""),"", D165 * (IF(G165="", 1, XLOOKUP(G165, Constants!$E$10:$E$30, Constants!$F$10:$F$30, 1))) * XLOOKUP(C165, Constants!$A:$A, Constants!$D:$D, 0))</f>
        <v/>
      </c>
      <c r="K165" s="6">
        <f>IF(OR(A165="",C165=""),"", D165 * F165 * XLOOKUP(C165, Constants!$A:$A, Constants!$E:$E, 0))</f>
        <v/>
      </c>
      <c r="L165" s="6">
        <f>IF(OR(A165="",C165=""),"", IF(E165="None",0, D165 * IF(E165="Full",1,XLOOKUP("PrimerSpotFactor",Constants!$A$20:$A$40,Constants!$B$20:$B$40,0.35)) * XLOOKUP(C165, Constants!$A:$A, Constants!$F:$F, 0)))</f>
        <v/>
      </c>
      <c r="M165" s="6">
        <f>IF(OR(A165="",C165=""),"", J165+K165+L165)</f>
        <v/>
      </c>
      <c r="N165" s="6">
        <f>IF(OR(A165="",C165=""),"", M165/60)</f>
        <v/>
      </c>
      <c r="O165" s="6">
        <f>IF(OR(A165="",C165=""),"", N165*(IF(XLOOKUP('Job Control'!$B$3, INPUT_JobSettings!$A:$A, INPUT_JobSettings!$F:$F, "")&lt;&gt;"", XLOOKUP('Job Control'!$B$3, INPUT_JobSettings!$A:$A, INPUT_JobSettings!$F:$F, ""), Summary!$B$4)))</f>
        <v/>
      </c>
      <c r="P165" s="6">
        <f>IF(OR(A165="",C165=""),"", 0)</f>
        <v/>
      </c>
      <c r="Q165" s="6">
        <f>IF(OR(A165="",C165=""),"", (O165+P165)*(IF(XLOOKUP('Job Control'!$B$3, INPUT_JobSettings!$A:$A, INPUT_JobSettings!$G:$G, "")&lt;&gt;"", XLOOKUP('Job Control'!$B$3, INPUT_JobSettings!$A:$A, INPUT_JobSettings!$G:$G, ""), Summary!$B$5)))</f>
        <v/>
      </c>
    </row>
    <row r="166">
      <c r="A166" s="8" t="n"/>
      <c r="B166" s="8" t="n"/>
      <c r="C166" s="8" t="n"/>
      <c r="D166" s="8" t="n"/>
      <c r="E166" s="8" t="n"/>
      <c r="F166" s="8" t="n"/>
      <c r="G166" s="8" t="n"/>
      <c r="H166" s="8" t="n"/>
      <c r="I166" s="6">
        <f>IF(OR(A166="",C166=""),"", XLOOKUP(C166, Constants!$A:$A, Constants!$C:$C, ""))</f>
        <v/>
      </c>
      <c r="J166" s="6">
        <f>IF(OR(A166="",C166=""),"", D166 * (IF(G166="", 1, XLOOKUP(G166, Constants!$E$10:$E$30, Constants!$F$10:$F$30, 1))) * XLOOKUP(C166, Constants!$A:$A, Constants!$D:$D, 0))</f>
        <v/>
      </c>
      <c r="K166" s="6">
        <f>IF(OR(A166="",C166=""),"", D166 * F166 * XLOOKUP(C166, Constants!$A:$A, Constants!$E:$E, 0))</f>
        <v/>
      </c>
      <c r="L166" s="6">
        <f>IF(OR(A166="",C166=""),"", IF(E166="None",0, D166 * IF(E166="Full",1,XLOOKUP("PrimerSpotFactor",Constants!$A$20:$A$40,Constants!$B$20:$B$40,0.35)) * XLOOKUP(C166, Constants!$A:$A, Constants!$F:$F, 0)))</f>
        <v/>
      </c>
      <c r="M166" s="6">
        <f>IF(OR(A166="",C166=""),"", J166+K166+L166)</f>
        <v/>
      </c>
      <c r="N166" s="6">
        <f>IF(OR(A166="",C166=""),"", M166/60)</f>
        <v/>
      </c>
      <c r="O166" s="6">
        <f>IF(OR(A166="",C166=""),"", N166*(IF(XLOOKUP('Job Control'!$B$3, INPUT_JobSettings!$A:$A, INPUT_JobSettings!$F:$F, "")&lt;&gt;"", XLOOKUP('Job Control'!$B$3, INPUT_JobSettings!$A:$A, INPUT_JobSettings!$F:$F, ""), Summary!$B$4)))</f>
        <v/>
      </c>
      <c r="P166" s="6">
        <f>IF(OR(A166="",C166=""),"", 0)</f>
        <v/>
      </c>
      <c r="Q166" s="6">
        <f>IF(OR(A166="",C166=""),"", (O166+P166)*(IF(XLOOKUP('Job Control'!$B$3, INPUT_JobSettings!$A:$A, INPUT_JobSettings!$G:$G, "")&lt;&gt;"", XLOOKUP('Job Control'!$B$3, INPUT_JobSettings!$A:$A, INPUT_JobSettings!$G:$G, ""), Summary!$B$5)))</f>
        <v/>
      </c>
    </row>
    <row r="167">
      <c r="A167" s="8" t="n"/>
      <c r="B167" s="8" t="n"/>
      <c r="C167" s="8" t="n"/>
      <c r="D167" s="8" t="n"/>
      <c r="E167" s="8" t="n"/>
      <c r="F167" s="8" t="n"/>
      <c r="G167" s="8" t="n"/>
      <c r="H167" s="8" t="n"/>
      <c r="I167" s="6">
        <f>IF(OR(A167="",C167=""),"", XLOOKUP(C167, Constants!$A:$A, Constants!$C:$C, ""))</f>
        <v/>
      </c>
      <c r="J167" s="6">
        <f>IF(OR(A167="",C167=""),"", D167 * (IF(G167="", 1, XLOOKUP(G167, Constants!$E$10:$E$30, Constants!$F$10:$F$30, 1))) * XLOOKUP(C167, Constants!$A:$A, Constants!$D:$D, 0))</f>
        <v/>
      </c>
      <c r="K167" s="6">
        <f>IF(OR(A167="",C167=""),"", D167 * F167 * XLOOKUP(C167, Constants!$A:$A, Constants!$E:$E, 0))</f>
        <v/>
      </c>
      <c r="L167" s="6">
        <f>IF(OR(A167="",C167=""),"", IF(E167="None",0, D167 * IF(E167="Full",1,XLOOKUP("PrimerSpotFactor",Constants!$A$20:$A$40,Constants!$B$20:$B$40,0.35)) * XLOOKUP(C167, Constants!$A:$A, Constants!$F:$F, 0)))</f>
        <v/>
      </c>
      <c r="M167" s="6">
        <f>IF(OR(A167="",C167=""),"", J167+K167+L167)</f>
        <v/>
      </c>
      <c r="N167" s="6">
        <f>IF(OR(A167="",C167=""),"", M167/60)</f>
        <v/>
      </c>
      <c r="O167" s="6">
        <f>IF(OR(A167="",C167=""),"", N167*(IF(XLOOKUP('Job Control'!$B$3, INPUT_JobSettings!$A:$A, INPUT_JobSettings!$F:$F, "")&lt;&gt;"", XLOOKUP('Job Control'!$B$3, INPUT_JobSettings!$A:$A, INPUT_JobSettings!$F:$F, ""), Summary!$B$4)))</f>
        <v/>
      </c>
      <c r="P167" s="6">
        <f>IF(OR(A167="",C167=""),"", 0)</f>
        <v/>
      </c>
      <c r="Q167" s="6">
        <f>IF(OR(A167="",C167=""),"", (O167+P167)*(IF(XLOOKUP('Job Control'!$B$3, INPUT_JobSettings!$A:$A, INPUT_JobSettings!$G:$G, "")&lt;&gt;"", XLOOKUP('Job Control'!$B$3, INPUT_JobSettings!$A:$A, INPUT_JobSettings!$G:$G, ""), Summary!$B$5)))</f>
        <v/>
      </c>
    </row>
    <row r="168">
      <c r="A168" s="8" t="n"/>
      <c r="B168" s="8" t="n"/>
      <c r="C168" s="8" t="n"/>
      <c r="D168" s="8" t="n"/>
      <c r="E168" s="8" t="n"/>
      <c r="F168" s="8" t="n"/>
      <c r="G168" s="8" t="n"/>
      <c r="H168" s="8" t="n"/>
      <c r="I168" s="6">
        <f>IF(OR(A168="",C168=""),"", XLOOKUP(C168, Constants!$A:$A, Constants!$C:$C, ""))</f>
        <v/>
      </c>
      <c r="J168" s="6">
        <f>IF(OR(A168="",C168=""),"", D168 * (IF(G168="", 1, XLOOKUP(G168, Constants!$E$10:$E$30, Constants!$F$10:$F$30, 1))) * XLOOKUP(C168, Constants!$A:$A, Constants!$D:$D, 0))</f>
        <v/>
      </c>
      <c r="K168" s="6">
        <f>IF(OR(A168="",C168=""),"", D168 * F168 * XLOOKUP(C168, Constants!$A:$A, Constants!$E:$E, 0))</f>
        <v/>
      </c>
      <c r="L168" s="6">
        <f>IF(OR(A168="",C168=""),"", IF(E168="None",0, D168 * IF(E168="Full",1,XLOOKUP("PrimerSpotFactor",Constants!$A$20:$A$40,Constants!$B$20:$B$40,0.35)) * XLOOKUP(C168, Constants!$A:$A, Constants!$F:$F, 0)))</f>
        <v/>
      </c>
      <c r="M168" s="6">
        <f>IF(OR(A168="",C168=""),"", J168+K168+L168)</f>
        <v/>
      </c>
      <c r="N168" s="6">
        <f>IF(OR(A168="",C168=""),"", M168/60)</f>
        <v/>
      </c>
      <c r="O168" s="6">
        <f>IF(OR(A168="",C168=""),"", N168*(IF(XLOOKUP('Job Control'!$B$3, INPUT_JobSettings!$A:$A, INPUT_JobSettings!$F:$F, "")&lt;&gt;"", XLOOKUP('Job Control'!$B$3, INPUT_JobSettings!$A:$A, INPUT_JobSettings!$F:$F, ""), Summary!$B$4)))</f>
        <v/>
      </c>
      <c r="P168" s="6">
        <f>IF(OR(A168="",C168=""),"", 0)</f>
        <v/>
      </c>
      <c r="Q168" s="6">
        <f>IF(OR(A168="",C168=""),"", (O168+P168)*(IF(XLOOKUP('Job Control'!$B$3, INPUT_JobSettings!$A:$A, INPUT_JobSettings!$G:$G, "")&lt;&gt;"", XLOOKUP('Job Control'!$B$3, INPUT_JobSettings!$A:$A, INPUT_JobSettings!$G:$G, ""), Summary!$B$5)))</f>
        <v/>
      </c>
    </row>
    <row r="169">
      <c r="A169" s="8" t="n"/>
      <c r="B169" s="8" t="n"/>
      <c r="C169" s="8" t="n"/>
      <c r="D169" s="8" t="n"/>
      <c r="E169" s="8" t="n"/>
      <c r="F169" s="8" t="n"/>
      <c r="G169" s="8" t="n"/>
      <c r="H169" s="8" t="n"/>
      <c r="I169" s="6">
        <f>IF(OR(A169="",C169=""),"", XLOOKUP(C169, Constants!$A:$A, Constants!$C:$C, ""))</f>
        <v/>
      </c>
      <c r="J169" s="6">
        <f>IF(OR(A169="",C169=""),"", D169 * (IF(G169="", 1, XLOOKUP(G169, Constants!$E$10:$E$30, Constants!$F$10:$F$30, 1))) * XLOOKUP(C169, Constants!$A:$A, Constants!$D:$D, 0))</f>
        <v/>
      </c>
      <c r="K169" s="6">
        <f>IF(OR(A169="",C169=""),"", D169 * F169 * XLOOKUP(C169, Constants!$A:$A, Constants!$E:$E, 0))</f>
        <v/>
      </c>
      <c r="L169" s="6">
        <f>IF(OR(A169="",C169=""),"", IF(E169="None",0, D169 * IF(E169="Full",1,XLOOKUP("PrimerSpotFactor",Constants!$A$20:$A$40,Constants!$B$20:$B$40,0.35)) * XLOOKUP(C169, Constants!$A:$A, Constants!$F:$F, 0)))</f>
        <v/>
      </c>
      <c r="M169" s="6">
        <f>IF(OR(A169="",C169=""),"", J169+K169+L169)</f>
        <v/>
      </c>
      <c r="N169" s="6">
        <f>IF(OR(A169="",C169=""),"", M169/60)</f>
        <v/>
      </c>
      <c r="O169" s="6">
        <f>IF(OR(A169="",C169=""),"", N169*(IF(XLOOKUP('Job Control'!$B$3, INPUT_JobSettings!$A:$A, INPUT_JobSettings!$F:$F, "")&lt;&gt;"", XLOOKUP('Job Control'!$B$3, INPUT_JobSettings!$A:$A, INPUT_JobSettings!$F:$F, ""), Summary!$B$4)))</f>
        <v/>
      </c>
      <c r="P169" s="6">
        <f>IF(OR(A169="",C169=""),"", 0)</f>
        <v/>
      </c>
      <c r="Q169" s="6">
        <f>IF(OR(A169="",C169=""),"", (O169+P169)*(IF(XLOOKUP('Job Control'!$B$3, INPUT_JobSettings!$A:$A, INPUT_JobSettings!$G:$G, "")&lt;&gt;"", XLOOKUP('Job Control'!$B$3, INPUT_JobSettings!$A:$A, INPUT_JobSettings!$G:$G, ""), Summary!$B$5)))</f>
        <v/>
      </c>
    </row>
    <row r="170">
      <c r="A170" s="8" t="n"/>
      <c r="B170" s="8" t="n"/>
      <c r="C170" s="8" t="n"/>
      <c r="D170" s="8" t="n"/>
      <c r="E170" s="8" t="n"/>
      <c r="F170" s="8" t="n"/>
      <c r="G170" s="8" t="n"/>
      <c r="H170" s="8" t="n"/>
      <c r="I170" s="6">
        <f>IF(OR(A170="",C170=""),"", XLOOKUP(C170, Constants!$A:$A, Constants!$C:$C, ""))</f>
        <v/>
      </c>
      <c r="J170" s="6">
        <f>IF(OR(A170="",C170=""),"", D170 * (IF(G170="", 1, XLOOKUP(G170, Constants!$E$10:$E$30, Constants!$F$10:$F$30, 1))) * XLOOKUP(C170, Constants!$A:$A, Constants!$D:$D, 0))</f>
        <v/>
      </c>
      <c r="K170" s="6">
        <f>IF(OR(A170="",C170=""),"", D170 * F170 * XLOOKUP(C170, Constants!$A:$A, Constants!$E:$E, 0))</f>
        <v/>
      </c>
      <c r="L170" s="6">
        <f>IF(OR(A170="",C170=""),"", IF(E170="None",0, D170 * IF(E170="Full",1,XLOOKUP("PrimerSpotFactor",Constants!$A$20:$A$40,Constants!$B$20:$B$40,0.35)) * XLOOKUP(C170, Constants!$A:$A, Constants!$F:$F, 0)))</f>
        <v/>
      </c>
      <c r="M170" s="6">
        <f>IF(OR(A170="",C170=""),"", J170+K170+L170)</f>
        <v/>
      </c>
      <c r="N170" s="6">
        <f>IF(OR(A170="",C170=""),"", M170/60)</f>
        <v/>
      </c>
      <c r="O170" s="6">
        <f>IF(OR(A170="",C170=""),"", N170*(IF(XLOOKUP('Job Control'!$B$3, INPUT_JobSettings!$A:$A, INPUT_JobSettings!$F:$F, "")&lt;&gt;"", XLOOKUP('Job Control'!$B$3, INPUT_JobSettings!$A:$A, INPUT_JobSettings!$F:$F, ""), Summary!$B$4)))</f>
        <v/>
      </c>
      <c r="P170" s="6">
        <f>IF(OR(A170="",C170=""),"", 0)</f>
        <v/>
      </c>
      <c r="Q170" s="6">
        <f>IF(OR(A170="",C170=""),"", (O170+P170)*(IF(XLOOKUP('Job Control'!$B$3, INPUT_JobSettings!$A:$A, INPUT_JobSettings!$G:$G, "")&lt;&gt;"", XLOOKUP('Job Control'!$B$3, INPUT_JobSettings!$A:$A, INPUT_JobSettings!$G:$G, ""), Summary!$B$5)))</f>
        <v/>
      </c>
    </row>
    <row r="171">
      <c r="A171" s="8" t="n"/>
      <c r="B171" s="8" t="n"/>
      <c r="C171" s="8" t="n"/>
      <c r="D171" s="8" t="n"/>
      <c r="E171" s="8" t="n"/>
      <c r="F171" s="8" t="n"/>
      <c r="G171" s="8" t="n"/>
      <c r="H171" s="8" t="n"/>
      <c r="I171" s="6">
        <f>IF(OR(A171="",C171=""),"", XLOOKUP(C171, Constants!$A:$A, Constants!$C:$C, ""))</f>
        <v/>
      </c>
      <c r="J171" s="6">
        <f>IF(OR(A171="",C171=""),"", D171 * (IF(G171="", 1, XLOOKUP(G171, Constants!$E$10:$E$30, Constants!$F$10:$F$30, 1))) * XLOOKUP(C171, Constants!$A:$A, Constants!$D:$D, 0))</f>
        <v/>
      </c>
      <c r="K171" s="6">
        <f>IF(OR(A171="",C171=""),"", D171 * F171 * XLOOKUP(C171, Constants!$A:$A, Constants!$E:$E, 0))</f>
        <v/>
      </c>
      <c r="L171" s="6">
        <f>IF(OR(A171="",C171=""),"", IF(E171="None",0, D171 * IF(E171="Full",1,XLOOKUP("PrimerSpotFactor",Constants!$A$20:$A$40,Constants!$B$20:$B$40,0.35)) * XLOOKUP(C171, Constants!$A:$A, Constants!$F:$F, 0)))</f>
        <v/>
      </c>
      <c r="M171" s="6">
        <f>IF(OR(A171="",C171=""),"", J171+K171+L171)</f>
        <v/>
      </c>
      <c r="N171" s="6">
        <f>IF(OR(A171="",C171=""),"", M171/60)</f>
        <v/>
      </c>
      <c r="O171" s="6">
        <f>IF(OR(A171="",C171=""),"", N171*(IF(XLOOKUP('Job Control'!$B$3, INPUT_JobSettings!$A:$A, INPUT_JobSettings!$F:$F, "")&lt;&gt;"", XLOOKUP('Job Control'!$B$3, INPUT_JobSettings!$A:$A, INPUT_JobSettings!$F:$F, ""), Summary!$B$4)))</f>
        <v/>
      </c>
      <c r="P171" s="6">
        <f>IF(OR(A171="",C171=""),"", 0)</f>
        <v/>
      </c>
      <c r="Q171" s="6">
        <f>IF(OR(A171="",C171=""),"", (O171+P171)*(IF(XLOOKUP('Job Control'!$B$3, INPUT_JobSettings!$A:$A, INPUT_JobSettings!$G:$G, "")&lt;&gt;"", XLOOKUP('Job Control'!$B$3, INPUT_JobSettings!$A:$A, INPUT_JobSettings!$G:$G, ""), Summary!$B$5)))</f>
        <v/>
      </c>
    </row>
    <row r="172">
      <c r="A172" s="8" t="n"/>
      <c r="B172" s="8" t="n"/>
      <c r="C172" s="8" t="n"/>
      <c r="D172" s="8" t="n"/>
      <c r="E172" s="8" t="n"/>
      <c r="F172" s="8" t="n"/>
      <c r="G172" s="8" t="n"/>
      <c r="H172" s="8" t="n"/>
      <c r="I172" s="6">
        <f>IF(OR(A172="",C172=""),"", XLOOKUP(C172, Constants!$A:$A, Constants!$C:$C, ""))</f>
        <v/>
      </c>
      <c r="J172" s="6">
        <f>IF(OR(A172="",C172=""),"", D172 * (IF(G172="", 1, XLOOKUP(G172, Constants!$E$10:$E$30, Constants!$F$10:$F$30, 1))) * XLOOKUP(C172, Constants!$A:$A, Constants!$D:$D, 0))</f>
        <v/>
      </c>
      <c r="K172" s="6">
        <f>IF(OR(A172="",C172=""),"", D172 * F172 * XLOOKUP(C172, Constants!$A:$A, Constants!$E:$E, 0))</f>
        <v/>
      </c>
      <c r="L172" s="6">
        <f>IF(OR(A172="",C172=""),"", IF(E172="None",0, D172 * IF(E172="Full",1,XLOOKUP("PrimerSpotFactor",Constants!$A$20:$A$40,Constants!$B$20:$B$40,0.35)) * XLOOKUP(C172, Constants!$A:$A, Constants!$F:$F, 0)))</f>
        <v/>
      </c>
      <c r="M172" s="6">
        <f>IF(OR(A172="",C172=""),"", J172+K172+L172)</f>
        <v/>
      </c>
      <c r="N172" s="6">
        <f>IF(OR(A172="",C172=""),"", M172/60)</f>
        <v/>
      </c>
      <c r="O172" s="6">
        <f>IF(OR(A172="",C172=""),"", N172*(IF(XLOOKUP('Job Control'!$B$3, INPUT_JobSettings!$A:$A, INPUT_JobSettings!$F:$F, "")&lt;&gt;"", XLOOKUP('Job Control'!$B$3, INPUT_JobSettings!$A:$A, INPUT_JobSettings!$F:$F, ""), Summary!$B$4)))</f>
        <v/>
      </c>
      <c r="P172" s="6">
        <f>IF(OR(A172="",C172=""),"", 0)</f>
        <v/>
      </c>
      <c r="Q172" s="6">
        <f>IF(OR(A172="",C172=""),"", (O172+P172)*(IF(XLOOKUP('Job Control'!$B$3, INPUT_JobSettings!$A:$A, INPUT_JobSettings!$G:$G, "")&lt;&gt;"", XLOOKUP('Job Control'!$B$3, INPUT_JobSettings!$A:$A, INPUT_JobSettings!$G:$G, ""), Summary!$B$5)))</f>
        <v/>
      </c>
    </row>
    <row r="173">
      <c r="A173" s="8" t="n"/>
      <c r="B173" s="8" t="n"/>
      <c r="C173" s="8" t="n"/>
      <c r="D173" s="8" t="n"/>
      <c r="E173" s="8" t="n"/>
      <c r="F173" s="8" t="n"/>
      <c r="G173" s="8" t="n"/>
      <c r="H173" s="8" t="n"/>
      <c r="I173" s="6">
        <f>IF(OR(A173="",C173=""),"", XLOOKUP(C173, Constants!$A:$A, Constants!$C:$C, ""))</f>
        <v/>
      </c>
      <c r="J173" s="6">
        <f>IF(OR(A173="",C173=""),"", D173 * (IF(G173="", 1, XLOOKUP(G173, Constants!$E$10:$E$30, Constants!$F$10:$F$30, 1))) * XLOOKUP(C173, Constants!$A:$A, Constants!$D:$D, 0))</f>
        <v/>
      </c>
      <c r="K173" s="6">
        <f>IF(OR(A173="",C173=""),"", D173 * F173 * XLOOKUP(C173, Constants!$A:$A, Constants!$E:$E, 0))</f>
        <v/>
      </c>
      <c r="L173" s="6">
        <f>IF(OR(A173="",C173=""),"", IF(E173="None",0, D173 * IF(E173="Full",1,XLOOKUP("PrimerSpotFactor",Constants!$A$20:$A$40,Constants!$B$20:$B$40,0.35)) * XLOOKUP(C173, Constants!$A:$A, Constants!$F:$F, 0)))</f>
        <v/>
      </c>
      <c r="M173" s="6">
        <f>IF(OR(A173="",C173=""),"", J173+K173+L173)</f>
        <v/>
      </c>
      <c r="N173" s="6">
        <f>IF(OR(A173="",C173=""),"", M173/60)</f>
        <v/>
      </c>
      <c r="O173" s="6">
        <f>IF(OR(A173="",C173=""),"", N173*(IF(XLOOKUP('Job Control'!$B$3, INPUT_JobSettings!$A:$A, INPUT_JobSettings!$F:$F, "")&lt;&gt;"", XLOOKUP('Job Control'!$B$3, INPUT_JobSettings!$A:$A, INPUT_JobSettings!$F:$F, ""), Summary!$B$4)))</f>
        <v/>
      </c>
      <c r="P173" s="6">
        <f>IF(OR(A173="",C173=""),"", 0)</f>
        <v/>
      </c>
      <c r="Q173" s="6">
        <f>IF(OR(A173="",C173=""),"", (O173+P173)*(IF(XLOOKUP('Job Control'!$B$3, INPUT_JobSettings!$A:$A, INPUT_JobSettings!$G:$G, "")&lt;&gt;"", XLOOKUP('Job Control'!$B$3, INPUT_JobSettings!$A:$A, INPUT_JobSettings!$G:$G, ""), Summary!$B$5)))</f>
        <v/>
      </c>
    </row>
    <row r="174">
      <c r="A174" s="8" t="n"/>
      <c r="B174" s="8" t="n"/>
      <c r="C174" s="8" t="n"/>
      <c r="D174" s="8" t="n"/>
      <c r="E174" s="8" t="n"/>
      <c r="F174" s="8" t="n"/>
      <c r="G174" s="8" t="n"/>
      <c r="H174" s="8" t="n"/>
      <c r="I174" s="6">
        <f>IF(OR(A174="",C174=""),"", XLOOKUP(C174, Constants!$A:$A, Constants!$C:$C, ""))</f>
        <v/>
      </c>
      <c r="J174" s="6">
        <f>IF(OR(A174="",C174=""),"", D174 * (IF(G174="", 1, XLOOKUP(G174, Constants!$E$10:$E$30, Constants!$F$10:$F$30, 1))) * XLOOKUP(C174, Constants!$A:$A, Constants!$D:$D, 0))</f>
        <v/>
      </c>
      <c r="K174" s="6">
        <f>IF(OR(A174="",C174=""),"", D174 * F174 * XLOOKUP(C174, Constants!$A:$A, Constants!$E:$E, 0))</f>
        <v/>
      </c>
      <c r="L174" s="6">
        <f>IF(OR(A174="",C174=""),"", IF(E174="None",0, D174 * IF(E174="Full",1,XLOOKUP("PrimerSpotFactor",Constants!$A$20:$A$40,Constants!$B$20:$B$40,0.35)) * XLOOKUP(C174, Constants!$A:$A, Constants!$F:$F, 0)))</f>
        <v/>
      </c>
      <c r="M174" s="6">
        <f>IF(OR(A174="",C174=""),"", J174+K174+L174)</f>
        <v/>
      </c>
      <c r="N174" s="6">
        <f>IF(OR(A174="",C174=""),"", M174/60)</f>
        <v/>
      </c>
      <c r="O174" s="6">
        <f>IF(OR(A174="",C174=""),"", N174*(IF(XLOOKUP('Job Control'!$B$3, INPUT_JobSettings!$A:$A, INPUT_JobSettings!$F:$F, "")&lt;&gt;"", XLOOKUP('Job Control'!$B$3, INPUT_JobSettings!$A:$A, INPUT_JobSettings!$F:$F, ""), Summary!$B$4)))</f>
        <v/>
      </c>
      <c r="P174" s="6">
        <f>IF(OR(A174="",C174=""),"", 0)</f>
        <v/>
      </c>
      <c r="Q174" s="6">
        <f>IF(OR(A174="",C174=""),"", (O174+P174)*(IF(XLOOKUP('Job Control'!$B$3, INPUT_JobSettings!$A:$A, INPUT_JobSettings!$G:$G, "")&lt;&gt;"", XLOOKUP('Job Control'!$B$3, INPUT_JobSettings!$A:$A, INPUT_JobSettings!$G:$G, ""), Summary!$B$5)))</f>
        <v/>
      </c>
    </row>
    <row r="175">
      <c r="A175" s="8" t="n"/>
      <c r="B175" s="8" t="n"/>
      <c r="C175" s="8" t="n"/>
      <c r="D175" s="8" t="n"/>
      <c r="E175" s="8" t="n"/>
      <c r="F175" s="8" t="n"/>
      <c r="G175" s="8" t="n"/>
      <c r="H175" s="8" t="n"/>
      <c r="I175" s="6">
        <f>IF(OR(A175="",C175=""),"", XLOOKUP(C175, Constants!$A:$A, Constants!$C:$C, ""))</f>
        <v/>
      </c>
      <c r="J175" s="6">
        <f>IF(OR(A175="",C175=""),"", D175 * (IF(G175="", 1, XLOOKUP(G175, Constants!$E$10:$E$30, Constants!$F$10:$F$30, 1))) * XLOOKUP(C175, Constants!$A:$A, Constants!$D:$D, 0))</f>
        <v/>
      </c>
      <c r="K175" s="6">
        <f>IF(OR(A175="",C175=""),"", D175 * F175 * XLOOKUP(C175, Constants!$A:$A, Constants!$E:$E, 0))</f>
        <v/>
      </c>
      <c r="L175" s="6">
        <f>IF(OR(A175="",C175=""),"", IF(E175="None",0, D175 * IF(E175="Full",1,XLOOKUP("PrimerSpotFactor",Constants!$A$20:$A$40,Constants!$B$20:$B$40,0.35)) * XLOOKUP(C175, Constants!$A:$A, Constants!$F:$F, 0)))</f>
        <v/>
      </c>
      <c r="M175" s="6">
        <f>IF(OR(A175="",C175=""),"", J175+K175+L175)</f>
        <v/>
      </c>
      <c r="N175" s="6">
        <f>IF(OR(A175="",C175=""),"", M175/60)</f>
        <v/>
      </c>
      <c r="O175" s="6">
        <f>IF(OR(A175="",C175=""),"", N175*(IF(XLOOKUP('Job Control'!$B$3, INPUT_JobSettings!$A:$A, INPUT_JobSettings!$F:$F, "")&lt;&gt;"", XLOOKUP('Job Control'!$B$3, INPUT_JobSettings!$A:$A, INPUT_JobSettings!$F:$F, ""), Summary!$B$4)))</f>
        <v/>
      </c>
      <c r="P175" s="6">
        <f>IF(OR(A175="",C175=""),"", 0)</f>
        <v/>
      </c>
      <c r="Q175" s="6">
        <f>IF(OR(A175="",C175=""),"", (O175+P175)*(IF(XLOOKUP('Job Control'!$B$3, INPUT_JobSettings!$A:$A, INPUT_JobSettings!$G:$G, "")&lt;&gt;"", XLOOKUP('Job Control'!$B$3, INPUT_JobSettings!$A:$A, INPUT_JobSettings!$G:$G, ""), Summary!$B$5)))</f>
        <v/>
      </c>
    </row>
    <row r="176">
      <c r="A176" s="8" t="n"/>
      <c r="B176" s="8" t="n"/>
      <c r="C176" s="8" t="n"/>
      <c r="D176" s="8" t="n"/>
      <c r="E176" s="8" t="n"/>
      <c r="F176" s="8" t="n"/>
      <c r="G176" s="8" t="n"/>
      <c r="H176" s="8" t="n"/>
      <c r="I176" s="6">
        <f>IF(OR(A176="",C176=""),"", XLOOKUP(C176, Constants!$A:$A, Constants!$C:$C, ""))</f>
        <v/>
      </c>
      <c r="J176" s="6">
        <f>IF(OR(A176="",C176=""),"", D176 * (IF(G176="", 1, XLOOKUP(G176, Constants!$E$10:$E$30, Constants!$F$10:$F$30, 1))) * XLOOKUP(C176, Constants!$A:$A, Constants!$D:$D, 0))</f>
        <v/>
      </c>
      <c r="K176" s="6">
        <f>IF(OR(A176="",C176=""),"", D176 * F176 * XLOOKUP(C176, Constants!$A:$A, Constants!$E:$E, 0))</f>
        <v/>
      </c>
      <c r="L176" s="6">
        <f>IF(OR(A176="",C176=""),"", IF(E176="None",0, D176 * IF(E176="Full",1,XLOOKUP("PrimerSpotFactor",Constants!$A$20:$A$40,Constants!$B$20:$B$40,0.35)) * XLOOKUP(C176, Constants!$A:$A, Constants!$F:$F, 0)))</f>
        <v/>
      </c>
      <c r="M176" s="6">
        <f>IF(OR(A176="",C176=""),"", J176+K176+L176)</f>
        <v/>
      </c>
      <c r="N176" s="6">
        <f>IF(OR(A176="",C176=""),"", M176/60)</f>
        <v/>
      </c>
      <c r="O176" s="6">
        <f>IF(OR(A176="",C176=""),"", N176*(IF(XLOOKUP('Job Control'!$B$3, INPUT_JobSettings!$A:$A, INPUT_JobSettings!$F:$F, "")&lt;&gt;"", XLOOKUP('Job Control'!$B$3, INPUT_JobSettings!$A:$A, INPUT_JobSettings!$F:$F, ""), Summary!$B$4)))</f>
        <v/>
      </c>
      <c r="P176" s="6">
        <f>IF(OR(A176="",C176=""),"", 0)</f>
        <v/>
      </c>
      <c r="Q176" s="6">
        <f>IF(OR(A176="",C176=""),"", (O176+P176)*(IF(XLOOKUP('Job Control'!$B$3, INPUT_JobSettings!$A:$A, INPUT_JobSettings!$G:$G, "")&lt;&gt;"", XLOOKUP('Job Control'!$B$3, INPUT_JobSettings!$A:$A, INPUT_JobSettings!$G:$G, ""), Summary!$B$5)))</f>
        <v/>
      </c>
    </row>
    <row r="177">
      <c r="A177" s="8" t="n"/>
      <c r="B177" s="8" t="n"/>
      <c r="C177" s="8" t="n"/>
      <c r="D177" s="8" t="n"/>
      <c r="E177" s="8" t="n"/>
      <c r="F177" s="8" t="n"/>
      <c r="G177" s="8" t="n"/>
      <c r="H177" s="8" t="n"/>
      <c r="I177" s="6">
        <f>IF(OR(A177="",C177=""),"", XLOOKUP(C177, Constants!$A:$A, Constants!$C:$C, ""))</f>
        <v/>
      </c>
      <c r="J177" s="6">
        <f>IF(OR(A177="",C177=""),"", D177 * (IF(G177="", 1, XLOOKUP(G177, Constants!$E$10:$E$30, Constants!$F$10:$F$30, 1))) * XLOOKUP(C177, Constants!$A:$A, Constants!$D:$D, 0))</f>
        <v/>
      </c>
      <c r="K177" s="6">
        <f>IF(OR(A177="",C177=""),"", D177 * F177 * XLOOKUP(C177, Constants!$A:$A, Constants!$E:$E, 0))</f>
        <v/>
      </c>
      <c r="L177" s="6">
        <f>IF(OR(A177="",C177=""),"", IF(E177="None",0, D177 * IF(E177="Full",1,XLOOKUP("PrimerSpotFactor",Constants!$A$20:$A$40,Constants!$B$20:$B$40,0.35)) * XLOOKUP(C177, Constants!$A:$A, Constants!$F:$F, 0)))</f>
        <v/>
      </c>
      <c r="M177" s="6">
        <f>IF(OR(A177="",C177=""),"", J177+K177+L177)</f>
        <v/>
      </c>
      <c r="N177" s="6">
        <f>IF(OR(A177="",C177=""),"", M177/60)</f>
        <v/>
      </c>
      <c r="O177" s="6">
        <f>IF(OR(A177="",C177=""),"", N177*(IF(XLOOKUP('Job Control'!$B$3, INPUT_JobSettings!$A:$A, INPUT_JobSettings!$F:$F, "")&lt;&gt;"", XLOOKUP('Job Control'!$B$3, INPUT_JobSettings!$A:$A, INPUT_JobSettings!$F:$F, ""), Summary!$B$4)))</f>
        <v/>
      </c>
      <c r="P177" s="6">
        <f>IF(OR(A177="",C177=""),"", 0)</f>
        <v/>
      </c>
      <c r="Q177" s="6">
        <f>IF(OR(A177="",C177=""),"", (O177+P177)*(IF(XLOOKUP('Job Control'!$B$3, INPUT_JobSettings!$A:$A, INPUT_JobSettings!$G:$G, "")&lt;&gt;"", XLOOKUP('Job Control'!$B$3, INPUT_JobSettings!$A:$A, INPUT_JobSettings!$G:$G, ""), Summary!$B$5)))</f>
        <v/>
      </c>
    </row>
    <row r="178">
      <c r="A178" s="8" t="n"/>
      <c r="B178" s="8" t="n"/>
      <c r="C178" s="8" t="n"/>
      <c r="D178" s="8" t="n"/>
      <c r="E178" s="8" t="n"/>
      <c r="F178" s="8" t="n"/>
      <c r="G178" s="8" t="n"/>
      <c r="H178" s="8" t="n"/>
      <c r="I178" s="6">
        <f>IF(OR(A178="",C178=""),"", XLOOKUP(C178, Constants!$A:$A, Constants!$C:$C, ""))</f>
        <v/>
      </c>
      <c r="J178" s="6">
        <f>IF(OR(A178="",C178=""),"", D178 * (IF(G178="", 1, XLOOKUP(G178, Constants!$E$10:$E$30, Constants!$F$10:$F$30, 1))) * XLOOKUP(C178, Constants!$A:$A, Constants!$D:$D, 0))</f>
        <v/>
      </c>
      <c r="K178" s="6">
        <f>IF(OR(A178="",C178=""),"", D178 * F178 * XLOOKUP(C178, Constants!$A:$A, Constants!$E:$E, 0))</f>
        <v/>
      </c>
      <c r="L178" s="6">
        <f>IF(OR(A178="",C178=""),"", IF(E178="None",0, D178 * IF(E178="Full",1,XLOOKUP("PrimerSpotFactor",Constants!$A$20:$A$40,Constants!$B$20:$B$40,0.35)) * XLOOKUP(C178, Constants!$A:$A, Constants!$F:$F, 0)))</f>
        <v/>
      </c>
      <c r="M178" s="6">
        <f>IF(OR(A178="",C178=""),"", J178+K178+L178)</f>
        <v/>
      </c>
      <c r="N178" s="6">
        <f>IF(OR(A178="",C178=""),"", M178/60)</f>
        <v/>
      </c>
      <c r="O178" s="6">
        <f>IF(OR(A178="",C178=""),"", N178*(IF(XLOOKUP('Job Control'!$B$3, INPUT_JobSettings!$A:$A, INPUT_JobSettings!$F:$F, "")&lt;&gt;"", XLOOKUP('Job Control'!$B$3, INPUT_JobSettings!$A:$A, INPUT_JobSettings!$F:$F, ""), Summary!$B$4)))</f>
        <v/>
      </c>
      <c r="P178" s="6">
        <f>IF(OR(A178="",C178=""),"", 0)</f>
        <v/>
      </c>
      <c r="Q178" s="6">
        <f>IF(OR(A178="",C178=""),"", (O178+P178)*(IF(XLOOKUP('Job Control'!$B$3, INPUT_JobSettings!$A:$A, INPUT_JobSettings!$G:$G, "")&lt;&gt;"", XLOOKUP('Job Control'!$B$3, INPUT_JobSettings!$A:$A, INPUT_JobSettings!$G:$G, ""), Summary!$B$5)))</f>
        <v/>
      </c>
    </row>
    <row r="179">
      <c r="A179" s="8" t="n"/>
      <c r="B179" s="8" t="n"/>
      <c r="C179" s="8" t="n"/>
      <c r="D179" s="8" t="n"/>
      <c r="E179" s="8" t="n"/>
      <c r="F179" s="8" t="n"/>
      <c r="G179" s="8" t="n"/>
      <c r="H179" s="8" t="n"/>
      <c r="I179" s="6">
        <f>IF(OR(A179="",C179=""),"", XLOOKUP(C179, Constants!$A:$A, Constants!$C:$C, ""))</f>
        <v/>
      </c>
      <c r="J179" s="6">
        <f>IF(OR(A179="",C179=""),"", D179 * (IF(G179="", 1, XLOOKUP(G179, Constants!$E$10:$E$30, Constants!$F$10:$F$30, 1))) * XLOOKUP(C179, Constants!$A:$A, Constants!$D:$D, 0))</f>
        <v/>
      </c>
      <c r="K179" s="6">
        <f>IF(OR(A179="",C179=""),"", D179 * F179 * XLOOKUP(C179, Constants!$A:$A, Constants!$E:$E, 0))</f>
        <v/>
      </c>
      <c r="L179" s="6">
        <f>IF(OR(A179="",C179=""),"", IF(E179="None",0, D179 * IF(E179="Full",1,XLOOKUP("PrimerSpotFactor",Constants!$A$20:$A$40,Constants!$B$20:$B$40,0.35)) * XLOOKUP(C179, Constants!$A:$A, Constants!$F:$F, 0)))</f>
        <v/>
      </c>
      <c r="M179" s="6">
        <f>IF(OR(A179="",C179=""),"", J179+K179+L179)</f>
        <v/>
      </c>
      <c r="N179" s="6">
        <f>IF(OR(A179="",C179=""),"", M179/60)</f>
        <v/>
      </c>
      <c r="O179" s="6">
        <f>IF(OR(A179="",C179=""),"", N179*(IF(XLOOKUP('Job Control'!$B$3, INPUT_JobSettings!$A:$A, INPUT_JobSettings!$F:$F, "")&lt;&gt;"", XLOOKUP('Job Control'!$B$3, INPUT_JobSettings!$A:$A, INPUT_JobSettings!$F:$F, ""), Summary!$B$4)))</f>
        <v/>
      </c>
      <c r="P179" s="6">
        <f>IF(OR(A179="",C179=""),"", 0)</f>
        <v/>
      </c>
      <c r="Q179" s="6">
        <f>IF(OR(A179="",C179=""),"", (O179+P179)*(IF(XLOOKUP('Job Control'!$B$3, INPUT_JobSettings!$A:$A, INPUT_JobSettings!$G:$G, "")&lt;&gt;"", XLOOKUP('Job Control'!$B$3, INPUT_JobSettings!$A:$A, INPUT_JobSettings!$G:$G, ""), Summary!$B$5)))</f>
        <v/>
      </c>
    </row>
    <row r="180">
      <c r="A180" s="8" t="n"/>
      <c r="B180" s="8" t="n"/>
      <c r="C180" s="8" t="n"/>
      <c r="D180" s="8" t="n"/>
      <c r="E180" s="8" t="n"/>
      <c r="F180" s="8" t="n"/>
      <c r="G180" s="8" t="n"/>
      <c r="H180" s="8" t="n"/>
      <c r="I180" s="6">
        <f>IF(OR(A180="",C180=""),"", XLOOKUP(C180, Constants!$A:$A, Constants!$C:$C, ""))</f>
        <v/>
      </c>
      <c r="J180" s="6">
        <f>IF(OR(A180="",C180=""),"", D180 * (IF(G180="", 1, XLOOKUP(G180, Constants!$E$10:$E$30, Constants!$F$10:$F$30, 1))) * XLOOKUP(C180, Constants!$A:$A, Constants!$D:$D, 0))</f>
        <v/>
      </c>
      <c r="K180" s="6">
        <f>IF(OR(A180="",C180=""),"", D180 * F180 * XLOOKUP(C180, Constants!$A:$A, Constants!$E:$E, 0))</f>
        <v/>
      </c>
      <c r="L180" s="6">
        <f>IF(OR(A180="",C180=""),"", IF(E180="None",0, D180 * IF(E180="Full",1,XLOOKUP("PrimerSpotFactor",Constants!$A$20:$A$40,Constants!$B$20:$B$40,0.35)) * XLOOKUP(C180, Constants!$A:$A, Constants!$F:$F, 0)))</f>
        <v/>
      </c>
      <c r="M180" s="6">
        <f>IF(OR(A180="",C180=""),"", J180+K180+L180)</f>
        <v/>
      </c>
      <c r="N180" s="6">
        <f>IF(OR(A180="",C180=""),"", M180/60)</f>
        <v/>
      </c>
      <c r="O180" s="6">
        <f>IF(OR(A180="",C180=""),"", N180*(IF(XLOOKUP('Job Control'!$B$3, INPUT_JobSettings!$A:$A, INPUT_JobSettings!$F:$F, "")&lt;&gt;"", XLOOKUP('Job Control'!$B$3, INPUT_JobSettings!$A:$A, INPUT_JobSettings!$F:$F, ""), Summary!$B$4)))</f>
        <v/>
      </c>
      <c r="P180" s="6">
        <f>IF(OR(A180="",C180=""),"", 0)</f>
        <v/>
      </c>
      <c r="Q180" s="6">
        <f>IF(OR(A180="",C180=""),"", (O180+P180)*(IF(XLOOKUP('Job Control'!$B$3, INPUT_JobSettings!$A:$A, INPUT_JobSettings!$G:$G, "")&lt;&gt;"", XLOOKUP('Job Control'!$B$3, INPUT_JobSettings!$A:$A, INPUT_JobSettings!$G:$G, ""), Summary!$B$5)))</f>
        <v/>
      </c>
    </row>
    <row r="181">
      <c r="A181" s="8" t="n"/>
      <c r="B181" s="8" t="n"/>
      <c r="C181" s="8" t="n"/>
      <c r="D181" s="8" t="n"/>
      <c r="E181" s="8" t="n"/>
      <c r="F181" s="8" t="n"/>
      <c r="G181" s="8" t="n"/>
      <c r="H181" s="8" t="n"/>
      <c r="I181" s="6">
        <f>IF(OR(A181="",C181=""),"", XLOOKUP(C181, Constants!$A:$A, Constants!$C:$C, ""))</f>
        <v/>
      </c>
      <c r="J181" s="6">
        <f>IF(OR(A181="",C181=""),"", D181 * (IF(G181="", 1, XLOOKUP(G181, Constants!$E$10:$E$30, Constants!$F$10:$F$30, 1))) * XLOOKUP(C181, Constants!$A:$A, Constants!$D:$D, 0))</f>
        <v/>
      </c>
      <c r="K181" s="6">
        <f>IF(OR(A181="",C181=""),"", D181 * F181 * XLOOKUP(C181, Constants!$A:$A, Constants!$E:$E, 0))</f>
        <v/>
      </c>
      <c r="L181" s="6">
        <f>IF(OR(A181="",C181=""),"", IF(E181="None",0, D181 * IF(E181="Full",1,XLOOKUP("PrimerSpotFactor",Constants!$A$20:$A$40,Constants!$B$20:$B$40,0.35)) * XLOOKUP(C181, Constants!$A:$A, Constants!$F:$F, 0)))</f>
        <v/>
      </c>
      <c r="M181" s="6">
        <f>IF(OR(A181="",C181=""),"", J181+K181+L181)</f>
        <v/>
      </c>
      <c r="N181" s="6">
        <f>IF(OR(A181="",C181=""),"", M181/60)</f>
        <v/>
      </c>
      <c r="O181" s="6">
        <f>IF(OR(A181="",C181=""),"", N181*(IF(XLOOKUP('Job Control'!$B$3, INPUT_JobSettings!$A:$A, INPUT_JobSettings!$F:$F, "")&lt;&gt;"", XLOOKUP('Job Control'!$B$3, INPUT_JobSettings!$A:$A, INPUT_JobSettings!$F:$F, ""), Summary!$B$4)))</f>
        <v/>
      </c>
      <c r="P181" s="6">
        <f>IF(OR(A181="",C181=""),"", 0)</f>
        <v/>
      </c>
      <c r="Q181" s="6">
        <f>IF(OR(A181="",C181=""),"", (O181+P181)*(IF(XLOOKUP('Job Control'!$B$3, INPUT_JobSettings!$A:$A, INPUT_JobSettings!$G:$G, "")&lt;&gt;"", XLOOKUP('Job Control'!$B$3, INPUT_JobSettings!$A:$A, INPUT_JobSettings!$G:$G, ""), Summary!$B$5)))</f>
        <v/>
      </c>
    </row>
    <row r="182">
      <c r="A182" s="8" t="n"/>
      <c r="B182" s="8" t="n"/>
      <c r="C182" s="8" t="n"/>
      <c r="D182" s="8" t="n"/>
      <c r="E182" s="8" t="n"/>
      <c r="F182" s="8" t="n"/>
      <c r="G182" s="8" t="n"/>
      <c r="H182" s="8" t="n"/>
      <c r="I182" s="6">
        <f>IF(OR(A182="",C182=""),"", XLOOKUP(C182, Constants!$A:$A, Constants!$C:$C, ""))</f>
        <v/>
      </c>
      <c r="J182" s="6">
        <f>IF(OR(A182="",C182=""),"", D182 * (IF(G182="", 1, XLOOKUP(G182, Constants!$E$10:$E$30, Constants!$F$10:$F$30, 1))) * XLOOKUP(C182, Constants!$A:$A, Constants!$D:$D, 0))</f>
        <v/>
      </c>
      <c r="K182" s="6">
        <f>IF(OR(A182="",C182=""),"", D182 * F182 * XLOOKUP(C182, Constants!$A:$A, Constants!$E:$E, 0))</f>
        <v/>
      </c>
      <c r="L182" s="6">
        <f>IF(OR(A182="",C182=""),"", IF(E182="None",0, D182 * IF(E182="Full",1,XLOOKUP("PrimerSpotFactor",Constants!$A$20:$A$40,Constants!$B$20:$B$40,0.35)) * XLOOKUP(C182, Constants!$A:$A, Constants!$F:$F, 0)))</f>
        <v/>
      </c>
      <c r="M182" s="6">
        <f>IF(OR(A182="",C182=""),"", J182+K182+L182)</f>
        <v/>
      </c>
      <c r="N182" s="6">
        <f>IF(OR(A182="",C182=""),"", M182/60)</f>
        <v/>
      </c>
      <c r="O182" s="6">
        <f>IF(OR(A182="",C182=""),"", N182*(IF(XLOOKUP('Job Control'!$B$3, INPUT_JobSettings!$A:$A, INPUT_JobSettings!$F:$F, "")&lt;&gt;"", XLOOKUP('Job Control'!$B$3, INPUT_JobSettings!$A:$A, INPUT_JobSettings!$F:$F, ""), Summary!$B$4)))</f>
        <v/>
      </c>
      <c r="P182" s="6">
        <f>IF(OR(A182="",C182=""),"", 0)</f>
        <v/>
      </c>
      <c r="Q182" s="6">
        <f>IF(OR(A182="",C182=""),"", (O182+P182)*(IF(XLOOKUP('Job Control'!$B$3, INPUT_JobSettings!$A:$A, INPUT_JobSettings!$G:$G, "")&lt;&gt;"", XLOOKUP('Job Control'!$B$3, INPUT_JobSettings!$A:$A, INPUT_JobSettings!$G:$G, ""), Summary!$B$5)))</f>
        <v/>
      </c>
    </row>
    <row r="183">
      <c r="A183" s="8" t="n"/>
      <c r="B183" s="8" t="n"/>
      <c r="C183" s="8" t="n"/>
      <c r="D183" s="8" t="n"/>
      <c r="E183" s="8" t="n"/>
      <c r="F183" s="8" t="n"/>
      <c r="G183" s="8" t="n"/>
      <c r="H183" s="8" t="n"/>
      <c r="I183" s="6">
        <f>IF(OR(A183="",C183=""),"", XLOOKUP(C183, Constants!$A:$A, Constants!$C:$C, ""))</f>
        <v/>
      </c>
      <c r="J183" s="6">
        <f>IF(OR(A183="",C183=""),"", D183 * (IF(G183="", 1, XLOOKUP(G183, Constants!$E$10:$E$30, Constants!$F$10:$F$30, 1))) * XLOOKUP(C183, Constants!$A:$A, Constants!$D:$D, 0))</f>
        <v/>
      </c>
      <c r="K183" s="6">
        <f>IF(OR(A183="",C183=""),"", D183 * F183 * XLOOKUP(C183, Constants!$A:$A, Constants!$E:$E, 0))</f>
        <v/>
      </c>
      <c r="L183" s="6">
        <f>IF(OR(A183="",C183=""),"", IF(E183="None",0, D183 * IF(E183="Full",1,XLOOKUP("PrimerSpotFactor",Constants!$A$20:$A$40,Constants!$B$20:$B$40,0.35)) * XLOOKUP(C183, Constants!$A:$A, Constants!$F:$F, 0)))</f>
        <v/>
      </c>
      <c r="M183" s="6">
        <f>IF(OR(A183="",C183=""),"", J183+K183+L183)</f>
        <v/>
      </c>
      <c r="N183" s="6">
        <f>IF(OR(A183="",C183=""),"", M183/60)</f>
        <v/>
      </c>
      <c r="O183" s="6">
        <f>IF(OR(A183="",C183=""),"", N183*(IF(XLOOKUP('Job Control'!$B$3, INPUT_JobSettings!$A:$A, INPUT_JobSettings!$F:$F, "")&lt;&gt;"", XLOOKUP('Job Control'!$B$3, INPUT_JobSettings!$A:$A, INPUT_JobSettings!$F:$F, ""), Summary!$B$4)))</f>
        <v/>
      </c>
      <c r="P183" s="6">
        <f>IF(OR(A183="",C183=""),"", 0)</f>
        <v/>
      </c>
      <c r="Q183" s="6">
        <f>IF(OR(A183="",C183=""),"", (O183+P183)*(IF(XLOOKUP('Job Control'!$B$3, INPUT_JobSettings!$A:$A, INPUT_JobSettings!$G:$G, "")&lt;&gt;"", XLOOKUP('Job Control'!$B$3, INPUT_JobSettings!$A:$A, INPUT_JobSettings!$G:$G, ""), Summary!$B$5)))</f>
        <v/>
      </c>
    </row>
    <row r="184">
      <c r="A184" s="8" t="n"/>
      <c r="B184" s="8" t="n"/>
      <c r="C184" s="8" t="n"/>
      <c r="D184" s="8" t="n"/>
      <c r="E184" s="8" t="n"/>
      <c r="F184" s="8" t="n"/>
      <c r="G184" s="8" t="n"/>
      <c r="H184" s="8" t="n"/>
      <c r="I184" s="6">
        <f>IF(OR(A184="",C184=""),"", XLOOKUP(C184, Constants!$A:$A, Constants!$C:$C, ""))</f>
        <v/>
      </c>
      <c r="J184" s="6">
        <f>IF(OR(A184="",C184=""),"", D184 * (IF(G184="", 1, XLOOKUP(G184, Constants!$E$10:$E$30, Constants!$F$10:$F$30, 1))) * XLOOKUP(C184, Constants!$A:$A, Constants!$D:$D, 0))</f>
        <v/>
      </c>
      <c r="K184" s="6">
        <f>IF(OR(A184="",C184=""),"", D184 * F184 * XLOOKUP(C184, Constants!$A:$A, Constants!$E:$E, 0))</f>
        <v/>
      </c>
      <c r="L184" s="6">
        <f>IF(OR(A184="",C184=""),"", IF(E184="None",0, D184 * IF(E184="Full",1,XLOOKUP("PrimerSpotFactor",Constants!$A$20:$A$40,Constants!$B$20:$B$40,0.35)) * XLOOKUP(C184, Constants!$A:$A, Constants!$F:$F, 0)))</f>
        <v/>
      </c>
      <c r="M184" s="6">
        <f>IF(OR(A184="",C184=""),"", J184+K184+L184)</f>
        <v/>
      </c>
      <c r="N184" s="6">
        <f>IF(OR(A184="",C184=""),"", M184/60)</f>
        <v/>
      </c>
      <c r="O184" s="6">
        <f>IF(OR(A184="",C184=""),"", N184*(IF(XLOOKUP('Job Control'!$B$3, INPUT_JobSettings!$A:$A, INPUT_JobSettings!$F:$F, "")&lt;&gt;"", XLOOKUP('Job Control'!$B$3, INPUT_JobSettings!$A:$A, INPUT_JobSettings!$F:$F, ""), Summary!$B$4)))</f>
        <v/>
      </c>
      <c r="P184" s="6">
        <f>IF(OR(A184="",C184=""),"", 0)</f>
        <v/>
      </c>
      <c r="Q184" s="6">
        <f>IF(OR(A184="",C184=""),"", (O184+P184)*(IF(XLOOKUP('Job Control'!$B$3, INPUT_JobSettings!$A:$A, INPUT_JobSettings!$G:$G, "")&lt;&gt;"", XLOOKUP('Job Control'!$B$3, INPUT_JobSettings!$A:$A, INPUT_JobSettings!$G:$G, ""), Summary!$B$5)))</f>
        <v/>
      </c>
    </row>
    <row r="185">
      <c r="A185" s="8" t="n"/>
      <c r="B185" s="8" t="n"/>
      <c r="C185" s="8" t="n"/>
      <c r="D185" s="8" t="n"/>
      <c r="E185" s="8" t="n"/>
      <c r="F185" s="8" t="n"/>
      <c r="G185" s="8" t="n"/>
      <c r="H185" s="8" t="n"/>
      <c r="I185" s="6">
        <f>IF(OR(A185="",C185=""),"", XLOOKUP(C185, Constants!$A:$A, Constants!$C:$C, ""))</f>
        <v/>
      </c>
      <c r="J185" s="6">
        <f>IF(OR(A185="",C185=""),"", D185 * (IF(G185="", 1, XLOOKUP(G185, Constants!$E$10:$E$30, Constants!$F$10:$F$30, 1))) * XLOOKUP(C185, Constants!$A:$A, Constants!$D:$D, 0))</f>
        <v/>
      </c>
      <c r="K185" s="6">
        <f>IF(OR(A185="",C185=""),"", D185 * F185 * XLOOKUP(C185, Constants!$A:$A, Constants!$E:$E, 0))</f>
        <v/>
      </c>
      <c r="L185" s="6">
        <f>IF(OR(A185="",C185=""),"", IF(E185="None",0, D185 * IF(E185="Full",1,XLOOKUP("PrimerSpotFactor",Constants!$A$20:$A$40,Constants!$B$20:$B$40,0.35)) * XLOOKUP(C185, Constants!$A:$A, Constants!$F:$F, 0)))</f>
        <v/>
      </c>
      <c r="M185" s="6">
        <f>IF(OR(A185="",C185=""),"", J185+K185+L185)</f>
        <v/>
      </c>
      <c r="N185" s="6">
        <f>IF(OR(A185="",C185=""),"", M185/60)</f>
        <v/>
      </c>
      <c r="O185" s="6">
        <f>IF(OR(A185="",C185=""),"", N185*(IF(XLOOKUP('Job Control'!$B$3, INPUT_JobSettings!$A:$A, INPUT_JobSettings!$F:$F, "")&lt;&gt;"", XLOOKUP('Job Control'!$B$3, INPUT_JobSettings!$A:$A, INPUT_JobSettings!$F:$F, ""), Summary!$B$4)))</f>
        <v/>
      </c>
      <c r="P185" s="6">
        <f>IF(OR(A185="",C185=""),"", 0)</f>
        <v/>
      </c>
      <c r="Q185" s="6">
        <f>IF(OR(A185="",C185=""),"", (O185+P185)*(IF(XLOOKUP('Job Control'!$B$3, INPUT_JobSettings!$A:$A, INPUT_JobSettings!$G:$G, "")&lt;&gt;"", XLOOKUP('Job Control'!$B$3, INPUT_JobSettings!$A:$A, INPUT_JobSettings!$G:$G, ""), Summary!$B$5)))</f>
        <v/>
      </c>
    </row>
    <row r="186">
      <c r="A186" s="8" t="n"/>
      <c r="B186" s="8" t="n"/>
      <c r="C186" s="8" t="n"/>
      <c r="D186" s="8" t="n"/>
      <c r="E186" s="8" t="n"/>
      <c r="F186" s="8" t="n"/>
      <c r="G186" s="8" t="n"/>
      <c r="H186" s="8" t="n"/>
      <c r="I186" s="6">
        <f>IF(OR(A186="",C186=""),"", XLOOKUP(C186, Constants!$A:$A, Constants!$C:$C, ""))</f>
        <v/>
      </c>
      <c r="J186" s="6">
        <f>IF(OR(A186="",C186=""),"", D186 * (IF(G186="", 1, XLOOKUP(G186, Constants!$E$10:$E$30, Constants!$F$10:$F$30, 1))) * XLOOKUP(C186, Constants!$A:$A, Constants!$D:$D, 0))</f>
        <v/>
      </c>
      <c r="K186" s="6">
        <f>IF(OR(A186="",C186=""),"", D186 * F186 * XLOOKUP(C186, Constants!$A:$A, Constants!$E:$E, 0))</f>
        <v/>
      </c>
      <c r="L186" s="6">
        <f>IF(OR(A186="",C186=""),"", IF(E186="None",0, D186 * IF(E186="Full",1,XLOOKUP("PrimerSpotFactor",Constants!$A$20:$A$40,Constants!$B$20:$B$40,0.35)) * XLOOKUP(C186, Constants!$A:$A, Constants!$F:$F, 0)))</f>
        <v/>
      </c>
      <c r="M186" s="6">
        <f>IF(OR(A186="",C186=""),"", J186+K186+L186)</f>
        <v/>
      </c>
      <c r="N186" s="6">
        <f>IF(OR(A186="",C186=""),"", M186/60)</f>
        <v/>
      </c>
      <c r="O186" s="6">
        <f>IF(OR(A186="",C186=""),"", N186*(IF(XLOOKUP('Job Control'!$B$3, INPUT_JobSettings!$A:$A, INPUT_JobSettings!$F:$F, "")&lt;&gt;"", XLOOKUP('Job Control'!$B$3, INPUT_JobSettings!$A:$A, INPUT_JobSettings!$F:$F, ""), Summary!$B$4)))</f>
        <v/>
      </c>
      <c r="P186" s="6">
        <f>IF(OR(A186="",C186=""),"", 0)</f>
        <v/>
      </c>
      <c r="Q186" s="6">
        <f>IF(OR(A186="",C186=""),"", (O186+P186)*(IF(XLOOKUP('Job Control'!$B$3, INPUT_JobSettings!$A:$A, INPUT_JobSettings!$G:$G, "")&lt;&gt;"", XLOOKUP('Job Control'!$B$3, INPUT_JobSettings!$A:$A, INPUT_JobSettings!$G:$G, ""), Summary!$B$5)))</f>
        <v/>
      </c>
    </row>
    <row r="187">
      <c r="A187" s="8" t="n"/>
      <c r="B187" s="8" t="n"/>
      <c r="C187" s="8" t="n"/>
      <c r="D187" s="8" t="n"/>
      <c r="E187" s="8" t="n"/>
      <c r="F187" s="8" t="n"/>
      <c r="G187" s="8" t="n"/>
      <c r="H187" s="8" t="n"/>
      <c r="I187" s="6">
        <f>IF(OR(A187="",C187=""),"", XLOOKUP(C187, Constants!$A:$A, Constants!$C:$C, ""))</f>
        <v/>
      </c>
      <c r="J187" s="6">
        <f>IF(OR(A187="",C187=""),"", D187 * (IF(G187="", 1, XLOOKUP(G187, Constants!$E$10:$E$30, Constants!$F$10:$F$30, 1))) * XLOOKUP(C187, Constants!$A:$A, Constants!$D:$D, 0))</f>
        <v/>
      </c>
      <c r="K187" s="6">
        <f>IF(OR(A187="",C187=""),"", D187 * F187 * XLOOKUP(C187, Constants!$A:$A, Constants!$E:$E, 0))</f>
        <v/>
      </c>
      <c r="L187" s="6">
        <f>IF(OR(A187="",C187=""),"", IF(E187="None",0, D187 * IF(E187="Full",1,XLOOKUP("PrimerSpotFactor",Constants!$A$20:$A$40,Constants!$B$20:$B$40,0.35)) * XLOOKUP(C187, Constants!$A:$A, Constants!$F:$F, 0)))</f>
        <v/>
      </c>
      <c r="M187" s="6">
        <f>IF(OR(A187="",C187=""),"", J187+K187+L187)</f>
        <v/>
      </c>
      <c r="N187" s="6">
        <f>IF(OR(A187="",C187=""),"", M187/60)</f>
        <v/>
      </c>
      <c r="O187" s="6">
        <f>IF(OR(A187="",C187=""),"", N187*(IF(XLOOKUP('Job Control'!$B$3, INPUT_JobSettings!$A:$A, INPUT_JobSettings!$F:$F, "")&lt;&gt;"", XLOOKUP('Job Control'!$B$3, INPUT_JobSettings!$A:$A, INPUT_JobSettings!$F:$F, ""), Summary!$B$4)))</f>
        <v/>
      </c>
      <c r="P187" s="6">
        <f>IF(OR(A187="",C187=""),"", 0)</f>
        <v/>
      </c>
      <c r="Q187" s="6">
        <f>IF(OR(A187="",C187=""),"", (O187+P187)*(IF(XLOOKUP('Job Control'!$B$3, INPUT_JobSettings!$A:$A, INPUT_JobSettings!$G:$G, "")&lt;&gt;"", XLOOKUP('Job Control'!$B$3, INPUT_JobSettings!$A:$A, INPUT_JobSettings!$G:$G, ""), Summary!$B$5)))</f>
        <v/>
      </c>
    </row>
    <row r="188">
      <c r="A188" s="8" t="n"/>
      <c r="B188" s="8" t="n"/>
      <c r="C188" s="8" t="n"/>
      <c r="D188" s="8" t="n"/>
      <c r="E188" s="8" t="n"/>
      <c r="F188" s="8" t="n"/>
      <c r="G188" s="8" t="n"/>
      <c r="H188" s="8" t="n"/>
      <c r="I188" s="6">
        <f>IF(OR(A188="",C188=""),"", XLOOKUP(C188, Constants!$A:$A, Constants!$C:$C, ""))</f>
        <v/>
      </c>
      <c r="J188" s="6">
        <f>IF(OR(A188="",C188=""),"", D188 * (IF(G188="", 1, XLOOKUP(G188, Constants!$E$10:$E$30, Constants!$F$10:$F$30, 1))) * XLOOKUP(C188, Constants!$A:$A, Constants!$D:$D, 0))</f>
        <v/>
      </c>
      <c r="K188" s="6">
        <f>IF(OR(A188="",C188=""),"", D188 * F188 * XLOOKUP(C188, Constants!$A:$A, Constants!$E:$E, 0))</f>
        <v/>
      </c>
      <c r="L188" s="6">
        <f>IF(OR(A188="",C188=""),"", IF(E188="None",0, D188 * IF(E188="Full",1,XLOOKUP("PrimerSpotFactor",Constants!$A$20:$A$40,Constants!$B$20:$B$40,0.35)) * XLOOKUP(C188, Constants!$A:$A, Constants!$F:$F, 0)))</f>
        <v/>
      </c>
      <c r="M188" s="6">
        <f>IF(OR(A188="",C188=""),"", J188+K188+L188)</f>
        <v/>
      </c>
      <c r="N188" s="6">
        <f>IF(OR(A188="",C188=""),"", M188/60)</f>
        <v/>
      </c>
      <c r="O188" s="6">
        <f>IF(OR(A188="",C188=""),"", N188*(IF(XLOOKUP('Job Control'!$B$3, INPUT_JobSettings!$A:$A, INPUT_JobSettings!$F:$F, "")&lt;&gt;"", XLOOKUP('Job Control'!$B$3, INPUT_JobSettings!$A:$A, INPUT_JobSettings!$F:$F, ""), Summary!$B$4)))</f>
        <v/>
      </c>
      <c r="P188" s="6">
        <f>IF(OR(A188="",C188=""),"", 0)</f>
        <v/>
      </c>
      <c r="Q188" s="6">
        <f>IF(OR(A188="",C188=""),"", (O188+P188)*(IF(XLOOKUP('Job Control'!$B$3, INPUT_JobSettings!$A:$A, INPUT_JobSettings!$G:$G, "")&lt;&gt;"", XLOOKUP('Job Control'!$B$3, INPUT_JobSettings!$A:$A, INPUT_JobSettings!$G:$G, ""), Summary!$B$5)))</f>
        <v/>
      </c>
    </row>
    <row r="189">
      <c r="A189" s="8" t="n"/>
      <c r="B189" s="8" t="n"/>
      <c r="C189" s="8" t="n"/>
      <c r="D189" s="8" t="n"/>
      <c r="E189" s="8" t="n"/>
      <c r="F189" s="8" t="n"/>
      <c r="G189" s="8" t="n"/>
      <c r="H189" s="8" t="n"/>
      <c r="I189" s="6">
        <f>IF(OR(A189="",C189=""),"", XLOOKUP(C189, Constants!$A:$A, Constants!$C:$C, ""))</f>
        <v/>
      </c>
      <c r="J189" s="6">
        <f>IF(OR(A189="",C189=""),"", D189 * (IF(G189="", 1, XLOOKUP(G189, Constants!$E$10:$E$30, Constants!$F$10:$F$30, 1))) * XLOOKUP(C189, Constants!$A:$A, Constants!$D:$D, 0))</f>
        <v/>
      </c>
      <c r="K189" s="6">
        <f>IF(OR(A189="",C189=""),"", D189 * F189 * XLOOKUP(C189, Constants!$A:$A, Constants!$E:$E, 0))</f>
        <v/>
      </c>
      <c r="L189" s="6">
        <f>IF(OR(A189="",C189=""),"", IF(E189="None",0, D189 * IF(E189="Full",1,XLOOKUP("PrimerSpotFactor",Constants!$A$20:$A$40,Constants!$B$20:$B$40,0.35)) * XLOOKUP(C189, Constants!$A:$A, Constants!$F:$F, 0)))</f>
        <v/>
      </c>
      <c r="M189" s="6">
        <f>IF(OR(A189="",C189=""),"", J189+K189+L189)</f>
        <v/>
      </c>
      <c r="N189" s="6">
        <f>IF(OR(A189="",C189=""),"", M189/60)</f>
        <v/>
      </c>
      <c r="O189" s="6">
        <f>IF(OR(A189="",C189=""),"", N189*(IF(XLOOKUP('Job Control'!$B$3, INPUT_JobSettings!$A:$A, INPUT_JobSettings!$F:$F, "")&lt;&gt;"", XLOOKUP('Job Control'!$B$3, INPUT_JobSettings!$A:$A, INPUT_JobSettings!$F:$F, ""), Summary!$B$4)))</f>
        <v/>
      </c>
      <c r="P189" s="6">
        <f>IF(OR(A189="",C189=""),"", 0)</f>
        <v/>
      </c>
      <c r="Q189" s="6">
        <f>IF(OR(A189="",C189=""),"", (O189+P189)*(IF(XLOOKUP('Job Control'!$B$3, INPUT_JobSettings!$A:$A, INPUT_JobSettings!$G:$G, "")&lt;&gt;"", XLOOKUP('Job Control'!$B$3, INPUT_JobSettings!$A:$A, INPUT_JobSettings!$G:$G, ""), Summary!$B$5)))</f>
        <v/>
      </c>
    </row>
    <row r="190">
      <c r="A190" s="8" t="n"/>
      <c r="B190" s="8" t="n"/>
      <c r="C190" s="8" t="n"/>
      <c r="D190" s="8" t="n"/>
      <c r="E190" s="8" t="n"/>
      <c r="F190" s="8" t="n"/>
      <c r="G190" s="8" t="n"/>
      <c r="H190" s="8" t="n"/>
      <c r="I190" s="6">
        <f>IF(OR(A190="",C190=""),"", XLOOKUP(C190, Constants!$A:$A, Constants!$C:$C, ""))</f>
        <v/>
      </c>
      <c r="J190" s="6">
        <f>IF(OR(A190="",C190=""),"", D190 * (IF(G190="", 1, XLOOKUP(G190, Constants!$E$10:$E$30, Constants!$F$10:$F$30, 1))) * XLOOKUP(C190, Constants!$A:$A, Constants!$D:$D, 0))</f>
        <v/>
      </c>
      <c r="K190" s="6">
        <f>IF(OR(A190="",C190=""),"", D190 * F190 * XLOOKUP(C190, Constants!$A:$A, Constants!$E:$E, 0))</f>
        <v/>
      </c>
      <c r="L190" s="6">
        <f>IF(OR(A190="",C190=""),"", IF(E190="None",0, D190 * IF(E190="Full",1,XLOOKUP("PrimerSpotFactor",Constants!$A$20:$A$40,Constants!$B$20:$B$40,0.35)) * XLOOKUP(C190, Constants!$A:$A, Constants!$F:$F, 0)))</f>
        <v/>
      </c>
      <c r="M190" s="6">
        <f>IF(OR(A190="",C190=""),"", J190+K190+L190)</f>
        <v/>
      </c>
      <c r="N190" s="6">
        <f>IF(OR(A190="",C190=""),"", M190/60)</f>
        <v/>
      </c>
      <c r="O190" s="6">
        <f>IF(OR(A190="",C190=""),"", N190*(IF(XLOOKUP('Job Control'!$B$3, INPUT_JobSettings!$A:$A, INPUT_JobSettings!$F:$F, "")&lt;&gt;"", XLOOKUP('Job Control'!$B$3, INPUT_JobSettings!$A:$A, INPUT_JobSettings!$F:$F, ""), Summary!$B$4)))</f>
        <v/>
      </c>
      <c r="P190" s="6">
        <f>IF(OR(A190="",C190=""),"", 0)</f>
        <v/>
      </c>
      <c r="Q190" s="6">
        <f>IF(OR(A190="",C190=""),"", (O190+P190)*(IF(XLOOKUP('Job Control'!$B$3, INPUT_JobSettings!$A:$A, INPUT_JobSettings!$G:$G, "")&lt;&gt;"", XLOOKUP('Job Control'!$B$3, INPUT_JobSettings!$A:$A, INPUT_JobSettings!$G:$G, ""), Summary!$B$5)))</f>
        <v/>
      </c>
    </row>
    <row r="191">
      <c r="A191" s="8" t="n"/>
      <c r="B191" s="8" t="n"/>
      <c r="C191" s="8" t="n"/>
      <c r="D191" s="8" t="n"/>
      <c r="E191" s="8" t="n"/>
      <c r="F191" s="8" t="n"/>
      <c r="G191" s="8" t="n"/>
      <c r="H191" s="8" t="n"/>
      <c r="I191" s="6">
        <f>IF(OR(A191="",C191=""),"", XLOOKUP(C191, Constants!$A:$A, Constants!$C:$C, ""))</f>
        <v/>
      </c>
      <c r="J191" s="6">
        <f>IF(OR(A191="",C191=""),"", D191 * (IF(G191="", 1, XLOOKUP(G191, Constants!$E$10:$E$30, Constants!$F$10:$F$30, 1))) * XLOOKUP(C191, Constants!$A:$A, Constants!$D:$D, 0))</f>
        <v/>
      </c>
      <c r="K191" s="6">
        <f>IF(OR(A191="",C191=""),"", D191 * F191 * XLOOKUP(C191, Constants!$A:$A, Constants!$E:$E, 0))</f>
        <v/>
      </c>
      <c r="L191" s="6">
        <f>IF(OR(A191="",C191=""),"", IF(E191="None",0, D191 * IF(E191="Full",1,XLOOKUP("PrimerSpotFactor",Constants!$A$20:$A$40,Constants!$B$20:$B$40,0.35)) * XLOOKUP(C191, Constants!$A:$A, Constants!$F:$F, 0)))</f>
        <v/>
      </c>
      <c r="M191" s="6">
        <f>IF(OR(A191="",C191=""),"", J191+K191+L191)</f>
        <v/>
      </c>
      <c r="N191" s="6">
        <f>IF(OR(A191="",C191=""),"", M191/60)</f>
        <v/>
      </c>
      <c r="O191" s="6">
        <f>IF(OR(A191="",C191=""),"", N191*(IF(XLOOKUP('Job Control'!$B$3, INPUT_JobSettings!$A:$A, INPUT_JobSettings!$F:$F, "")&lt;&gt;"", XLOOKUP('Job Control'!$B$3, INPUT_JobSettings!$A:$A, INPUT_JobSettings!$F:$F, ""), Summary!$B$4)))</f>
        <v/>
      </c>
      <c r="P191" s="6">
        <f>IF(OR(A191="",C191=""),"", 0)</f>
        <v/>
      </c>
      <c r="Q191" s="6">
        <f>IF(OR(A191="",C191=""),"", (O191+P191)*(IF(XLOOKUP('Job Control'!$B$3, INPUT_JobSettings!$A:$A, INPUT_JobSettings!$G:$G, "")&lt;&gt;"", XLOOKUP('Job Control'!$B$3, INPUT_JobSettings!$A:$A, INPUT_JobSettings!$G:$G, ""), Summary!$B$5)))</f>
        <v/>
      </c>
    </row>
    <row r="192">
      <c r="A192" s="8" t="n"/>
      <c r="B192" s="8" t="n"/>
      <c r="C192" s="8" t="n"/>
      <c r="D192" s="8" t="n"/>
      <c r="E192" s="8" t="n"/>
      <c r="F192" s="8" t="n"/>
      <c r="G192" s="8" t="n"/>
      <c r="H192" s="8" t="n"/>
      <c r="I192" s="6">
        <f>IF(OR(A192="",C192=""),"", XLOOKUP(C192, Constants!$A:$A, Constants!$C:$C, ""))</f>
        <v/>
      </c>
      <c r="J192" s="6">
        <f>IF(OR(A192="",C192=""),"", D192 * (IF(G192="", 1, XLOOKUP(G192, Constants!$E$10:$E$30, Constants!$F$10:$F$30, 1))) * XLOOKUP(C192, Constants!$A:$A, Constants!$D:$D, 0))</f>
        <v/>
      </c>
      <c r="K192" s="6">
        <f>IF(OR(A192="",C192=""),"", D192 * F192 * XLOOKUP(C192, Constants!$A:$A, Constants!$E:$E, 0))</f>
        <v/>
      </c>
      <c r="L192" s="6">
        <f>IF(OR(A192="",C192=""),"", IF(E192="None",0, D192 * IF(E192="Full",1,XLOOKUP("PrimerSpotFactor",Constants!$A$20:$A$40,Constants!$B$20:$B$40,0.35)) * XLOOKUP(C192, Constants!$A:$A, Constants!$F:$F, 0)))</f>
        <v/>
      </c>
      <c r="M192" s="6">
        <f>IF(OR(A192="",C192=""),"", J192+K192+L192)</f>
        <v/>
      </c>
      <c r="N192" s="6">
        <f>IF(OR(A192="",C192=""),"", M192/60)</f>
        <v/>
      </c>
      <c r="O192" s="6">
        <f>IF(OR(A192="",C192=""),"", N192*(IF(XLOOKUP('Job Control'!$B$3, INPUT_JobSettings!$A:$A, INPUT_JobSettings!$F:$F, "")&lt;&gt;"", XLOOKUP('Job Control'!$B$3, INPUT_JobSettings!$A:$A, INPUT_JobSettings!$F:$F, ""), Summary!$B$4)))</f>
        <v/>
      </c>
      <c r="P192" s="6">
        <f>IF(OR(A192="",C192=""),"", 0)</f>
        <v/>
      </c>
      <c r="Q192" s="6">
        <f>IF(OR(A192="",C192=""),"", (O192+P192)*(IF(XLOOKUP('Job Control'!$B$3, INPUT_JobSettings!$A:$A, INPUT_JobSettings!$G:$G, "")&lt;&gt;"", XLOOKUP('Job Control'!$B$3, INPUT_JobSettings!$A:$A, INPUT_JobSettings!$G:$G, ""), Summary!$B$5)))</f>
        <v/>
      </c>
    </row>
    <row r="193">
      <c r="A193" s="8" t="n"/>
      <c r="B193" s="8" t="n"/>
      <c r="C193" s="8" t="n"/>
      <c r="D193" s="8" t="n"/>
      <c r="E193" s="8" t="n"/>
      <c r="F193" s="8" t="n"/>
      <c r="G193" s="8" t="n"/>
      <c r="H193" s="8" t="n"/>
      <c r="I193" s="6">
        <f>IF(OR(A193="",C193=""),"", XLOOKUP(C193, Constants!$A:$A, Constants!$C:$C, ""))</f>
        <v/>
      </c>
      <c r="J193" s="6">
        <f>IF(OR(A193="",C193=""),"", D193 * (IF(G193="", 1, XLOOKUP(G193, Constants!$E$10:$E$30, Constants!$F$10:$F$30, 1))) * XLOOKUP(C193, Constants!$A:$A, Constants!$D:$D, 0))</f>
        <v/>
      </c>
      <c r="K193" s="6">
        <f>IF(OR(A193="",C193=""),"", D193 * F193 * XLOOKUP(C193, Constants!$A:$A, Constants!$E:$E, 0))</f>
        <v/>
      </c>
      <c r="L193" s="6">
        <f>IF(OR(A193="",C193=""),"", IF(E193="None",0, D193 * IF(E193="Full",1,XLOOKUP("PrimerSpotFactor",Constants!$A$20:$A$40,Constants!$B$20:$B$40,0.35)) * XLOOKUP(C193, Constants!$A:$A, Constants!$F:$F, 0)))</f>
        <v/>
      </c>
      <c r="M193" s="6">
        <f>IF(OR(A193="",C193=""),"", J193+K193+L193)</f>
        <v/>
      </c>
      <c r="N193" s="6">
        <f>IF(OR(A193="",C193=""),"", M193/60)</f>
        <v/>
      </c>
      <c r="O193" s="6">
        <f>IF(OR(A193="",C193=""),"", N193*(IF(XLOOKUP('Job Control'!$B$3, INPUT_JobSettings!$A:$A, INPUT_JobSettings!$F:$F, "")&lt;&gt;"", XLOOKUP('Job Control'!$B$3, INPUT_JobSettings!$A:$A, INPUT_JobSettings!$F:$F, ""), Summary!$B$4)))</f>
        <v/>
      </c>
      <c r="P193" s="6">
        <f>IF(OR(A193="",C193=""),"", 0)</f>
        <v/>
      </c>
      <c r="Q193" s="6">
        <f>IF(OR(A193="",C193=""),"", (O193+P193)*(IF(XLOOKUP('Job Control'!$B$3, INPUT_JobSettings!$A:$A, INPUT_JobSettings!$G:$G, "")&lt;&gt;"", XLOOKUP('Job Control'!$B$3, INPUT_JobSettings!$A:$A, INPUT_JobSettings!$G:$G, ""), Summary!$B$5)))</f>
        <v/>
      </c>
    </row>
    <row r="194">
      <c r="A194" s="8" t="n"/>
      <c r="B194" s="8" t="n"/>
      <c r="C194" s="8" t="n"/>
      <c r="D194" s="8" t="n"/>
      <c r="E194" s="8" t="n"/>
      <c r="F194" s="8" t="n"/>
      <c r="G194" s="8" t="n"/>
      <c r="H194" s="8" t="n"/>
      <c r="I194" s="6">
        <f>IF(OR(A194="",C194=""),"", XLOOKUP(C194, Constants!$A:$A, Constants!$C:$C, ""))</f>
        <v/>
      </c>
      <c r="J194" s="6">
        <f>IF(OR(A194="",C194=""),"", D194 * (IF(G194="", 1, XLOOKUP(G194, Constants!$E$10:$E$30, Constants!$F$10:$F$30, 1))) * XLOOKUP(C194, Constants!$A:$A, Constants!$D:$D, 0))</f>
        <v/>
      </c>
      <c r="K194" s="6">
        <f>IF(OR(A194="",C194=""),"", D194 * F194 * XLOOKUP(C194, Constants!$A:$A, Constants!$E:$E, 0))</f>
        <v/>
      </c>
      <c r="L194" s="6">
        <f>IF(OR(A194="",C194=""),"", IF(E194="None",0, D194 * IF(E194="Full",1,XLOOKUP("PrimerSpotFactor",Constants!$A$20:$A$40,Constants!$B$20:$B$40,0.35)) * XLOOKUP(C194, Constants!$A:$A, Constants!$F:$F, 0)))</f>
        <v/>
      </c>
      <c r="M194" s="6">
        <f>IF(OR(A194="",C194=""),"", J194+K194+L194)</f>
        <v/>
      </c>
      <c r="N194" s="6">
        <f>IF(OR(A194="",C194=""),"", M194/60)</f>
        <v/>
      </c>
      <c r="O194" s="6">
        <f>IF(OR(A194="",C194=""),"", N194*(IF(XLOOKUP('Job Control'!$B$3, INPUT_JobSettings!$A:$A, INPUT_JobSettings!$F:$F, "")&lt;&gt;"", XLOOKUP('Job Control'!$B$3, INPUT_JobSettings!$A:$A, INPUT_JobSettings!$F:$F, ""), Summary!$B$4)))</f>
        <v/>
      </c>
      <c r="P194" s="6">
        <f>IF(OR(A194="",C194=""),"", 0)</f>
        <v/>
      </c>
      <c r="Q194" s="6">
        <f>IF(OR(A194="",C194=""),"", (O194+P194)*(IF(XLOOKUP('Job Control'!$B$3, INPUT_JobSettings!$A:$A, INPUT_JobSettings!$G:$G, "")&lt;&gt;"", XLOOKUP('Job Control'!$B$3, INPUT_JobSettings!$A:$A, INPUT_JobSettings!$G:$G, ""), Summary!$B$5)))</f>
        <v/>
      </c>
    </row>
    <row r="195">
      <c r="A195" s="8" t="n"/>
      <c r="B195" s="8" t="n"/>
      <c r="C195" s="8" t="n"/>
      <c r="D195" s="8" t="n"/>
      <c r="E195" s="8" t="n"/>
      <c r="F195" s="8" t="n"/>
      <c r="G195" s="8" t="n"/>
      <c r="H195" s="8" t="n"/>
      <c r="I195" s="6">
        <f>IF(OR(A195="",C195=""),"", XLOOKUP(C195, Constants!$A:$A, Constants!$C:$C, ""))</f>
        <v/>
      </c>
      <c r="J195" s="6">
        <f>IF(OR(A195="",C195=""),"", D195 * (IF(G195="", 1, XLOOKUP(G195, Constants!$E$10:$E$30, Constants!$F$10:$F$30, 1))) * XLOOKUP(C195, Constants!$A:$A, Constants!$D:$D, 0))</f>
        <v/>
      </c>
      <c r="K195" s="6">
        <f>IF(OR(A195="",C195=""),"", D195 * F195 * XLOOKUP(C195, Constants!$A:$A, Constants!$E:$E, 0))</f>
        <v/>
      </c>
      <c r="L195" s="6">
        <f>IF(OR(A195="",C195=""),"", IF(E195="None",0, D195 * IF(E195="Full",1,XLOOKUP("PrimerSpotFactor",Constants!$A$20:$A$40,Constants!$B$20:$B$40,0.35)) * XLOOKUP(C195, Constants!$A:$A, Constants!$F:$F, 0)))</f>
        <v/>
      </c>
      <c r="M195" s="6">
        <f>IF(OR(A195="",C195=""),"", J195+K195+L195)</f>
        <v/>
      </c>
      <c r="N195" s="6">
        <f>IF(OR(A195="",C195=""),"", M195/60)</f>
        <v/>
      </c>
      <c r="O195" s="6">
        <f>IF(OR(A195="",C195=""),"", N195*(IF(XLOOKUP('Job Control'!$B$3, INPUT_JobSettings!$A:$A, INPUT_JobSettings!$F:$F, "")&lt;&gt;"", XLOOKUP('Job Control'!$B$3, INPUT_JobSettings!$A:$A, INPUT_JobSettings!$F:$F, ""), Summary!$B$4)))</f>
        <v/>
      </c>
      <c r="P195" s="6">
        <f>IF(OR(A195="",C195=""),"", 0)</f>
        <v/>
      </c>
      <c r="Q195" s="6">
        <f>IF(OR(A195="",C195=""),"", (O195+P195)*(IF(XLOOKUP('Job Control'!$B$3, INPUT_JobSettings!$A:$A, INPUT_JobSettings!$G:$G, "")&lt;&gt;"", XLOOKUP('Job Control'!$B$3, INPUT_JobSettings!$A:$A, INPUT_JobSettings!$G:$G, ""), Summary!$B$5)))</f>
        <v/>
      </c>
    </row>
    <row r="196">
      <c r="A196" s="8" t="n"/>
      <c r="B196" s="8" t="n"/>
      <c r="C196" s="8" t="n"/>
      <c r="D196" s="8" t="n"/>
      <c r="E196" s="8" t="n"/>
      <c r="F196" s="8" t="n"/>
      <c r="G196" s="8" t="n"/>
      <c r="H196" s="8" t="n"/>
      <c r="I196" s="6">
        <f>IF(OR(A196="",C196=""),"", XLOOKUP(C196, Constants!$A:$A, Constants!$C:$C, ""))</f>
        <v/>
      </c>
      <c r="J196" s="6">
        <f>IF(OR(A196="",C196=""),"", D196 * (IF(G196="", 1, XLOOKUP(G196, Constants!$E$10:$E$30, Constants!$F$10:$F$30, 1))) * XLOOKUP(C196, Constants!$A:$A, Constants!$D:$D, 0))</f>
        <v/>
      </c>
      <c r="K196" s="6">
        <f>IF(OR(A196="",C196=""),"", D196 * F196 * XLOOKUP(C196, Constants!$A:$A, Constants!$E:$E, 0))</f>
        <v/>
      </c>
      <c r="L196" s="6">
        <f>IF(OR(A196="",C196=""),"", IF(E196="None",0, D196 * IF(E196="Full",1,XLOOKUP("PrimerSpotFactor",Constants!$A$20:$A$40,Constants!$B$20:$B$40,0.35)) * XLOOKUP(C196, Constants!$A:$A, Constants!$F:$F, 0)))</f>
        <v/>
      </c>
      <c r="M196" s="6">
        <f>IF(OR(A196="",C196=""),"", J196+K196+L196)</f>
        <v/>
      </c>
      <c r="N196" s="6">
        <f>IF(OR(A196="",C196=""),"", M196/60)</f>
        <v/>
      </c>
      <c r="O196" s="6">
        <f>IF(OR(A196="",C196=""),"", N196*(IF(XLOOKUP('Job Control'!$B$3, INPUT_JobSettings!$A:$A, INPUT_JobSettings!$F:$F, "")&lt;&gt;"", XLOOKUP('Job Control'!$B$3, INPUT_JobSettings!$A:$A, INPUT_JobSettings!$F:$F, ""), Summary!$B$4)))</f>
        <v/>
      </c>
      <c r="P196" s="6">
        <f>IF(OR(A196="",C196=""),"", 0)</f>
        <v/>
      </c>
      <c r="Q196" s="6">
        <f>IF(OR(A196="",C196=""),"", (O196+P196)*(IF(XLOOKUP('Job Control'!$B$3, INPUT_JobSettings!$A:$A, INPUT_JobSettings!$G:$G, "")&lt;&gt;"", XLOOKUP('Job Control'!$B$3, INPUT_JobSettings!$A:$A, INPUT_JobSettings!$G:$G, ""), Summary!$B$5)))</f>
        <v/>
      </c>
    </row>
    <row r="197">
      <c r="A197" s="8" t="n"/>
      <c r="B197" s="8" t="n"/>
      <c r="C197" s="8" t="n"/>
      <c r="D197" s="8" t="n"/>
      <c r="E197" s="8" t="n"/>
      <c r="F197" s="8" t="n"/>
      <c r="G197" s="8" t="n"/>
      <c r="H197" s="8" t="n"/>
      <c r="I197" s="6">
        <f>IF(OR(A197="",C197=""),"", XLOOKUP(C197, Constants!$A:$A, Constants!$C:$C, ""))</f>
        <v/>
      </c>
      <c r="J197" s="6">
        <f>IF(OR(A197="",C197=""),"", D197 * (IF(G197="", 1, XLOOKUP(G197, Constants!$E$10:$E$30, Constants!$F$10:$F$30, 1))) * XLOOKUP(C197, Constants!$A:$A, Constants!$D:$D, 0))</f>
        <v/>
      </c>
      <c r="K197" s="6">
        <f>IF(OR(A197="",C197=""),"", D197 * F197 * XLOOKUP(C197, Constants!$A:$A, Constants!$E:$E, 0))</f>
        <v/>
      </c>
      <c r="L197" s="6">
        <f>IF(OR(A197="",C197=""),"", IF(E197="None",0, D197 * IF(E197="Full",1,XLOOKUP("PrimerSpotFactor",Constants!$A$20:$A$40,Constants!$B$20:$B$40,0.35)) * XLOOKUP(C197, Constants!$A:$A, Constants!$F:$F, 0)))</f>
        <v/>
      </c>
      <c r="M197" s="6">
        <f>IF(OR(A197="",C197=""),"", J197+K197+L197)</f>
        <v/>
      </c>
      <c r="N197" s="6">
        <f>IF(OR(A197="",C197=""),"", M197/60)</f>
        <v/>
      </c>
      <c r="O197" s="6">
        <f>IF(OR(A197="",C197=""),"", N197*(IF(XLOOKUP('Job Control'!$B$3, INPUT_JobSettings!$A:$A, INPUT_JobSettings!$F:$F, "")&lt;&gt;"", XLOOKUP('Job Control'!$B$3, INPUT_JobSettings!$A:$A, INPUT_JobSettings!$F:$F, ""), Summary!$B$4)))</f>
        <v/>
      </c>
      <c r="P197" s="6">
        <f>IF(OR(A197="",C197=""),"", 0)</f>
        <v/>
      </c>
      <c r="Q197" s="6">
        <f>IF(OR(A197="",C197=""),"", (O197+P197)*(IF(XLOOKUP('Job Control'!$B$3, INPUT_JobSettings!$A:$A, INPUT_JobSettings!$G:$G, "")&lt;&gt;"", XLOOKUP('Job Control'!$B$3, INPUT_JobSettings!$A:$A, INPUT_JobSettings!$G:$G, ""), Summary!$B$5)))</f>
        <v/>
      </c>
    </row>
    <row r="198">
      <c r="A198" s="8" t="n"/>
      <c r="B198" s="8" t="n"/>
      <c r="C198" s="8" t="n"/>
      <c r="D198" s="8" t="n"/>
      <c r="E198" s="8" t="n"/>
      <c r="F198" s="8" t="n"/>
      <c r="G198" s="8" t="n"/>
      <c r="H198" s="8" t="n"/>
      <c r="I198" s="6">
        <f>IF(OR(A198="",C198=""),"", XLOOKUP(C198, Constants!$A:$A, Constants!$C:$C, ""))</f>
        <v/>
      </c>
      <c r="J198" s="6">
        <f>IF(OR(A198="",C198=""),"", D198 * (IF(G198="", 1, XLOOKUP(G198, Constants!$E$10:$E$30, Constants!$F$10:$F$30, 1))) * XLOOKUP(C198, Constants!$A:$A, Constants!$D:$D, 0))</f>
        <v/>
      </c>
      <c r="K198" s="6">
        <f>IF(OR(A198="",C198=""),"", D198 * F198 * XLOOKUP(C198, Constants!$A:$A, Constants!$E:$E, 0))</f>
        <v/>
      </c>
      <c r="L198" s="6">
        <f>IF(OR(A198="",C198=""),"", IF(E198="None",0, D198 * IF(E198="Full",1,XLOOKUP("PrimerSpotFactor",Constants!$A$20:$A$40,Constants!$B$20:$B$40,0.35)) * XLOOKUP(C198, Constants!$A:$A, Constants!$F:$F, 0)))</f>
        <v/>
      </c>
      <c r="M198" s="6">
        <f>IF(OR(A198="",C198=""),"", J198+K198+L198)</f>
        <v/>
      </c>
      <c r="N198" s="6">
        <f>IF(OR(A198="",C198=""),"", M198/60)</f>
        <v/>
      </c>
      <c r="O198" s="6">
        <f>IF(OR(A198="",C198=""),"", N198*(IF(XLOOKUP('Job Control'!$B$3, INPUT_JobSettings!$A:$A, INPUT_JobSettings!$F:$F, "")&lt;&gt;"", XLOOKUP('Job Control'!$B$3, INPUT_JobSettings!$A:$A, INPUT_JobSettings!$F:$F, ""), Summary!$B$4)))</f>
        <v/>
      </c>
      <c r="P198" s="6">
        <f>IF(OR(A198="",C198=""),"", 0)</f>
        <v/>
      </c>
      <c r="Q198" s="6">
        <f>IF(OR(A198="",C198=""),"", (O198+P198)*(IF(XLOOKUP('Job Control'!$B$3, INPUT_JobSettings!$A:$A, INPUT_JobSettings!$G:$G, "")&lt;&gt;"", XLOOKUP('Job Control'!$B$3, INPUT_JobSettings!$A:$A, INPUT_JobSettings!$G:$G, ""), Summary!$B$5)))</f>
        <v/>
      </c>
    </row>
    <row r="199">
      <c r="A199" s="8" t="n"/>
      <c r="B199" s="8" t="n"/>
      <c r="C199" s="8" t="n"/>
      <c r="D199" s="8" t="n"/>
      <c r="E199" s="8" t="n"/>
      <c r="F199" s="8" t="n"/>
      <c r="G199" s="8" t="n"/>
      <c r="H199" s="8" t="n"/>
      <c r="I199" s="6">
        <f>IF(OR(A199="",C199=""),"", XLOOKUP(C199, Constants!$A:$A, Constants!$C:$C, ""))</f>
        <v/>
      </c>
      <c r="J199" s="6">
        <f>IF(OR(A199="",C199=""),"", D199 * (IF(G199="", 1, XLOOKUP(G199, Constants!$E$10:$E$30, Constants!$F$10:$F$30, 1))) * XLOOKUP(C199, Constants!$A:$A, Constants!$D:$D, 0))</f>
        <v/>
      </c>
      <c r="K199" s="6">
        <f>IF(OR(A199="",C199=""),"", D199 * F199 * XLOOKUP(C199, Constants!$A:$A, Constants!$E:$E, 0))</f>
        <v/>
      </c>
      <c r="L199" s="6">
        <f>IF(OR(A199="",C199=""),"", IF(E199="None",0, D199 * IF(E199="Full",1,XLOOKUP("PrimerSpotFactor",Constants!$A$20:$A$40,Constants!$B$20:$B$40,0.35)) * XLOOKUP(C199, Constants!$A:$A, Constants!$F:$F, 0)))</f>
        <v/>
      </c>
      <c r="M199" s="6">
        <f>IF(OR(A199="",C199=""),"", J199+K199+L199)</f>
        <v/>
      </c>
      <c r="N199" s="6">
        <f>IF(OR(A199="",C199=""),"", M199/60)</f>
        <v/>
      </c>
      <c r="O199" s="6">
        <f>IF(OR(A199="",C199=""),"", N199*(IF(XLOOKUP('Job Control'!$B$3, INPUT_JobSettings!$A:$A, INPUT_JobSettings!$F:$F, "")&lt;&gt;"", XLOOKUP('Job Control'!$B$3, INPUT_JobSettings!$A:$A, INPUT_JobSettings!$F:$F, ""), Summary!$B$4)))</f>
        <v/>
      </c>
      <c r="P199" s="6">
        <f>IF(OR(A199="",C199=""),"", 0)</f>
        <v/>
      </c>
      <c r="Q199" s="6">
        <f>IF(OR(A199="",C199=""),"", (O199+P199)*(IF(XLOOKUP('Job Control'!$B$3, INPUT_JobSettings!$A:$A, INPUT_JobSettings!$G:$G, "")&lt;&gt;"", XLOOKUP('Job Control'!$B$3, INPUT_JobSettings!$A:$A, INPUT_JobSettings!$G:$G, ""), Summary!$B$5)))</f>
        <v/>
      </c>
    </row>
    <row r="200">
      <c r="A200" s="8" t="n"/>
      <c r="B200" s="8" t="n"/>
      <c r="C200" s="8" t="n"/>
      <c r="D200" s="8" t="n"/>
      <c r="E200" s="8" t="n"/>
      <c r="F200" s="8" t="n"/>
      <c r="G200" s="8" t="n"/>
      <c r="H200" s="8" t="n"/>
      <c r="I200" s="6">
        <f>IF(OR(A200="",C200=""),"", XLOOKUP(C200, Constants!$A:$A, Constants!$C:$C, ""))</f>
        <v/>
      </c>
      <c r="J200" s="6">
        <f>IF(OR(A200="",C200=""),"", D200 * (IF(G200="", 1, XLOOKUP(G200, Constants!$E$10:$E$30, Constants!$F$10:$F$30, 1))) * XLOOKUP(C200, Constants!$A:$A, Constants!$D:$D, 0))</f>
        <v/>
      </c>
      <c r="K200" s="6">
        <f>IF(OR(A200="",C200=""),"", D200 * F200 * XLOOKUP(C200, Constants!$A:$A, Constants!$E:$E, 0))</f>
        <v/>
      </c>
      <c r="L200" s="6">
        <f>IF(OR(A200="",C200=""),"", IF(E200="None",0, D200 * IF(E200="Full",1,XLOOKUP("PrimerSpotFactor",Constants!$A$20:$A$40,Constants!$B$20:$B$40,0.35)) * XLOOKUP(C200, Constants!$A:$A, Constants!$F:$F, 0)))</f>
        <v/>
      </c>
      <c r="M200" s="6">
        <f>IF(OR(A200="",C200=""),"", J200+K200+L200)</f>
        <v/>
      </c>
      <c r="N200" s="6">
        <f>IF(OR(A200="",C200=""),"", M200/60)</f>
        <v/>
      </c>
      <c r="O200" s="6">
        <f>IF(OR(A200="",C200=""),"", N200*(IF(XLOOKUP('Job Control'!$B$3, INPUT_JobSettings!$A:$A, INPUT_JobSettings!$F:$F, "")&lt;&gt;"", XLOOKUP('Job Control'!$B$3, INPUT_JobSettings!$A:$A, INPUT_JobSettings!$F:$F, ""), Summary!$B$4)))</f>
        <v/>
      </c>
      <c r="P200" s="6">
        <f>IF(OR(A200="",C200=""),"", 0)</f>
        <v/>
      </c>
      <c r="Q200" s="6">
        <f>IF(OR(A200="",C200=""),"", (O200+P200)*(IF(XLOOKUP('Job Control'!$B$3, INPUT_JobSettings!$A:$A, INPUT_JobSettings!$G:$G, "")&lt;&gt;"", XLOOKUP('Job Control'!$B$3, INPUT_JobSettings!$A:$A, INPUT_JobSettings!$G:$G, ""), Summary!$B$5)))</f>
        <v/>
      </c>
    </row>
    <row r="201">
      <c r="A201" s="8" t="n"/>
      <c r="B201" s="8" t="n"/>
      <c r="C201" s="8" t="n"/>
      <c r="D201" s="8" t="n"/>
      <c r="E201" s="8" t="n"/>
      <c r="F201" s="8" t="n"/>
      <c r="G201" s="8" t="n"/>
      <c r="H201" s="8" t="n"/>
      <c r="I201" s="6">
        <f>IF(OR(A201="",C201=""),"", XLOOKUP(C201, Constants!$A:$A, Constants!$C:$C, ""))</f>
        <v/>
      </c>
      <c r="J201" s="6">
        <f>IF(OR(A201="",C201=""),"", D201 * (IF(G201="", 1, XLOOKUP(G201, Constants!$E$10:$E$30, Constants!$F$10:$F$30, 1))) * XLOOKUP(C201, Constants!$A:$A, Constants!$D:$D, 0))</f>
        <v/>
      </c>
      <c r="K201" s="6">
        <f>IF(OR(A201="",C201=""),"", D201 * F201 * XLOOKUP(C201, Constants!$A:$A, Constants!$E:$E, 0))</f>
        <v/>
      </c>
      <c r="L201" s="6">
        <f>IF(OR(A201="",C201=""),"", IF(E201="None",0, D201 * IF(E201="Full",1,XLOOKUP("PrimerSpotFactor",Constants!$A$20:$A$40,Constants!$B$20:$B$40,0.35)) * XLOOKUP(C201, Constants!$A:$A, Constants!$F:$F, 0)))</f>
        <v/>
      </c>
      <c r="M201" s="6">
        <f>IF(OR(A201="",C201=""),"", J201+K201+L201)</f>
        <v/>
      </c>
      <c r="N201" s="6">
        <f>IF(OR(A201="",C201=""),"", M201/60)</f>
        <v/>
      </c>
      <c r="O201" s="6">
        <f>IF(OR(A201="",C201=""),"", N201*(IF(XLOOKUP('Job Control'!$B$3, INPUT_JobSettings!$A:$A, INPUT_JobSettings!$F:$F, "")&lt;&gt;"", XLOOKUP('Job Control'!$B$3, INPUT_JobSettings!$A:$A, INPUT_JobSettings!$F:$F, ""), Summary!$B$4)))</f>
        <v/>
      </c>
      <c r="P201" s="6">
        <f>IF(OR(A201="",C201=""),"", 0)</f>
        <v/>
      </c>
      <c r="Q201" s="6">
        <f>IF(OR(A201="",C201=""),"", (O201+P201)*(IF(XLOOKUP('Job Control'!$B$3, INPUT_JobSettings!$A:$A, INPUT_JobSettings!$G:$G, "")&lt;&gt;"", XLOOKUP('Job Control'!$B$3, INPUT_JobSettings!$A:$A, INPUT_JobSettings!$G:$G, ""), Summary!$B$5)))</f>
        <v/>
      </c>
    </row>
    <row r="202">
      <c r="A202" s="8" t="n"/>
      <c r="B202" s="8" t="n"/>
      <c r="C202" s="8" t="n"/>
      <c r="D202" s="8" t="n"/>
      <c r="E202" s="8" t="n"/>
      <c r="F202" s="8" t="n"/>
      <c r="G202" s="8" t="n"/>
      <c r="H202" s="8" t="n"/>
      <c r="I202" s="6">
        <f>IF(OR(A202="",C202=""),"", XLOOKUP(C202, Constants!$A:$A, Constants!$C:$C, ""))</f>
        <v/>
      </c>
      <c r="J202" s="6">
        <f>IF(OR(A202="",C202=""),"", D202 * (IF(G202="", 1, XLOOKUP(G202, Constants!$E$10:$E$30, Constants!$F$10:$F$30, 1))) * XLOOKUP(C202, Constants!$A:$A, Constants!$D:$D, 0))</f>
        <v/>
      </c>
      <c r="K202" s="6">
        <f>IF(OR(A202="",C202=""),"", D202 * F202 * XLOOKUP(C202, Constants!$A:$A, Constants!$E:$E, 0))</f>
        <v/>
      </c>
      <c r="L202" s="6">
        <f>IF(OR(A202="",C202=""),"", IF(E202="None",0, D202 * IF(E202="Full",1,XLOOKUP("PrimerSpotFactor",Constants!$A$20:$A$40,Constants!$B$20:$B$40,0.35)) * XLOOKUP(C202, Constants!$A:$A, Constants!$F:$F, 0)))</f>
        <v/>
      </c>
      <c r="M202" s="6">
        <f>IF(OR(A202="",C202=""),"", J202+K202+L202)</f>
        <v/>
      </c>
      <c r="N202" s="6">
        <f>IF(OR(A202="",C202=""),"", M202/60)</f>
        <v/>
      </c>
      <c r="O202" s="6">
        <f>IF(OR(A202="",C202=""),"", N202*(IF(XLOOKUP('Job Control'!$B$3, INPUT_JobSettings!$A:$A, INPUT_JobSettings!$F:$F, "")&lt;&gt;"", XLOOKUP('Job Control'!$B$3, INPUT_JobSettings!$A:$A, INPUT_JobSettings!$F:$F, ""), Summary!$B$4)))</f>
        <v/>
      </c>
      <c r="P202" s="6">
        <f>IF(OR(A202="",C202=""),"", 0)</f>
        <v/>
      </c>
      <c r="Q202" s="6">
        <f>IF(OR(A202="",C202=""),"", (O202+P202)*(IF(XLOOKUP('Job Control'!$B$3, INPUT_JobSettings!$A:$A, INPUT_JobSettings!$G:$G, "")&lt;&gt;"", XLOOKUP('Job Control'!$B$3, INPUT_JobSettings!$A:$A, INPUT_JobSettings!$G:$G, ""), Summary!$B$5)))</f>
        <v/>
      </c>
    </row>
    <row r="203">
      <c r="A203" s="8" t="n"/>
      <c r="B203" s="8" t="n"/>
      <c r="C203" s="8" t="n"/>
      <c r="D203" s="8" t="n"/>
      <c r="E203" s="8" t="n"/>
      <c r="F203" s="8" t="n"/>
      <c r="G203" s="8" t="n"/>
      <c r="H203" s="8" t="n"/>
      <c r="I203" s="6">
        <f>IF(OR(A203="",C203=""),"", XLOOKUP(C203, Constants!$A:$A, Constants!$C:$C, ""))</f>
        <v/>
      </c>
      <c r="J203" s="6">
        <f>IF(OR(A203="",C203=""),"", D203 * (IF(G203="", 1, XLOOKUP(G203, Constants!$E$10:$E$30, Constants!$F$10:$F$30, 1))) * XLOOKUP(C203, Constants!$A:$A, Constants!$D:$D, 0))</f>
        <v/>
      </c>
      <c r="K203" s="6">
        <f>IF(OR(A203="",C203=""),"", D203 * F203 * XLOOKUP(C203, Constants!$A:$A, Constants!$E:$E, 0))</f>
        <v/>
      </c>
      <c r="L203" s="6">
        <f>IF(OR(A203="",C203=""),"", IF(E203="None",0, D203 * IF(E203="Full",1,XLOOKUP("PrimerSpotFactor",Constants!$A$20:$A$40,Constants!$B$20:$B$40,0.35)) * XLOOKUP(C203, Constants!$A:$A, Constants!$F:$F, 0)))</f>
        <v/>
      </c>
      <c r="M203" s="6">
        <f>IF(OR(A203="",C203=""),"", J203+K203+L203)</f>
        <v/>
      </c>
      <c r="N203" s="6">
        <f>IF(OR(A203="",C203=""),"", M203/60)</f>
        <v/>
      </c>
      <c r="O203" s="6">
        <f>IF(OR(A203="",C203=""),"", N203*(IF(XLOOKUP('Job Control'!$B$3, INPUT_JobSettings!$A:$A, INPUT_JobSettings!$F:$F, "")&lt;&gt;"", XLOOKUP('Job Control'!$B$3, INPUT_JobSettings!$A:$A, INPUT_JobSettings!$F:$F, ""), Summary!$B$4)))</f>
        <v/>
      </c>
      <c r="P203" s="6">
        <f>IF(OR(A203="",C203=""),"", 0)</f>
        <v/>
      </c>
      <c r="Q203" s="6">
        <f>IF(OR(A203="",C203=""),"", (O203+P203)*(IF(XLOOKUP('Job Control'!$B$3, INPUT_JobSettings!$A:$A, INPUT_JobSettings!$G:$G, "")&lt;&gt;"", XLOOKUP('Job Control'!$B$3, INPUT_JobSettings!$A:$A, INPUT_JobSettings!$G:$G, ""), Summary!$B$5)))</f>
        <v/>
      </c>
    </row>
    <row r="204">
      <c r="A204" s="8" t="n"/>
      <c r="B204" s="8" t="n"/>
      <c r="C204" s="8" t="n"/>
      <c r="D204" s="8" t="n"/>
      <c r="E204" s="8" t="n"/>
      <c r="F204" s="8" t="n"/>
      <c r="G204" s="8" t="n"/>
      <c r="H204" s="8" t="n"/>
      <c r="I204" s="6">
        <f>IF(OR(A204="",C204=""),"", XLOOKUP(C204, Constants!$A:$A, Constants!$C:$C, ""))</f>
        <v/>
      </c>
      <c r="J204" s="6">
        <f>IF(OR(A204="",C204=""),"", D204 * (IF(G204="", 1, XLOOKUP(G204, Constants!$E$10:$E$30, Constants!$F$10:$F$30, 1))) * XLOOKUP(C204, Constants!$A:$A, Constants!$D:$D, 0))</f>
        <v/>
      </c>
      <c r="K204" s="6">
        <f>IF(OR(A204="",C204=""),"", D204 * F204 * XLOOKUP(C204, Constants!$A:$A, Constants!$E:$E, 0))</f>
        <v/>
      </c>
      <c r="L204" s="6">
        <f>IF(OR(A204="",C204=""),"", IF(E204="None",0, D204 * IF(E204="Full",1,XLOOKUP("PrimerSpotFactor",Constants!$A$20:$A$40,Constants!$B$20:$B$40,0.35)) * XLOOKUP(C204, Constants!$A:$A, Constants!$F:$F, 0)))</f>
        <v/>
      </c>
      <c r="M204" s="6">
        <f>IF(OR(A204="",C204=""),"", J204+K204+L204)</f>
        <v/>
      </c>
      <c r="N204" s="6">
        <f>IF(OR(A204="",C204=""),"", M204/60)</f>
        <v/>
      </c>
      <c r="O204" s="6">
        <f>IF(OR(A204="",C204=""),"", N204*(IF(XLOOKUP('Job Control'!$B$3, INPUT_JobSettings!$A:$A, INPUT_JobSettings!$F:$F, "")&lt;&gt;"", XLOOKUP('Job Control'!$B$3, INPUT_JobSettings!$A:$A, INPUT_JobSettings!$F:$F, ""), Summary!$B$4)))</f>
        <v/>
      </c>
      <c r="P204" s="6">
        <f>IF(OR(A204="",C204=""),"", 0)</f>
        <v/>
      </c>
      <c r="Q204" s="6">
        <f>IF(OR(A204="",C204=""),"", (O204+P204)*(IF(XLOOKUP('Job Control'!$B$3, INPUT_JobSettings!$A:$A, INPUT_JobSettings!$G:$G, "")&lt;&gt;"", XLOOKUP('Job Control'!$B$3, INPUT_JobSettings!$A:$A, INPUT_JobSettings!$G:$G, ""), Summary!$B$5)))</f>
        <v/>
      </c>
    </row>
    <row r="205">
      <c r="A205" s="8" t="n"/>
      <c r="B205" s="8" t="n"/>
      <c r="C205" s="8" t="n"/>
      <c r="D205" s="8" t="n"/>
      <c r="E205" s="8" t="n"/>
      <c r="F205" s="8" t="n"/>
      <c r="G205" s="8" t="n"/>
      <c r="H205" s="8" t="n"/>
      <c r="I205" s="6">
        <f>IF(OR(A205="",C205=""),"", XLOOKUP(C205, Constants!$A:$A, Constants!$C:$C, ""))</f>
        <v/>
      </c>
      <c r="J205" s="6">
        <f>IF(OR(A205="",C205=""),"", D205 * (IF(G205="", 1, XLOOKUP(G205, Constants!$E$10:$E$30, Constants!$F$10:$F$30, 1))) * XLOOKUP(C205, Constants!$A:$A, Constants!$D:$D, 0))</f>
        <v/>
      </c>
      <c r="K205" s="6">
        <f>IF(OR(A205="",C205=""),"", D205 * F205 * XLOOKUP(C205, Constants!$A:$A, Constants!$E:$E, 0))</f>
        <v/>
      </c>
      <c r="L205" s="6">
        <f>IF(OR(A205="",C205=""),"", IF(E205="None",0, D205 * IF(E205="Full",1,XLOOKUP("PrimerSpotFactor",Constants!$A$20:$A$40,Constants!$B$20:$B$40,0.35)) * XLOOKUP(C205, Constants!$A:$A, Constants!$F:$F, 0)))</f>
        <v/>
      </c>
      <c r="M205" s="6">
        <f>IF(OR(A205="",C205=""),"", J205+K205+L205)</f>
        <v/>
      </c>
      <c r="N205" s="6">
        <f>IF(OR(A205="",C205=""),"", M205/60)</f>
        <v/>
      </c>
      <c r="O205" s="6">
        <f>IF(OR(A205="",C205=""),"", N205*(IF(XLOOKUP('Job Control'!$B$3, INPUT_JobSettings!$A:$A, INPUT_JobSettings!$F:$F, "")&lt;&gt;"", XLOOKUP('Job Control'!$B$3, INPUT_JobSettings!$A:$A, INPUT_JobSettings!$F:$F, ""), Summary!$B$4)))</f>
        <v/>
      </c>
      <c r="P205" s="6">
        <f>IF(OR(A205="",C205=""),"", 0)</f>
        <v/>
      </c>
      <c r="Q205" s="6">
        <f>IF(OR(A205="",C205=""),"", (O205+P205)*(IF(XLOOKUP('Job Control'!$B$3, INPUT_JobSettings!$A:$A, INPUT_JobSettings!$G:$G, "")&lt;&gt;"", XLOOKUP('Job Control'!$B$3, INPUT_JobSettings!$A:$A, INPUT_JobSettings!$G:$G, ""), Summary!$B$5)))</f>
        <v/>
      </c>
    </row>
    <row r="206">
      <c r="A206" s="8" t="n"/>
      <c r="B206" s="8" t="n"/>
      <c r="C206" s="8" t="n"/>
      <c r="D206" s="8" t="n"/>
      <c r="E206" s="8" t="n"/>
      <c r="F206" s="8" t="n"/>
      <c r="G206" s="8" t="n"/>
      <c r="H206" s="8" t="n"/>
      <c r="I206" s="6">
        <f>IF(OR(A206="",C206=""),"", XLOOKUP(C206, Constants!$A:$A, Constants!$C:$C, ""))</f>
        <v/>
      </c>
      <c r="J206" s="6">
        <f>IF(OR(A206="",C206=""),"", D206 * (IF(G206="", 1, XLOOKUP(G206, Constants!$E$10:$E$30, Constants!$F$10:$F$30, 1))) * XLOOKUP(C206, Constants!$A:$A, Constants!$D:$D, 0))</f>
        <v/>
      </c>
      <c r="K206" s="6">
        <f>IF(OR(A206="",C206=""),"", D206 * F206 * XLOOKUP(C206, Constants!$A:$A, Constants!$E:$E, 0))</f>
        <v/>
      </c>
      <c r="L206" s="6">
        <f>IF(OR(A206="",C206=""),"", IF(E206="None",0, D206 * IF(E206="Full",1,XLOOKUP("PrimerSpotFactor",Constants!$A$20:$A$40,Constants!$B$20:$B$40,0.35)) * XLOOKUP(C206, Constants!$A:$A, Constants!$F:$F, 0)))</f>
        <v/>
      </c>
      <c r="M206" s="6">
        <f>IF(OR(A206="",C206=""),"", J206+K206+L206)</f>
        <v/>
      </c>
      <c r="N206" s="6">
        <f>IF(OR(A206="",C206=""),"", M206/60)</f>
        <v/>
      </c>
      <c r="O206" s="6">
        <f>IF(OR(A206="",C206=""),"", N206*(IF(XLOOKUP('Job Control'!$B$3, INPUT_JobSettings!$A:$A, INPUT_JobSettings!$F:$F, "")&lt;&gt;"", XLOOKUP('Job Control'!$B$3, INPUT_JobSettings!$A:$A, INPUT_JobSettings!$F:$F, ""), Summary!$B$4)))</f>
        <v/>
      </c>
      <c r="P206" s="6">
        <f>IF(OR(A206="",C206=""),"", 0)</f>
        <v/>
      </c>
      <c r="Q206" s="6">
        <f>IF(OR(A206="",C206=""),"", (O206+P206)*(IF(XLOOKUP('Job Control'!$B$3, INPUT_JobSettings!$A:$A, INPUT_JobSettings!$G:$G, "")&lt;&gt;"", XLOOKUP('Job Control'!$B$3, INPUT_JobSettings!$A:$A, INPUT_JobSettings!$G:$G, ""), Summary!$B$5)))</f>
        <v/>
      </c>
    </row>
    <row r="207">
      <c r="A207" s="8" t="n"/>
      <c r="B207" s="8" t="n"/>
      <c r="C207" s="8" t="n"/>
      <c r="D207" s="8" t="n"/>
      <c r="E207" s="8" t="n"/>
      <c r="F207" s="8" t="n"/>
      <c r="G207" s="8" t="n"/>
      <c r="H207" s="8" t="n"/>
      <c r="I207" s="6">
        <f>IF(OR(A207="",C207=""),"", XLOOKUP(C207, Constants!$A:$A, Constants!$C:$C, ""))</f>
        <v/>
      </c>
      <c r="J207" s="6">
        <f>IF(OR(A207="",C207=""),"", D207 * (IF(G207="", 1, XLOOKUP(G207, Constants!$E$10:$E$30, Constants!$F$10:$F$30, 1))) * XLOOKUP(C207, Constants!$A:$A, Constants!$D:$D, 0))</f>
        <v/>
      </c>
      <c r="K207" s="6">
        <f>IF(OR(A207="",C207=""),"", D207 * F207 * XLOOKUP(C207, Constants!$A:$A, Constants!$E:$E, 0))</f>
        <v/>
      </c>
      <c r="L207" s="6">
        <f>IF(OR(A207="",C207=""),"", IF(E207="None",0, D207 * IF(E207="Full",1,XLOOKUP("PrimerSpotFactor",Constants!$A$20:$A$40,Constants!$B$20:$B$40,0.35)) * XLOOKUP(C207, Constants!$A:$A, Constants!$F:$F, 0)))</f>
        <v/>
      </c>
      <c r="M207" s="6">
        <f>IF(OR(A207="",C207=""),"", J207+K207+L207)</f>
        <v/>
      </c>
      <c r="N207" s="6">
        <f>IF(OR(A207="",C207=""),"", M207/60)</f>
        <v/>
      </c>
      <c r="O207" s="6">
        <f>IF(OR(A207="",C207=""),"", N207*(IF(XLOOKUP('Job Control'!$B$3, INPUT_JobSettings!$A:$A, INPUT_JobSettings!$F:$F, "")&lt;&gt;"", XLOOKUP('Job Control'!$B$3, INPUT_JobSettings!$A:$A, INPUT_JobSettings!$F:$F, ""), Summary!$B$4)))</f>
        <v/>
      </c>
      <c r="P207" s="6">
        <f>IF(OR(A207="",C207=""),"", 0)</f>
        <v/>
      </c>
      <c r="Q207" s="6">
        <f>IF(OR(A207="",C207=""),"", (O207+P207)*(IF(XLOOKUP('Job Control'!$B$3, INPUT_JobSettings!$A:$A, INPUT_JobSettings!$G:$G, "")&lt;&gt;"", XLOOKUP('Job Control'!$B$3, INPUT_JobSettings!$A:$A, INPUT_JobSettings!$G:$G, ""), Summary!$B$5)))</f>
        <v/>
      </c>
    </row>
    <row r="208">
      <c r="A208" s="8" t="n"/>
      <c r="B208" s="8" t="n"/>
      <c r="C208" s="8" t="n"/>
      <c r="D208" s="8" t="n"/>
      <c r="E208" s="8" t="n"/>
      <c r="F208" s="8" t="n"/>
      <c r="G208" s="8" t="n"/>
      <c r="H208" s="8" t="n"/>
      <c r="I208" s="6">
        <f>IF(OR(A208="",C208=""),"", XLOOKUP(C208, Constants!$A:$A, Constants!$C:$C, ""))</f>
        <v/>
      </c>
      <c r="J208" s="6">
        <f>IF(OR(A208="",C208=""),"", D208 * (IF(G208="", 1, XLOOKUP(G208, Constants!$E$10:$E$30, Constants!$F$10:$F$30, 1))) * XLOOKUP(C208, Constants!$A:$A, Constants!$D:$D, 0))</f>
        <v/>
      </c>
      <c r="K208" s="6">
        <f>IF(OR(A208="",C208=""),"", D208 * F208 * XLOOKUP(C208, Constants!$A:$A, Constants!$E:$E, 0))</f>
        <v/>
      </c>
      <c r="L208" s="6">
        <f>IF(OR(A208="",C208=""),"", IF(E208="None",0, D208 * IF(E208="Full",1,XLOOKUP("PrimerSpotFactor",Constants!$A$20:$A$40,Constants!$B$20:$B$40,0.35)) * XLOOKUP(C208, Constants!$A:$A, Constants!$F:$F, 0)))</f>
        <v/>
      </c>
      <c r="M208" s="6">
        <f>IF(OR(A208="",C208=""),"", J208+K208+L208)</f>
        <v/>
      </c>
      <c r="N208" s="6">
        <f>IF(OR(A208="",C208=""),"", M208/60)</f>
        <v/>
      </c>
      <c r="O208" s="6">
        <f>IF(OR(A208="",C208=""),"", N208*(IF(XLOOKUP('Job Control'!$B$3, INPUT_JobSettings!$A:$A, INPUT_JobSettings!$F:$F, "")&lt;&gt;"", XLOOKUP('Job Control'!$B$3, INPUT_JobSettings!$A:$A, INPUT_JobSettings!$F:$F, ""), Summary!$B$4)))</f>
        <v/>
      </c>
      <c r="P208" s="6">
        <f>IF(OR(A208="",C208=""),"", 0)</f>
        <v/>
      </c>
      <c r="Q208" s="6">
        <f>IF(OR(A208="",C208=""),"", (O208+P208)*(IF(XLOOKUP('Job Control'!$B$3, INPUT_JobSettings!$A:$A, INPUT_JobSettings!$G:$G, "")&lt;&gt;"", XLOOKUP('Job Control'!$B$3, INPUT_JobSettings!$A:$A, INPUT_JobSettings!$G:$G, ""), Summary!$B$5)))</f>
        <v/>
      </c>
    </row>
    <row r="209">
      <c r="A209" s="8" t="n"/>
      <c r="B209" s="8" t="n"/>
      <c r="C209" s="8" t="n"/>
      <c r="D209" s="8" t="n"/>
      <c r="E209" s="8" t="n"/>
      <c r="F209" s="8" t="n"/>
      <c r="G209" s="8" t="n"/>
      <c r="H209" s="8" t="n"/>
      <c r="I209" s="6">
        <f>IF(OR(A209="",C209=""),"", XLOOKUP(C209, Constants!$A:$A, Constants!$C:$C, ""))</f>
        <v/>
      </c>
      <c r="J209" s="6">
        <f>IF(OR(A209="",C209=""),"", D209 * (IF(G209="", 1, XLOOKUP(G209, Constants!$E$10:$E$30, Constants!$F$10:$F$30, 1))) * XLOOKUP(C209, Constants!$A:$A, Constants!$D:$D, 0))</f>
        <v/>
      </c>
      <c r="K209" s="6">
        <f>IF(OR(A209="",C209=""),"", D209 * F209 * XLOOKUP(C209, Constants!$A:$A, Constants!$E:$E, 0))</f>
        <v/>
      </c>
      <c r="L209" s="6">
        <f>IF(OR(A209="",C209=""),"", IF(E209="None",0, D209 * IF(E209="Full",1,XLOOKUP("PrimerSpotFactor",Constants!$A$20:$A$40,Constants!$B$20:$B$40,0.35)) * XLOOKUP(C209, Constants!$A:$A, Constants!$F:$F, 0)))</f>
        <v/>
      </c>
      <c r="M209" s="6">
        <f>IF(OR(A209="",C209=""),"", J209+K209+L209)</f>
        <v/>
      </c>
      <c r="N209" s="6">
        <f>IF(OR(A209="",C209=""),"", M209/60)</f>
        <v/>
      </c>
      <c r="O209" s="6">
        <f>IF(OR(A209="",C209=""),"", N209*(IF(XLOOKUP('Job Control'!$B$3, INPUT_JobSettings!$A:$A, INPUT_JobSettings!$F:$F, "")&lt;&gt;"", XLOOKUP('Job Control'!$B$3, INPUT_JobSettings!$A:$A, INPUT_JobSettings!$F:$F, ""), Summary!$B$4)))</f>
        <v/>
      </c>
      <c r="P209" s="6">
        <f>IF(OR(A209="",C209=""),"", 0)</f>
        <v/>
      </c>
      <c r="Q209" s="6">
        <f>IF(OR(A209="",C209=""),"", (O209+P209)*(IF(XLOOKUP('Job Control'!$B$3, INPUT_JobSettings!$A:$A, INPUT_JobSettings!$G:$G, "")&lt;&gt;"", XLOOKUP('Job Control'!$B$3, INPUT_JobSettings!$A:$A, INPUT_JobSettings!$G:$G, ""), Summary!$B$5)))</f>
        <v/>
      </c>
    </row>
    <row r="210">
      <c r="A210" s="8" t="n"/>
      <c r="B210" s="8" t="n"/>
      <c r="C210" s="8" t="n"/>
      <c r="D210" s="8" t="n"/>
      <c r="E210" s="8" t="n"/>
      <c r="F210" s="8" t="n"/>
      <c r="G210" s="8" t="n"/>
      <c r="H210" s="8" t="n"/>
      <c r="I210" s="6">
        <f>IF(OR(A210="",C210=""),"", XLOOKUP(C210, Constants!$A:$A, Constants!$C:$C, ""))</f>
        <v/>
      </c>
      <c r="J210" s="6">
        <f>IF(OR(A210="",C210=""),"", D210 * (IF(G210="", 1, XLOOKUP(G210, Constants!$E$10:$E$30, Constants!$F$10:$F$30, 1))) * XLOOKUP(C210, Constants!$A:$A, Constants!$D:$D, 0))</f>
        <v/>
      </c>
      <c r="K210" s="6">
        <f>IF(OR(A210="",C210=""),"", D210 * F210 * XLOOKUP(C210, Constants!$A:$A, Constants!$E:$E, 0))</f>
        <v/>
      </c>
      <c r="L210" s="6">
        <f>IF(OR(A210="",C210=""),"", IF(E210="None",0, D210 * IF(E210="Full",1,XLOOKUP("PrimerSpotFactor",Constants!$A$20:$A$40,Constants!$B$20:$B$40,0.35)) * XLOOKUP(C210, Constants!$A:$A, Constants!$F:$F, 0)))</f>
        <v/>
      </c>
      <c r="M210" s="6">
        <f>IF(OR(A210="",C210=""),"", J210+K210+L210)</f>
        <v/>
      </c>
      <c r="N210" s="6">
        <f>IF(OR(A210="",C210=""),"", M210/60)</f>
        <v/>
      </c>
      <c r="O210" s="6">
        <f>IF(OR(A210="",C210=""),"", N210*(IF(XLOOKUP('Job Control'!$B$3, INPUT_JobSettings!$A:$A, INPUT_JobSettings!$F:$F, "")&lt;&gt;"", XLOOKUP('Job Control'!$B$3, INPUT_JobSettings!$A:$A, INPUT_JobSettings!$F:$F, ""), Summary!$B$4)))</f>
        <v/>
      </c>
      <c r="P210" s="6">
        <f>IF(OR(A210="",C210=""),"", 0)</f>
        <v/>
      </c>
      <c r="Q210" s="6">
        <f>IF(OR(A210="",C210=""),"", (O210+P210)*(IF(XLOOKUP('Job Control'!$B$3, INPUT_JobSettings!$A:$A, INPUT_JobSettings!$G:$G, "")&lt;&gt;"", XLOOKUP('Job Control'!$B$3, INPUT_JobSettings!$A:$A, INPUT_JobSettings!$G:$G, ""), Summary!$B$5)))</f>
        <v/>
      </c>
    </row>
    <row r="211">
      <c r="A211" s="8" t="n"/>
      <c r="B211" s="8" t="n"/>
      <c r="C211" s="8" t="n"/>
      <c r="D211" s="8" t="n"/>
      <c r="E211" s="8" t="n"/>
      <c r="F211" s="8" t="n"/>
      <c r="G211" s="8" t="n"/>
      <c r="H211" s="8" t="n"/>
      <c r="I211" s="6">
        <f>IF(OR(A211="",C211=""),"", XLOOKUP(C211, Constants!$A:$A, Constants!$C:$C, ""))</f>
        <v/>
      </c>
      <c r="J211" s="6">
        <f>IF(OR(A211="",C211=""),"", D211 * (IF(G211="", 1, XLOOKUP(G211, Constants!$E$10:$E$30, Constants!$F$10:$F$30, 1))) * XLOOKUP(C211, Constants!$A:$A, Constants!$D:$D, 0))</f>
        <v/>
      </c>
      <c r="K211" s="6">
        <f>IF(OR(A211="",C211=""),"", D211 * F211 * XLOOKUP(C211, Constants!$A:$A, Constants!$E:$E, 0))</f>
        <v/>
      </c>
      <c r="L211" s="6">
        <f>IF(OR(A211="",C211=""),"", IF(E211="None",0, D211 * IF(E211="Full",1,XLOOKUP("PrimerSpotFactor",Constants!$A$20:$A$40,Constants!$B$20:$B$40,0.35)) * XLOOKUP(C211, Constants!$A:$A, Constants!$F:$F, 0)))</f>
        <v/>
      </c>
      <c r="M211" s="6">
        <f>IF(OR(A211="",C211=""),"", J211+K211+L211)</f>
        <v/>
      </c>
      <c r="N211" s="6">
        <f>IF(OR(A211="",C211=""),"", M211/60)</f>
        <v/>
      </c>
      <c r="O211" s="6">
        <f>IF(OR(A211="",C211=""),"", N211*(IF(XLOOKUP('Job Control'!$B$3, INPUT_JobSettings!$A:$A, INPUT_JobSettings!$F:$F, "")&lt;&gt;"", XLOOKUP('Job Control'!$B$3, INPUT_JobSettings!$A:$A, INPUT_JobSettings!$F:$F, ""), Summary!$B$4)))</f>
        <v/>
      </c>
      <c r="P211" s="6">
        <f>IF(OR(A211="",C211=""),"", 0)</f>
        <v/>
      </c>
      <c r="Q211" s="6">
        <f>IF(OR(A211="",C211=""),"", (O211+P211)*(IF(XLOOKUP('Job Control'!$B$3, INPUT_JobSettings!$A:$A, INPUT_JobSettings!$G:$G, "")&lt;&gt;"", XLOOKUP('Job Control'!$B$3, INPUT_JobSettings!$A:$A, INPUT_JobSettings!$G:$G, ""), Summary!$B$5)))</f>
        <v/>
      </c>
    </row>
    <row r="212">
      <c r="A212" s="8" t="n"/>
      <c r="B212" s="8" t="n"/>
      <c r="C212" s="8" t="n"/>
      <c r="D212" s="8" t="n"/>
      <c r="E212" s="8" t="n"/>
      <c r="F212" s="8" t="n"/>
      <c r="G212" s="8" t="n"/>
      <c r="H212" s="8" t="n"/>
      <c r="I212" s="6">
        <f>IF(OR(A212="",C212=""),"", XLOOKUP(C212, Constants!$A:$A, Constants!$C:$C, ""))</f>
        <v/>
      </c>
      <c r="J212" s="6">
        <f>IF(OR(A212="",C212=""),"", D212 * (IF(G212="", 1, XLOOKUP(G212, Constants!$E$10:$E$30, Constants!$F$10:$F$30, 1))) * XLOOKUP(C212, Constants!$A:$A, Constants!$D:$D, 0))</f>
        <v/>
      </c>
      <c r="K212" s="6">
        <f>IF(OR(A212="",C212=""),"", D212 * F212 * XLOOKUP(C212, Constants!$A:$A, Constants!$E:$E, 0))</f>
        <v/>
      </c>
      <c r="L212" s="6">
        <f>IF(OR(A212="",C212=""),"", IF(E212="None",0, D212 * IF(E212="Full",1,XLOOKUP("PrimerSpotFactor",Constants!$A$20:$A$40,Constants!$B$20:$B$40,0.35)) * XLOOKUP(C212, Constants!$A:$A, Constants!$F:$F, 0)))</f>
        <v/>
      </c>
      <c r="M212" s="6">
        <f>IF(OR(A212="",C212=""),"", J212+K212+L212)</f>
        <v/>
      </c>
      <c r="N212" s="6">
        <f>IF(OR(A212="",C212=""),"", M212/60)</f>
        <v/>
      </c>
      <c r="O212" s="6">
        <f>IF(OR(A212="",C212=""),"", N212*(IF(XLOOKUP('Job Control'!$B$3, INPUT_JobSettings!$A:$A, INPUT_JobSettings!$F:$F, "")&lt;&gt;"", XLOOKUP('Job Control'!$B$3, INPUT_JobSettings!$A:$A, INPUT_JobSettings!$F:$F, ""), Summary!$B$4)))</f>
        <v/>
      </c>
      <c r="P212" s="6">
        <f>IF(OR(A212="",C212=""),"", 0)</f>
        <v/>
      </c>
      <c r="Q212" s="6">
        <f>IF(OR(A212="",C212=""),"", (O212+P212)*(IF(XLOOKUP('Job Control'!$B$3, INPUT_JobSettings!$A:$A, INPUT_JobSettings!$G:$G, "")&lt;&gt;"", XLOOKUP('Job Control'!$B$3, INPUT_JobSettings!$A:$A, INPUT_JobSettings!$G:$G, ""), Summary!$B$5)))</f>
        <v/>
      </c>
    </row>
    <row r="213">
      <c r="A213" s="8" t="n"/>
      <c r="B213" s="8" t="n"/>
      <c r="C213" s="8" t="n"/>
      <c r="D213" s="8" t="n"/>
      <c r="E213" s="8" t="n"/>
      <c r="F213" s="8" t="n"/>
      <c r="G213" s="8" t="n"/>
      <c r="H213" s="8" t="n"/>
      <c r="I213" s="6">
        <f>IF(OR(A213="",C213=""),"", XLOOKUP(C213, Constants!$A:$A, Constants!$C:$C, ""))</f>
        <v/>
      </c>
      <c r="J213" s="6">
        <f>IF(OR(A213="",C213=""),"", D213 * (IF(G213="", 1, XLOOKUP(G213, Constants!$E$10:$E$30, Constants!$F$10:$F$30, 1))) * XLOOKUP(C213, Constants!$A:$A, Constants!$D:$D, 0))</f>
        <v/>
      </c>
      <c r="K213" s="6">
        <f>IF(OR(A213="",C213=""),"", D213 * F213 * XLOOKUP(C213, Constants!$A:$A, Constants!$E:$E, 0))</f>
        <v/>
      </c>
      <c r="L213" s="6">
        <f>IF(OR(A213="",C213=""),"", IF(E213="None",0, D213 * IF(E213="Full",1,XLOOKUP("PrimerSpotFactor",Constants!$A$20:$A$40,Constants!$B$20:$B$40,0.35)) * XLOOKUP(C213, Constants!$A:$A, Constants!$F:$F, 0)))</f>
        <v/>
      </c>
      <c r="M213" s="6">
        <f>IF(OR(A213="",C213=""),"", J213+K213+L213)</f>
        <v/>
      </c>
      <c r="N213" s="6">
        <f>IF(OR(A213="",C213=""),"", M213/60)</f>
        <v/>
      </c>
      <c r="O213" s="6">
        <f>IF(OR(A213="",C213=""),"", N213*(IF(XLOOKUP('Job Control'!$B$3, INPUT_JobSettings!$A:$A, INPUT_JobSettings!$F:$F, "")&lt;&gt;"", XLOOKUP('Job Control'!$B$3, INPUT_JobSettings!$A:$A, INPUT_JobSettings!$F:$F, ""), Summary!$B$4)))</f>
        <v/>
      </c>
      <c r="P213" s="6">
        <f>IF(OR(A213="",C213=""),"", 0)</f>
        <v/>
      </c>
      <c r="Q213" s="6">
        <f>IF(OR(A213="",C213=""),"", (O213+P213)*(IF(XLOOKUP('Job Control'!$B$3, INPUT_JobSettings!$A:$A, INPUT_JobSettings!$G:$G, "")&lt;&gt;"", XLOOKUP('Job Control'!$B$3, INPUT_JobSettings!$A:$A, INPUT_JobSettings!$G:$G, ""), Summary!$B$5)))</f>
        <v/>
      </c>
    </row>
    <row r="214">
      <c r="A214" s="8" t="n"/>
      <c r="B214" s="8" t="n"/>
      <c r="C214" s="8" t="n"/>
      <c r="D214" s="8" t="n"/>
      <c r="E214" s="8" t="n"/>
      <c r="F214" s="8" t="n"/>
      <c r="G214" s="8" t="n"/>
      <c r="H214" s="8" t="n"/>
      <c r="I214" s="6">
        <f>IF(OR(A214="",C214=""),"", XLOOKUP(C214, Constants!$A:$A, Constants!$C:$C, ""))</f>
        <v/>
      </c>
      <c r="J214" s="6">
        <f>IF(OR(A214="",C214=""),"", D214 * (IF(G214="", 1, XLOOKUP(G214, Constants!$E$10:$E$30, Constants!$F$10:$F$30, 1))) * XLOOKUP(C214, Constants!$A:$A, Constants!$D:$D, 0))</f>
        <v/>
      </c>
      <c r="K214" s="6">
        <f>IF(OR(A214="",C214=""),"", D214 * F214 * XLOOKUP(C214, Constants!$A:$A, Constants!$E:$E, 0))</f>
        <v/>
      </c>
      <c r="L214" s="6">
        <f>IF(OR(A214="",C214=""),"", IF(E214="None",0, D214 * IF(E214="Full",1,XLOOKUP("PrimerSpotFactor",Constants!$A$20:$A$40,Constants!$B$20:$B$40,0.35)) * XLOOKUP(C214, Constants!$A:$A, Constants!$F:$F, 0)))</f>
        <v/>
      </c>
      <c r="M214" s="6">
        <f>IF(OR(A214="",C214=""),"", J214+K214+L214)</f>
        <v/>
      </c>
      <c r="N214" s="6">
        <f>IF(OR(A214="",C214=""),"", M214/60)</f>
        <v/>
      </c>
      <c r="O214" s="6">
        <f>IF(OR(A214="",C214=""),"", N214*(IF(XLOOKUP('Job Control'!$B$3, INPUT_JobSettings!$A:$A, INPUT_JobSettings!$F:$F, "")&lt;&gt;"", XLOOKUP('Job Control'!$B$3, INPUT_JobSettings!$A:$A, INPUT_JobSettings!$F:$F, ""), Summary!$B$4)))</f>
        <v/>
      </c>
      <c r="P214" s="6">
        <f>IF(OR(A214="",C214=""),"", 0)</f>
        <v/>
      </c>
      <c r="Q214" s="6">
        <f>IF(OR(A214="",C214=""),"", (O214+P214)*(IF(XLOOKUP('Job Control'!$B$3, INPUT_JobSettings!$A:$A, INPUT_JobSettings!$G:$G, "")&lt;&gt;"", XLOOKUP('Job Control'!$B$3, INPUT_JobSettings!$A:$A, INPUT_JobSettings!$G:$G, ""), Summary!$B$5)))</f>
        <v/>
      </c>
    </row>
    <row r="215">
      <c r="A215" s="8" t="n"/>
      <c r="B215" s="8" t="n"/>
      <c r="C215" s="8" t="n"/>
      <c r="D215" s="8" t="n"/>
      <c r="E215" s="8" t="n"/>
      <c r="F215" s="8" t="n"/>
      <c r="G215" s="8" t="n"/>
      <c r="H215" s="8" t="n"/>
      <c r="I215" s="6">
        <f>IF(OR(A215="",C215=""),"", XLOOKUP(C215, Constants!$A:$A, Constants!$C:$C, ""))</f>
        <v/>
      </c>
      <c r="J215" s="6">
        <f>IF(OR(A215="",C215=""),"", D215 * (IF(G215="", 1, XLOOKUP(G215, Constants!$E$10:$E$30, Constants!$F$10:$F$30, 1))) * XLOOKUP(C215, Constants!$A:$A, Constants!$D:$D, 0))</f>
        <v/>
      </c>
      <c r="K215" s="6">
        <f>IF(OR(A215="",C215=""),"", D215 * F215 * XLOOKUP(C215, Constants!$A:$A, Constants!$E:$E, 0))</f>
        <v/>
      </c>
      <c r="L215" s="6">
        <f>IF(OR(A215="",C215=""),"", IF(E215="None",0, D215 * IF(E215="Full",1,XLOOKUP("PrimerSpotFactor",Constants!$A$20:$A$40,Constants!$B$20:$B$40,0.35)) * XLOOKUP(C215, Constants!$A:$A, Constants!$F:$F, 0)))</f>
        <v/>
      </c>
      <c r="M215" s="6">
        <f>IF(OR(A215="",C215=""),"", J215+K215+L215)</f>
        <v/>
      </c>
      <c r="N215" s="6">
        <f>IF(OR(A215="",C215=""),"", M215/60)</f>
        <v/>
      </c>
      <c r="O215" s="6">
        <f>IF(OR(A215="",C215=""),"", N215*(IF(XLOOKUP('Job Control'!$B$3, INPUT_JobSettings!$A:$A, INPUT_JobSettings!$F:$F, "")&lt;&gt;"", XLOOKUP('Job Control'!$B$3, INPUT_JobSettings!$A:$A, INPUT_JobSettings!$F:$F, ""), Summary!$B$4)))</f>
        <v/>
      </c>
      <c r="P215" s="6">
        <f>IF(OR(A215="",C215=""),"", 0)</f>
        <v/>
      </c>
      <c r="Q215" s="6">
        <f>IF(OR(A215="",C215=""),"", (O215+P215)*(IF(XLOOKUP('Job Control'!$B$3, INPUT_JobSettings!$A:$A, INPUT_JobSettings!$G:$G, "")&lt;&gt;"", XLOOKUP('Job Control'!$B$3, INPUT_JobSettings!$A:$A, INPUT_JobSettings!$G:$G, ""), Summary!$B$5)))</f>
        <v/>
      </c>
    </row>
    <row r="216">
      <c r="A216" s="8" t="n"/>
      <c r="B216" s="8" t="n"/>
      <c r="C216" s="8" t="n"/>
      <c r="D216" s="8" t="n"/>
      <c r="E216" s="8" t="n"/>
      <c r="F216" s="8" t="n"/>
      <c r="G216" s="8" t="n"/>
      <c r="H216" s="8" t="n"/>
      <c r="I216" s="6">
        <f>IF(OR(A216="",C216=""),"", XLOOKUP(C216, Constants!$A:$A, Constants!$C:$C, ""))</f>
        <v/>
      </c>
      <c r="J216" s="6">
        <f>IF(OR(A216="",C216=""),"", D216 * (IF(G216="", 1, XLOOKUP(G216, Constants!$E$10:$E$30, Constants!$F$10:$F$30, 1))) * XLOOKUP(C216, Constants!$A:$A, Constants!$D:$D, 0))</f>
        <v/>
      </c>
      <c r="K216" s="6">
        <f>IF(OR(A216="",C216=""),"", D216 * F216 * XLOOKUP(C216, Constants!$A:$A, Constants!$E:$E, 0))</f>
        <v/>
      </c>
      <c r="L216" s="6">
        <f>IF(OR(A216="",C216=""),"", IF(E216="None",0, D216 * IF(E216="Full",1,XLOOKUP("PrimerSpotFactor",Constants!$A$20:$A$40,Constants!$B$20:$B$40,0.35)) * XLOOKUP(C216, Constants!$A:$A, Constants!$F:$F, 0)))</f>
        <v/>
      </c>
      <c r="M216" s="6">
        <f>IF(OR(A216="",C216=""),"", J216+K216+L216)</f>
        <v/>
      </c>
      <c r="N216" s="6">
        <f>IF(OR(A216="",C216=""),"", M216/60)</f>
        <v/>
      </c>
      <c r="O216" s="6">
        <f>IF(OR(A216="",C216=""),"", N216*(IF(XLOOKUP('Job Control'!$B$3, INPUT_JobSettings!$A:$A, INPUT_JobSettings!$F:$F, "")&lt;&gt;"", XLOOKUP('Job Control'!$B$3, INPUT_JobSettings!$A:$A, INPUT_JobSettings!$F:$F, ""), Summary!$B$4)))</f>
        <v/>
      </c>
      <c r="P216" s="6">
        <f>IF(OR(A216="",C216=""),"", 0)</f>
        <v/>
      </c>
      <c r="Q216" s="6">
        <f>IF(OR(A216="",C216=""),"", (O216+P216)*(IF(XLOOKUP('Job Control'!$B$3, INPUT_JobSettings!$A:$A, INPUT_JobSettings!$G:$G, "")&lt;&gt;"", XLOOKUP('Job Control'!$B$3, INPUT_JobSettings!$A:$A, INPUT_JobSettings!$G:$G, ""), Summary!$B$5)))</f>
        <v/>
      </c>
    </row>
    <row r="217">
      <c r="A217" s="8" t="n"/>
      <c r="B217" s="8" t="n"/>
      <c r="C217" s="8" t="n"/>
      <c r="D217" s="8" t="n"/>
      <c r="E217" s="8" t="n"/>
      <c r="F217" s="8" t="n"/>
      <c r="G217" s="8" t="n"/>
      <c r="H217" s="8" t="n"/>
      <c r="I217" s="6">
        <f>IF(OR(A217="",C217=""),"", XLOOKUP(C217, Constants!$A:$A, Constants!$C:$C, ""))</f>
        <v/>
      </c>
      <c r="J217" s="6">
        <f>IF(OR(A217="",C217=""),"", D217 * (IF(G217="", 1, XLOOKUP(G217, Constants!$E$10:$E$30, Constants!$F$10:$F$30, 1))) * XLOOKUP(C217, Constants!$A:$A, Constants!$D:$D, 0))</f>
        <v/>
      </c>
      <c r="K217" s="6">
        <f>IF(OR(A217="",C217=""),"", D217 * F217 * XLOOKUP(C217, Constants!$A:$A, Constants!$E:$E, 0))</f>
        <v/>
      </c>
      <c r="L217" s="6">
        <f>IF(OR(A217="",C217=""),"", IF(E217="None",0, D217 * IF(E217="Full",1,XLOOKUP("PrimerSpotFactor",Constants!$A$20:$A$40,Constants!$B$20:$B$40,0.35)) * XLOOKUP(C217, Constants!$A:$A, Constants!$F:$F, 0)))</f>
        <v/>
      </c>
      <c r="M217" s="6">
        <f>IF(OR(A217="",C217=""),"", J217+K217+L217)</f>
        <v/>
      </c>
      <c r="N217" s="6">
        <f>IF(OR(A217="",C217=""),"", M217/60)</f>
        <v/>
      </c>
      <c r="O217" s="6">
        <f>IF(OR(A217="",C217=""),"", N217*(IF(XLOOKUP('Job Control'!$B$3, INPUT_JobSettings!$A:$A, INPUT_JobSettings!$F:$F, "")&lt;&gt;"", XLOOKUP('Job Control'!$B$3, INPUT_JobSettings!$A:$A, INPUT_JobSettings!$F:$F, ""), Summary!$B$4)))</f>
        <v/>
      </c>
      <c r="P217" s="6">
        <f>IF(OR(A217="",C217=""),"", 0)</f>
        <v/>
      </c>
      <c r="Q217" s="6">
        <f>IF(OR(A217="",C217=""),"", (O217+P217)*(IF(XLOOKUP('Job Control'!$B$3, INPUT_JobSettings!$A:$A, INPUT_JobSettings!$G:$G, "")&lt;&gt;"", XLOOKUP('Job Control'!$B$3, INPUT_JobSettings!$A:$A, INPUT_JobSettings!$G:$G, ""), Summary!$B$5)))</f>
        <v/>
      </c>
    </row>
    <row r="218">
      <c r="A218" s="8" t="n"/>
      <c r="B218" s="8" t="n"/>
      <c r="C218" s="8" t="n"/>
      <c r="D218" s="8" t="n"/>
      <c r="E218" s="8" t="n"/>
      <c r="F218" s="8" t="n"/>
      <c r="G218" s="8" t="n"/>
      <c r="H218" s="8" t="n"/>
      <c r="I218" s="6">
        <f>IF(OR(A218="",C218=""),"", XLOOKUP(C218, Constants!$A:$A, Constants!$C:$C, ""))</f>
        <v/>
      </c>
      <c r="J218" s="6">
        <f>IF(OR(A218="",C218=""),"", D218 * (IF(G218="", 1, XLOOKUP(G218, Constants!$E$10:$E$30, Constants!$F$10:$F$30, 1))) * XLOOKUP(C218, Constants!$A:$A, Constants!$D:$D, 0))</f>
        <v/>
      </c>
      <c r="K218" s="6">
        <f>IF(OR(A218="",C218=""),"", D218 * F218 * XLOOKUP(C218, Constants!$A:$A, Constants!$E:$E, 0))</f>
        <v/>
      </c>
      <c r="L218" s="6">
        <f>IF(OR(A218="",C218=""),"", IF(E218="None",0, D218 * IF(E218="Full",1,XLOOKUP("PrimerSpotFactor",Constants!$A$20:$A$40,Constants!$B$20:$B$40,0.35)) * XLOOKUP(C218, Constants!$A:$A, Constants!$F:$F, 0)))</f>
        <v/>
      </c>
      <c r="M218" s="6">
        <f>IF(OR(A218="",C218=""),"", J218+K218+L218)</f>
        <v/>
      </c>
      <c r="N218" s="6">
        <f>IF(OR(A218="",C218=""),"", M218/60)</f>
        <v/>
      </c>
      <c r="O218" s="6">
        <f>IF(OR(A218="",C218=""),"", N218*(IF(XLOOKUP('Job Control'!$B$3, INPUT_JobSettings!$A:$A, INPUT_JobSettings!$F:$F, "")&lt;&gt;"", XLOOKUP('Job Control'!$B$3, INPUT_JobSettings!$A:$A, INPUT_JobSettings!$F:$F, ""), Summary!$B$4)))</f>
        <v/>
      </c>
      <c r="P218" s="6">
        <f>IF(OR(A218="",C218=""),"", 0)</f>
        <v/>
      </c>
      <c r="Q218" s="6">
        <f>IF(OR(A218="",C218=""),"", (O218+P218)*(IF(XLOOKUP('Job Control'!$B$3, INPUT_JobSettings!$A:$A, INPUT_JobSettings!$G:$G, "")&lt;&gt;"", XLOOKUP('Job Control'!$B$3, INPUT_JobSettings!$A:$A, INPUT_JobSettings!$G:$G, ""), Summary!$B$5)))</f>
        <v/>
      </c>
    </row>
    <row r="219">
      <c r="A219" s="8" t="n"/>
      <c r="B219" s="8" t="n"/>
      <c r="C219" s="8" t="n"/>
      <c r="D219" s="8" t="n"/>
      <c r="E219" s="8" t="n"/>
      <c r="F219" s="8" t="n"/>
      <c r="G219" s="8" t="n"/>
      <c r="H219" s="8" t="n"/>
      <c r="I219" s="6">
        <f>IF(OR(A219="",C219=""),"", XLOOKUP(C219, Constants!$A:$A, Constants!$C:$C, ""))</f>
        <v/>
      </c>
      <c r="J219" s="6">
        <f>IF(OR(A219="",C219=""),"", D219 * (IF(G219="", 1, XLOOKUP(G219, Constants!$E$10:$E$30, Constants!$F$10:$F$30, 1))) * XLOOKUP(C219, Constants!$A:$A, Constants!$D:$D, 0))</f>
        <v/>
      </c>
      <c r="K219" s="6">
        <f>IF(OR(A219="",C219=""),"", D219 * F219 * XLOOKUP(C219, Constants!$A:$A, Constants!$E:$E, 0))</f>
        <v/>
      </c>
      <c r="L219" s="6">
        <f>IF(OR(A219="",C219=""),"", IF(E219="None",0, D219 * IF(E219="Full",1,XLOOKUP("PrimerSpotFactor",Constants!$A$20:$A$40,Constants!$B$20:$B$40,0.35)) * XLOOKUP(C219, Constants!$A:$A, Constants!$F:$F, 0)))</f>
        <v/>
      </c>
      <c r="M219" s="6">
        <f>IF(OR(A219="",C219=""),"", J219+K219+L219)</f>
        <v/>
      </c>
      <c r="N219" s="6">
        <f>IF(OR(A219="",C219=""),"", M219/60)</f>
        <v/>
      </c>
      <c r="O219" s="6">
        <f>IF(OR(A219="",C219=""),"", N219*(IF(XLOOKUP('Job Control'!$B$3, INPUT_JobSettings!$A:$A, INPUT_JobSettings!$F:$F, "")&lt;&gt;"", XLOOKUP('Job Control'!$B$3, INPUT_JobSettings!$A:$A, INPUT_JobSettings!$F:$F, ""), Summary!$B$4)))</f>
        <v/>
      </c>
      <c r="P219" s="6">
        <f>IF(OR(A219="",C219=""),"", 0)</f>
        <v/>
      </c>
      <c r="Q219" s="6">
        <f>IF(OR(A219="",C219=""),"", (O219+P219)*(IF(XLOOKUP('Job Control'!$B$3, INPUT_JobSettings!$A:$A, INPUT_JobSettings!$G:$G, "")&lt;&gt;"", XLOOKUP('Job Control'!$B$3, INPUT_JobSettings!$A:$A, INPUT_JobSettings!$G:$G, ""), Summary!$B$5)))</f>
        <v/>
      </c>
    </row>
    <row r="220">
      <c r="A220" s="8" t="n"/>
      <c r="B220" s="8" t="n"/>
      <c r="C220" s="8" t="n"/>
      <c r="D220" s="8" t="n"/>
      <c r="E220" s="8" t="n"/>
      <c r="F220" s="8" t="n"/>
      <c r="G220" s="8" t="n"/>
      <c r="H220" s="8" t="n"/>
      <c r="I220" s="6">
        <f>IF(OR(A220="",C220=""),"", XLOOKUP(C220, Constants!$A:$A, Constants!$C:$C, ""))</f>
        <v/>
      </c>
      <c r="J220" s="6">
        <f>IF(OR(A220="",C220=""),"", D220 * (IF(G220="", 1, XLOOKUP(G220, Constants!$E$10:$E$30, Constants!$F$10:$F$30, 1))) * XLOOKUP(C220, Constants!$A:$A, Constants!$D:$D, 0))</f>
        <v/>
      </c>
      <c r="K220" s="6">
        <f>IF(OR(A220="",C220=""),"", D220 * F220 * XLOOKUP(C220, Constants!$A:$A, Constants!$E:$E, 0))</f>
        <v/>
      </c>
      <c r="L220" s="6">
        <f>IF(OR(A220="",C220=""),"", IF(E220="None",0, D220 * IF(E220="Full",1,XLOOKUP("PrimerSpotFactor",Constants!$A$20:$A$40,Constants!$B$20:$B$40,0.35)) * XLOOKUP(C220, Constants!$A:$A, Constants!$F:$F, 0)))</f>
        <v/>
      </c>
      <c r="M220" s="6">
        <f>IF(OR(A220="",C220=""),"", J220+K220+L220)</f>
        <v/>
      </c>
      <c r="N220" s="6">
        <f>IF(OR(A220="",C220=""),"", M220/60)</f>
        <v/>
      </c>
      <c r="O220" s="6">
        <f>IF(OR(A220="",C220=""),"", N220*(IF(XLOOKUP('Job Control'!$B$3, INPUT_JobSettings!$A:$A, INPUT_JobSettings!$F:$F, "")&lt;&gt;"", XLOOKUP('Job Control'!$B$3, INPUT_JobSettings!$A:$A, INPUT_JobSettings!$F:$F, ""), Summary!$B$4)))</f>
        <v/>
      </c>
      <c r="P220" s="6">
        <f>IF(OR(A220="",C220=""),"", 0)</f>
        <v/>
      </c>
      <c r="Q220" s="6">
        <f>IF(OR(A220="",C220=""),"", (O220+P220)*(IF(XLOOKUP('Job Control'!$B$3, INPUT_JobSettings!$A:$A, INPUT_JobSettings!$G:$G, "")&lt;&gt;"", XLOOKUP('Job Control'!$B$3, INPUT_JobSettings!$A:$A, INPUT_JobSettings!$G:$G, ""), Summary!$B$5)))</f>
        <v/>
      </c>
    </row>
    <row r="221">
      <c r="A221" s="8" t="n"/>
      <c r="B221" s="8" t="n"/>
      <c r="C221" s="8" t="n"/>
      <c r="D221" s="8" t="n"/>
      <c r="E221" s="8" t="n"/>
      <c r="F221" s="8" t="n"/>
      <c r="G221" s="8" t="n"/>
      <c r="H221" s="8" t="n"/>
      <c r="I221" s="6">
        <f>IF(OR(A221="",C221=""),"", XLOOKUP(C221, Constants!$A:$A, Constants!$C:$C, ""))</f>
        <v/>
      </c>
      <c r="J221" s="6">
        <f>IF(OR(A221="",C221=""),"", D221 * (IF(G221="", 1, XLOOKUP(G221, Constants!$E$10:$E$30, Constants!$F$10:$F$30, 1))) * XLOOKUP(C221, Constants!$A:$A, Constants!$D:$D, 0))</f>
        <v/>
      </c>
      <c r="K221" s="6">
        <f>IF(OR(A221="",C221=""),"", D221 * F221 * XLOOKUP(C221, Constants!$A:$A, Constants!$E:$E, 0))</f>
        <v/>
      </c>
      <c r="L221" s="6">
        <f>IF(OR(A221="",C221=""),"", IF(E221="None",0, D221 * IF(E221="Full",1,XLOOKUP("PrimerSpotFactor",Constants!$A$20:$A$40,Constants!$B$20:$B$40,0.35)) * XLOOKUP(C221, Constants!$A:$A, Constants!$F:$F, 0)))</f>
        <v/>
      </c>
      <c r="M221" s="6">
        <f>IF(OR(A221="",C221=""),"", J221+K221+L221)</f>
        <v/>
      </c>
      <c r="N221" s="6">
        <f>IF(OR(A221="",C221=""),"", M221/60)</f>
        <v/>
      </c>
      <c r="O221" s="6">
        <f>IF(OR(A221="",C221=""),"", N221*(IF(XLOOKUP('Job Control'!$B$3, INPUT_JobSettings!$A:$A, INPUT_JobSettings!$F:$F, "")&lt;&gt;"", XLOOKUP('Job Control'!$B$3, INPUT_JobSettings!$A:$A, INPUT_JobSettings!$F:$F, ""), Summary!$B$4)))</f>
        <v/>
      </c>
      <c r="P221" s="6">
        <f>IF(OR(A221="",C221=""),"", 0)</f>
        <v/>
      </c>
      <c r="Q221" s="6">
        <f>IF(OR(A221="",C221=""),"", (O221+P221)*(IF(XLOOKUP('Job Control'!$B$3, INPUT_JobSettings!$A:$A, INPUT_JobSettings!$G:$G, "")&lt;&gt;"", XLOOKUP('Job Control'!$B$3, INPUT_JobSettings!$A:$A, INPUT_JobSettings!$G:$G, ""), Summary!$B$5)))</f>
        <v/>
      </c>
    </row>
    <row r="222">
      <c r="A222" s="8" t="n"/>
      <c r="B222" s="8" t="n"/>
      <c r="C222" s="8" t="n"/>
      <c r="D222" s="8" t="n"/>
      <c r="E222" s="8" t="n"/>
      <c r="F222" s="8" t="n"/>
      <c r="G222" s="8" t="n"/>
      <c r="H222" s="8" t="n"/>
      <c r="I222" s="6">
        <f>IF(OR(A222="",C222=""),"", XLOOKUP(C222, Constants!$A:$A, Constants!$C:$C, ""))</f>
        <v/>
      </c>
      <c r="J222" s="6">
        <f>IF(OR(A222="",C222=""),"", D222 * (IF(G222="", 1, XLOOKUP(G222, Constants!$E$10:$E$30, Constants!$F$10:$F$30, 1))) * XLOOKUP(C222, Constants!$A:$A, Constants!$D:$D, 0))</f>
        <v/>
      </c>
      <c r="K222" s="6">
        <f>IF(OR(A222="",C222=""),"", D222 * F222 * XLOOKUP(C222, Constants!$A:$A, Constants!$E:$E, 0))</f>
        <v/>
      </c>
      <c r="L222" s="6">
        <f>IF(OR(A222="",C222=""),"", IF(E222="None",0, D222 * IF(E222="Full",1,XLOOKUP("PrimerSpotFactor",Constants!$A$20:$A$40,Constants!$B$20:$B$40,0.35)) * XLOOKUP(C222, Constants!$A:$A, Constants!$F:$F, 0)))</f>
        <v/>
      </c>
      <c r="M222" s="6">
        <f>IF(OR(A222="",C222=""),"", J222+K222+L222)</f>
        <v/>
      </c>
      <c r="N222" s="6">
        <f>IF(OR(A222="",C222=""),"", M222/60)</f>
        <v/>
      </c>
      <c r="O222" s="6">
        <f>IF(OR(A222="",C222=""),"", N222*(IF(XLOOKUP('Job Control'!$B$3, INPUT_JobSettings!$A:$A, INPUT_JobSettings!$F:$F, "")&lt;&gt;"", XLOOKUP('Job Control'!$B$3, INPUT_JobSettings!$A:$A, INPUT_JobSettings!$F:$F, ""), Summary!$B$4)))</f>
        <v/>
      </c>
      <c r="P222" s="6">
        <f>IF(OR(A222="",C222=""),"", 0)</f>
        <v/>
      </c>
      <c r="Q222" s="6">
        <f>IF(OR(A222="",C222=""),"", (O222+P222)*(IF(XLOOKUP('Job Control'!$B$3, INPUT_JobSettings!$A:$A, INPUT_JobSettings!$G:$G, "")&lt;&gt;"", XLOOKUP('Job Control'!$B$3, INPUT_JobSettings!$A:$A, INPUT_JobSettings!$G:$G, ""), Summary!$B$5)))</f>
        <v/>
      </c>
    </row>
    <row r="223">
      <c r="A223" s="8" t="n"/>
      <c r="B223" s="8" t="n"/>
      <c r="C223" s="8" t="n"/>
      <c r="D223" s="8" t="n"/>
      <c r="E223" s="8" t="n"/>
      <c r="F223" s="8" t="n"/>
      <c r="G223" s="8" t="n"/>
      <c r="H223" s="8" t="n"/>
      <c r="I223" s="6">
        <f>IF(OR(A223="",C223=""),"", XLOOKUP(C223, Constants!$A:$A, Constants!$C:$C, ""))</f>
        <v/>
      </c>
      <c r="J223" s="6">
        <f>IF(OR(A223="",C223=""),"", D223 * (IF(G223="", 1, XLOOKUP(G223, Constants!$E$10:$E$30, Constants!$F$10:$F$30, 1))) * XLOOKUP(C223, Constants!$A:$A, Constants!$D:$D, 0))</f>
        <v/>
      </c>
      <c r="K223" s="6">
        <f>IF(OR(A223="",C223=""),"", D223 * F223 * XLOOKUP(C223, Constants!$A:$A, Constants!$E:$E, 0))</f>
        <v/>
      </c>
      <c r="L223" s="6">
        <f>IF(OR(A223="",C223=""),"", IF(E223="None",0, D223 * IF(E223="Full",1,XLOOKUP("PrimerSpotFactor",Constants!$A$20:$A$40,Constants!$B$20:$B$40,0.35)) * XLOOKUP(C223, Constants!$A:$A, Constants!$F:$F, 0)))</f>
        <v/>
      </c>
      <c r="M223" s="6">
        <f>IF(OR(A223="",C223=""),"", J223+K223+L223)</f>
        <v/>
      </c>
      <c r="N223" s="6">
        <f>IF(OR(A223="",C223=""),"", M223/60)</f>
        <v/>
      </c>
      <c r="O223" s="6">
        <f>IF(OR(A223="",C223=""),"", N223*(IF(XLOOKUP('Job Control'!$B$3, INPUT_JobSettings!$A:$A, INPUT_JobSettings!$F:$F, "")&lt;&gt;"", XLOOKUP('Job Control'!$B$3, INPUT_JobSettings!$A:$A, INPUT_JobSettings!$F:$F, ""), Summary!$B$4)))</f>
        <v/>
      </c>
      <c r="P223" s="6">
        <f>IF(OR(A223="",C223=""),"", 0)</f>
        <v/>
      </c>
      <c r="Q223" s="6">
        <f>IF(OR(A223="",C223=""),"", (O223+P223)*(IF(XLOOKUP('Job Control'!$B$3, INPUT_JobSettings!$A:$A, INPUT_JobSettings!$G:$G, "")&lt;&gt;"", XLOOKUP('Job Control'!$B$3, INPUT_JobSettings!$A:$A, INPUT_JobSettings!$G:$G, ""), Summary!$B$5)))</f>
        <v/>
      </c>
    </row>
    <row r="224">
      <c r="A224" s="8" t="n"/>
      <c r="B224" s="8" t="n"/>
      <c r="C224" s="8" t="n"/>
      <c r="D224" s="8" t="n"/>
      <c r="E224" s="8" t="n"/>
      <c r="F224" s="8" t="n"/>
      <c r="G224" s="8" t="n"/>
      <c r="H224" s="8" t="n"/>
      <c r="I224" s="6">
        <f>IF(OR(A224="",C224=""),"", XLOOKUP(C224, Constants!$A:$A, Constants!$C:$C, ""))</f>
        <v/>
      </c>
      <c r="J224" s="6">
        <f>IF(OR(A224="",C224=""),"", D224 * (IF(G224="", 1, XLOOKUP(G224, Constants!$E$10:$E$30, Constants!$F$10:$F$30, 1))) * XLOOKUP(C224, Constants!$A:$A, Constants!$D:$D, 0))</f>
        <v/>
      </c>
      <c r="K224" s="6">
        <f>IF(OR(A224="",C224=""),"", D224 * F224 * XLOOKUP(C224, Constants!$A:$A, Constants!$E:$E, 0))</f>
        <v/>
      </c>
      <c r="L224" s="6">
        <f>IF(OR(A224="",C224=""),"", IF(E224="None",0, D224 * IF(E224="Full",1,XLOOKUP("PrimerSpotFactor",Constants!$A$20:$A$40,Constants!$B$20:$B$40,0.35)) * XLOOKUP(C224, Constants!$A:$A, Constants!$F:$F, 0)))</f>
        <v/>
      </c>
      <c r="M224" s="6">
        <f>IF(OR(A224="",C224=""),"", J224+K224+L224)</f>
        <v/>
      </c>
      <c r="N224" s="6">
        <f>IF(OR(A224="",C224=""),"", M224/60)</f>
        <v/>
      </c>
      <c r="O224" s="6">
        <f>IF(OR(A224="",C224=""),"", N224*(IF(XLOOKUP('Job Control'!$B$3, INPUT_JobSettings!$A:$A, INPUT_JobSettings!$F:$F, "")&lt;&gt;"", XLOOKUP('Job Control'!$B$3, INPUT_JobSettings!$A:$A, INPUT_JobSettings!$F:$F, ""), Summary!$B$4)))</f>
        <v/>
      </c>
      <c r="P224" s="6">
        <f>IF(OR(A224="",C224=""),"", 0)</f>
        <v/>
      </c>
      <c r="Q224" s="6">
        <f>IF(OR(A224="",C224=""),"", (O224+P224)*(IF(XLOOKUP('Job Control'!$B$3, INPUT_JobSettings!$A:$A, INPUT_JobSettings!$G:$G, "")&lt;&gt;"", XLOOKUP('Job Control'!$B$3, INPUT_JobSettings!$A:$A, INPUT_JobSettings!$G:$G, ""), Summary!$B$5)))</f>
        <v/>
      </c>
    </row>
    <row r="225">
      <c r="A225" s="8" t="n"/>
      <c r="B225" s="8" t="n"/>
      <c r="C225" s="8" t="n"/>
      <c r="D225" s="8" t="n"/>
      <c r="E225" s="8" t="n"/>
      <c r="F225" s="8" t="n"/>
      <c r="G225" s="8" t="n"/>
      <c r="H225" s="8" t="n"/>
      <c r="I225" s="6">
        <f>IF(OR(A225="",C225=""),"", XLOOKUP(C225, Constants!$A:$A, Constants!$C:$C, ""))</f>
        <v/>
      </c>
      <c r="J225" s="6">
        <f>IF(OR(A225="",C225=""),"", D225 * (IF(G225="", 1, XLOOKUP(G225, Constants!$E$10:$E$30, Constants!$F$10:$F$30, 1))) * XLOOKUP(C225, Constants!$A:$A, Constants!$D:$D, 0))</f>
        <v/>
      </c>
      <c r="K225" s="6">
        <f>IF(OR(A225="",C225=""),"", D225 * F225 * XLOOKUP(C225, Constants!$A:$A, Constants!$E:$E, 0))</f>
        <v/>
      </c>
      <c r="L225" s="6">
        <f>IF(OR(A225="",C225=""),"", IF(E225="None",0, D225 * IF(E225="Full",1,XLOOKUP("PrimerSpotFactor",Constants!$A$20:$A$40,Constants!$B$20:$B$40,0.35)) * XLOOKUP(C225, Constants!$A:$A, Constants!$F:$F, 0)))</f>
        <v/>
      </c>
      <c r="M225" s="6">
        <f>IF(OR(A225="",C225=""),"", J225+K225+L225)</f>
        <v/>
      </c>
      <c r="N225" s="6">
        <f>IF(OR(A225="",C225=""),"", M225/60)</f>
        <v/>
      </c>
      <c r="O225" s="6">
        <f>IF(OR(A225="",C225=""),"", N225*(IF(XLOOKUP('Job Control'!$B$3, INPUT_JobSettings!$A:$A, INPUT_JobSettings!$F:$F, "")&lt;&gt;"", XLOOKUP('Job Control'!$B$3, INPUT_JobSettings!$A:$A, INPUT_JobSettings!$F:$F, ""), Summary!$B$4)))</f>
        <v/>
      </c>
      <c r="P225" s="6">
        <f>IF(OR(A225="",C225=""),"", 0)</f>
        <v/>
      </c>
      <c r="Q225" s="6">
        <f>IF(OR(A225="",C225=""),"", (O225+P225)*(IF(XLOOKUP('Job Control'!$B$3, INPUT_JobSettings!$A:$A, INPUT_JobSettings!$G:$G, "")&lt;&gt;"", XLOOKUP('Job Control'!$B$3, INPUT_JobSettings!$A:$A, INPUT_JobSettings!$G:$G, ""), Summary!$B$5)))</f>
        <v/>
      </c>
    </row>
    <row r="226">
      <c r="A226" s="8" t="n"/>
      <c r="B226" s="8" t="n"/>
      <c r="C226" s="8" t="n"/>
      <c r="D226" s="8" t="n"/>
      <c r="E226" s="8" t="n"/>
      <c r="F226" s="8" t="n"/>
      <c r="G226" s="8" t="n"/>
      <c r="H226" s="8" t="n"/>
      <c r="I226" s="6">
        <f>IF(OR(A226="",C226=""),"", XLOOKUP(C226, Constants!$A:$A, Constants!$C:$C, ""))</f>
        <v/>
      </c>
      <c r="J226" s="6">
        <f>IF(OR(A226="",C226=""),"", D226 * (IF(G226="", 1, XLOOKUP(G226, Constants!$E$10:$E$30, Constants!$F$10:$F$30, 1))) * XLOOKUP(C226, Constants!$A:$A, Constants!$D:$D, 0))</f>
        <v/>
      </c>
      <c r="K226" s="6">
        <f>IF(OR(A226="",C226=""),"", D226 * F226 * XLOOKUP(C226, Constants!$A:$A, Constants!$E:$E, 0))</f>
        <v/>
      </c>
      <c r="L226" s="6">
        <f>IF(OR(A226="",C226=""),"", IF(E226="None",0, D226 * IF(E226="Full",1,XLOOKUP("PrimerSpotFactor",Constants!$A$20:$A$40,Constants!$B$20:$B$40,0.35)) * XLOOKUP(C226, Constants!$A:$A, Constants!$F:$F, 0)))</f>
        <v/>
      </c>
      <c r="M226" s="6">
        <f>IF(OR(A226="",C226=""),"", J226+K226+L226)</f>
        <v/>
      </c>
      <c r="N226" s="6">
        <f>IF(OR(A226="",C226=""),"", M226/60)</f>
        <v/>
      </c>
      <c r="O226" s="6">
        <f>IF(OR(A226="",C226=""),"", N226*(IF(XLOOKUP('Job Control'!$B$3, INPUT_JobSettings!$A:$A, INPUT_JobSettings!$F:$F, "")&lt;&gt;"", XLOOKUP('Job Control'!$B$3, INPUT_JobSettings!$A:$A, INPUT_JobSettings!$F:$F, ""), Summary!$B$4)))</f>
        <v/>
      </c>
      <c r="P226" s="6">
        <f>IF(OR(A226="",C226=""),"", 0)</f>
        <v/>
      </c>
      <c r="Q226" s="6">
        <f>IF(OR(A226="",C226=""),"", (O226+P226)*(IF(XLOOKUP('Job Control'!$B$3, INPUT_JobSettings!$A:$A, INPUT_JobSettings!$G:$G, "")&lt;&gt;"", XLOOKUP('Job Control'!$B$3, INPUT_JobSettings!$A:$A, INPUT_JobSettings!$G:$G, ""), Summary!$B$5)))</f>
        <v/>
      </c>
    </row>
    <row r="227">
      <c r="A227" s="8" t="n"/>
      <c r="B227" s="8" t="n"/>
      <c r="C227" s="8" t="n"/>
      <c r="D227" s="8" t="n"/>
      <c r="E227" s="8" t="n"/>
      <c r="F227" s="8" t="n"/>
      <c r="G227" s="8" t="n"/>
      <c r="H227" s="8" t="n"/>
      <c r="I227" s="6">
        <f>IF(OR(A227="",C227=""),"", XLOOKUP(C227, Constants!$A:$A, Constants!$C:$C, ""))</f>
        <v/>
      </c>
      <c r="J227" s="6">
        <f>IF(OR(A227="",C227=""),"", D227 * (IF(G227="", 1, XLOOKUP(G227, Constants!$E$10:$E$30, Constants!$F$10:$F$30, 1))) * XLOOKUP(C227, Constants!$A:$A, Constants!$D:$D, 0))</f>
        <v/>
      </c>
      <c r="K227" s="6">
        <f>IF(OR(A227="",C227=""),"", D227 * F227 * XLOOKUP(C227, Constants!$A:$A, Constants!$E:$E, 0))</f>
        <v/>
      </c>
      <c r="L227" s="6">
        <f>IF(OR(A227="",C227=""),"", IF(E227="None",0, D227 * IF(E227="Full",1,XLOOKUP("PrimerSpotFactor",Constants!$A$20:$A$40,Constants!$B$20:$B$40,0.35)) * XLOOKUP(C227, Constants!$A:$A, Constants!$F:$F, 0)))</f>
        <v/>
      </c>
      <c r="M227" s="6">
        <f>IF(OR(A227="",C227=""),"", J227+K227+L227)</f>
        <v/>
      </c>
      <c r="N227" s="6">
        <f>IF(OR(A227="",C227=""),"", M227/60)</f>
        <v/>
      </c>
      <c r="O227" s="6">
        <f>IF(OR(A227="",C227=""),"", N227*(IF(XLOOKUP('Job Control'!$B$3, INPUT_JobSettings!$A:$A, INPUT_JobSettings!$F:$F, "")&lt;&gt;"", XLOOKUP('Job Control'!$B$3, INPUT_JobSettings!$A:$A, INPUT_JobSettings!$F:$F, ""), Summary!$B$4)))</f>
        <v/>
      </c>
      <c r="P227" s="6">
        <f>IF(OR(A227="",C227=""),"", 0)</f>
        <v/>
      </c>
      <c r="Q227" s="6">
        <f>IF(OR(A227="",C227=""),"", (O227+P227)*(IF(XLOOKUP('Job Control'!$B$3, INPUT_JobSettings!$A:$A, INPUT_JobSettings!$G:$G, "")&lt;&gt;"", XLOOKUP('Job Control'!$B$3, INPUT_JobSettings!$A:$A, INPUT_JobSettings!$G:$G, ""), Summary!$B$5)))</f>
        <v/>
      </c>
    </row>
    <row r="228">
      <c r="A228" s="8" t="n"/>
      <c r="B228" s="8" t="n"/>
      <c r="C228" s="8" t="n"/>
      <c r="D228" s="8" t="n"/>
      <c r="E228" s="8" t="n"/>
      <c r="F228" s="8" t="n"/>
      <c r="G228" s="8" t="n"/>
      <c r="H228" s="8" t="n"/>
      <c r="I228" s="6">
        <f>IF(OR(A228="",C228=""),"", XLOOKUP(C228, Constants!$A:$A, Constants!$C:$C, ""))</f>
        <v/>
      </c>
      <c r="J228" s="6">
        <f>IF(OR(A228="",C228=""),"", D228 * (IF(G228="", 1, XLOOKUP(G228, Constants!$E$10:$E$30, Constants!$F$10:$F$30, 1))) * XLOOKUP(C228, Constants!$A:$A, Constants!$D:$D, 0))</f>
        <v/>
      </c>
      <c r="K228" s="6">
        <f>IF(OR(A228="",C228=""),"", D228 * F228 * XLOOKUP(C228, Constants!$A:$A, Constants!$E:$E, 0))</f>
        <v/>
      </c>
      <c r="L228" s="6">
        <f>IF(OR(A228="",C228=""),"", IF(E228="None",0, D228 * IF(E228="Full",1,XLOOKUP("PrimerSpotFactor",Constants!$A$20:$A$40,Constants!$B$20:$B$40,0.35)) * XLOOKUP(C228, Constants!$A:$A, Constants!$F:$F, 0)))</f>
        <v/>
      </c>
      <c r="M228" s="6">
        <f>IF(OR(A228="",C228=""),"", J228+K228+L228)</f>
        <v/>
      </c>
      <c r="N228" s="6">
        <f>IF(OR(A228="",C228=""),"", M228/60)</f>
        <v/>
      </c>
      <c r="O228" s="6">
        <f>IF(OR(A228="",C228=""),"", N228*(IF(XLOOKUP('Job Control'!$B$3, INPUT_JobSettings!$A:$A, INPUT_JobSettings!$F:$F, "")&lt;&gt;"", XLOOKUP('Job Control'!$B$3, INPUT_JobSettings!$A:$A, INPUT_JobSettings!$F:$F, ""), Summary!$B$4)))</f>
        <v/>
      </c>
      <c r="P228" s="6">
        <f>IF(OR(A228="",C228=""),"", 0)</f>
        <v/>
      </c>
      <c r="Q228" s="6">
        <f>IF(OR(A228="",C228=""),"", (O228+P228)*(IF(XLOOKUP('Job Control'!$B$3, INPUT_JobSettings!$A:$A, INPUT_JobSettings!$G:$G, "")&lt;&gt;"", XLOOKUP('Job Control'!$B$3, INPUT_JobSettings!$A:$A, INPUT_JobSettings!$G:$G, ""), Summary!$B$5)))</f>
        <v/>
      </c>
    </row>
    <row r="229">
      <c r="A229" s="8" t="n"/>
      <c r="B229" s="8" t="n"/>
      <c r="C229" s="8" t="n"/>
      <c r="D229" s="8" t="n"/>
      <c r="E229" s="8" t="n"/>
      <c r="F229" s="8" t="n"/>
      <c r="G229" s="8" t="n"/>
      <c r="H229" s="8" t="n"/>
      <c r="I229" s="6">
        <f>IF(OR(A229="",C229=""),"", XLOOKUP(C229, Constants!$A:$A, Constants!$C:$C, ""))</f>
        <v/>
      </c>
      <c r="J229" s="6">
        <f>IF(OR(A229="",C229=""),"", D229 * (IF(G229="", 1, XLOOKUP(G229, Constants!$E$10:$E$30, Constants!$F$10:$F$30, 1))) * XLOOKUP(C229, Constants!$A:$A, Constants!$D:$D, 0))</f>
        <v/>
      </c>
      <c r="K229" s="6">
        <f>IF(OR(A229="",C229=""),"", D229 * F229 * XLOOKUP(C229, Constants!$A:$A, Constants!$E:$E, 0))</f>
        <v/>
      </c>
      <c r="L229" s="6">
        <f>IF(OR(A229="",C229=""),"", IF(E229="None",0, D229 * IF(E229="Full",1,XLOOKUP("PrimerSpotFactor",Constants!$A$20:$A$40,Constants!$B$20:$B$40,0.35)) * XLOOKUP(C229, Constants!$A:$A, Constants!$F:$F, 0)))</f>
        <v/>
      </c>
      <c r="M229" s="6">
        <f>IF(OR(A229="",C229=""),"", J229+K229+L229)</f>
        <v/>
      </c>
      <c r="N229" s="6">
        <f>IF(OR(A229="",C229=""),"", M229/60)</f>
        <v/>
      </c>
      <c r="O229" s="6">
        <f>IF(OR(A229="",C229=""),"", N229*(IF(XLOOKUP('Job Control'!$B$3, INPUT_JobSettings!$A:$A, INPUT_JobSettings!$F:$F, "")&lt;&gt;"", XLOOKUP('Job Control'!$B$3, INPUT_JobSettings!$A:$A, INPUT_JobSettings!$F:$F, ""), Summary!$B$4)))</f>
        <v/>
      </c>
      <c r="P229" s="6">
        <f>IF(OR(A229="",C229=""),"", 0)</f>
        <v/>
      </c>
      <c r="Q229" s="6">
        <f>IF(OR(A229="",C229=""),"", (O229+P229)*(IF(XLOOKUP('Job Control'!$B$3, INPUT_JobSettings!$A:$A, INPUT_JobSettings!$G:$G, "")&lt;&gt;"", XLOOKUP('Job Control'!$B$3, INPUT_JobSettings!$A:$A, INPUT_JobSettings!$G:$G, ""), Summary!$B$5)))</f>
        <v/>
      </c>
    </row>
    <row r="230">
      <c r="A230" s="8" t="n"/>
      <c r="B230" s="8" t="n"/>
      <c r="C230" s="8" t="n"/>
      <c r="D230" s="8" t="n"/>
      <c r="E230" s="8" t="n"/>
      <c r="F230" s="8" t="n"/>
      <c r="G230" s="8" t="n"/>
      <c r="H230" s="8" t="n"/>
      <c r="I230" s="6">
        <f>IF(OR(A230="",C230=""),"", XLOOKUP(C230, Constants!$A:$A, Constants!$C:$C, ""))</f>
        <v/>
      </c>
      <c r="J230" s="6">
        <f>IF(OR(A230="",C230=""),"", D230 * (IF(G230="", 1, XLOOKUP(G230, Constants!$E$10:$E$30, Constants!$F$10:$F$30, 1))) * XLOOKUP(C230, Constants!$A:$A, Constants!$D:$D, 0))</f>
        <v/>
      </c>
      <c r="K230" s="6">
        <f>IF(OR(A230="",C230=""),"", D230 * F230 * XLOOKUP(C230, Constants!$A:$A, Constants!$E:$E, 0))</f>
        <v/>
      </c>
      <c r="L230" s="6">
        <f>IF(OR(A230="",C230=""),"", IF(E230="None",0, D230 * IF(E230="Full",1,XLOOKUP("PrimerSpotFactor",Constants!$A$20:$A$40,Constants!$B$20:$B$40,0.35)) * XLOOKUP(C230, Constants!$A:$A, Constants!$F:$F, 0)))</f>
        <v/>
      </c>
      <c r="M230" s="6">
        <f>IF(OR(A230="",C230=""),"", J230+K230+L230)</f>
        <v/>
      </c>
      <c r="N230" s="6">
        <f>IF(OR(A230="",C230=""),"", M230/60)</f>
        <v/>
      </c>
      <c r="O230" s="6">
        <f>IF(OR(A230="",C230=""),"", N230*(IF(XLOOKUP('Job Control'!$B$3, INPUT_JobSettings!$A:$A, INPUT_JobSettings!$F:$F, "")&lt;&gt;"", XLOOKUP('Job Control'!$B$3, INPUT_JobSettings!$A:$A, INPUT_JobSettings!$F:$F, ""), Summary!$B$4)))</f>
        <v/>
      </c>
      <c r="P230" s="6">
        <f>IF(OR(A230="",C230=""),"", 0)</f>
        <v/>
      </c>
      <c r="Q230" s="6">
        <f>IF(OR(A230="",C230=""),"", (O230+P230)*(IF(XLOOKUP('Job Control'!$B$3, INPUT_JobSettings!$A:$A, INPUT_JobSettings!$G:$G, "")&lt;&gt;"", XLOOKUP('Job Control'!$B$3, INPUT_JobSettings!$A:$A, INPUT_JobSettings!$G:$G, ""), Summary!$B$5)))</f>
        <v/>
      </c>
    </row>
    <row r="231">
      <c r="A231" s="8" t="n"/>
      <c r="B231" s="8" t="n"/>
      <c r="C231" s="8" t="n"/>
      <c r="D231" s="8" t="n"/>
      <c r="E231" s="8" t="n"/>
      <c r="F231" s="8" t="n"/>
      <c r="G231" s="8" t="n"/>
      <c r="H231" s="8" t="n"/>
      <c r="I231" s="6">
        <f>IF(OR(A231="",C231=""),"", XLOOKUP(C231, Constants!$A:$A, Constants!$C:$C, ""))</f>
        <v/>
      </c>
      <c r="J231" s="6">
        <f>IF(OR(A231="",C231=""),"", D231 * (IF(G231="", 1, XLOOKUP(G231, Constants!$E$10:$E$30, Constants!$F$10:$F$30, 1))) * XLOOKUP(C231, Constants!$A:$A, Constants!$D:$D, 0))</f>
        <v/>
      </c>
      <c r="K231" s="6">
        <f>IF(OR(A231="",C231=""),"", D231 * F231 * XLOOKUP(C231, Constants!$A:$A, Constants!$E:$E, 0))</f>
        <v/>
      </c>
      <c r="L231" s="6">
        <f>IF(OR(A231="",C231=""),"", IF(E231="None",0, D231 * IF(E231="Full",1,XLOOKUP("PrimerSpotFactor",Constants!$A$20:$A$40,Constants!$B$20:$B$40,0.35)) * XLOOKUP(C231, Constants!$A:$A, Constants!$F:$F, 0)))</f>
        <v/>
      </c>
      <c r="M231" s="6">
        <f>IF(OR(A231="",C231=""),"", J231+K231+L231)</f>
        <v/>
      </c>
      <c r="N231" s="6">
        <f>IF(OR(A231="",C231=""),"", M231/60)</f>
        <v/>
      </c>
      <c r="O231" s="6">
        <f>IF(OR(A231="",C231=""),"", N231*(IF(XLOOKUP('Job Control'!$B$3, INPUT_JobSettings!$A:$A, INPUT_JobSettings!$F:$F, "")&lt;&gt;"", XLOOKUP('Job Control'!$B$3, INPUT_JobSettings!$A:$A, INPUT_JobSettings!$F:$F, ""), Summary!$B$4)))</f>
        <v/>
      </c>
      <c r="P231" s="6">
        <f>IF(OR(A231="",C231=""),"", 0)</f>
        <v/>
      </c>
      <c r="Q231" s="6">
        <f>IF(OR(A231="",C231=""),"", (O231+P231)*(IF(XLOOKUP('Job Control'!$B$3, INPUT_JobSettings!$A:$A, INPUT_JobSettings!$G:$G, "")&lt;&gt;"", XLOOKUP('Job Control'!$B$3, INPUT_JobSettings!$A:$A, INPUT_JobSettings!$G:$G, ""), Summary!$B$5)))</f>
        <v/>
      </c>
    </row>
    <row r="232">
      <c r="A232" s="8" t="n"/>
      <c r="B232" s="8" t="n"/>
      <c r="C232" s="8" t="n"/>
      <c r="D232" s="8" t="n"/>
      <c r="E232" s="8" t="n"/>
      <c r="F232" s="8" t="n"/>
      <c r="G232" s="8" t="n"/>
      <c r="H232" s="8" t="n"/>
      <c r="I232" s="6">
        <f>IF(OR(A232="",C232=""),"", XLOOKUP(C232, Constants!$A:$A, Constants!$C:$C, ""))</f>
        <v/>
      </c>
      <c r="J232" s="6">
        <f>IF(OR(A232="",C232=""),"", D232 * (IF(G232="", 1, XLOOKUP(G232, Constants!$E$10:$E$30, Constants!$F$10:$F$30, 1))) * XLOOKUP(C232, Constants!$A:$A, Constants!$D:$D, 0))</f>
        <v/>
      </c>
      <c r="K232" s="6">
        <f>IF(OR(A232="",C232=""),"", D232 * F232 * XLOOKUP(C232, Constants!$A:$A, Constants!$E:$E, 0))</f>
        <v/>
      </c>
      <c r="L232" s="6">
        <f>IF(OR(A232="",C232=""),"", IF(E232="None",0, D232 * IF(E232="Full",1,XLOOKUP("PrimerSpotFactor",Constants!$A$20:$A$40,Constants!$B$20:$B$40,0.35)) * XLOOKUP(C232, Constants!$A:$A, Constants!$F:$F, 0)))</f>
        <v/>
      </c>
      <c r="M232" s="6">
        <f>IF(OR(A232="",C232=""),"", J232+K232+L232)</f>
        <v/>
      </c>
      <c r="N232" s="6">
        <f>IF(OR(A232="",C232=""),"", M232/60)</f>
        <v/>
      </c>
      <c r="O232" s="6">
        <f>IF(OR(A232="",C232=""),"", N232*(IF(XLOOKUP('Job Control'!$B$3, INPUT_JobSettings!$A:$A, INPUT_JobSettings!$F:$F, "")&lt;&gt;"", XLOOKUP('Job Control'!$B$3, INPUT_JobSettings!$A:$A, INPUT_JobSettings!$F:$F, ""), Summary!$B$4)))</f>
        <v/>
      </c>
      <c r="P232" s="6">
        <f>IF(OR(A232="",C232=""),"", 0)</f>
        <v/>
      </c>
      <c r="Q232" s="6">
        <f>IF(OR(A232="",C232=""),"", (O232+P232)*(IF(XLOOKUP('Job Control'!$B$3, INPUT_JobSettings!$A:$A, INPUT_JobSettings!$G:$G, "")&lt;&gt;"", XLOOKUP('Job Control'!$B$3, INPUT_JobSettings!$A:$A, INPUT_JobSettings!$G:$G, ""), Summary!$B$5)))</f>
        <v/>
      </c>
    </row>
    <row r="233">
      <c r="A233" s="8" t="n"/>
      <c r="B233" s="8" t="n"/>
      <c r="C233" s="8" t="n"/>
      <c r="D233" s="8" t="n"/>
      <c r="E233" s="8" t="n"/>
      <c r="F233" s="8" t="n"/>
      <c r="G233" s="8" t="n"/>
      <c r="H233" s="8" t="n"/>
      <c r="I233" s="6">
        <f>IF(OR(A233="",C233=""),"", XLOOKUP(C233, Constants!$A:$A, Constants!$C:$C, ""))</f>
        <v/>
      </c>
      <c r="J233" s="6">
        <f>IF(OR(A233="",C233=""),"", D233 * (IF(G233="", 1, XLOOKUP(G233, Constants!$E$10:$E$30, Constants!$F$10:$F$30, 1))) * XLOOKUP(C233, Constants!$A:$A, Constants!$D:$D, 0))</f>
        <v/>
      </c>
      <c r="K233" s="6">
        <f>IF(OR(A233="",C233=""),"", D233 * F233 * XLOOKUP(C233, Constants!$A:$A, Constants!$E:$E, 0))</f>
        <v/>
      </c>
      <c r="L233" s="6">
        <f>IF(OR(A233="",C233=""),"", IF(E233="None",0, D233 * IF(E233="Full",1,XLOOKUP("PrimerSpotFactor",Constants!$A$20:$A$40,Constants!$B$20:$B$40,0.35)) * XLOOKUP(C233, Constants!$A:$A, Constants!$F:$F, 0)))</f>
        <v/>
      </c>
      <c r="M233" s="6">
        <f>IF(OR(A233="",C233=""),"", J233+K233+L233)</f>
        <v/>
      </c>
      <c r="N233" s="6">
        <f>IF(OR(A233="",C233=""),"", M233/60)</f>
        <v/>
      </c>
      <c r="O233" s="6">
        <f>IF(OR(A233="",C233=""),"", N233*(IF(XLOOKUP('Job Control'!$B$3, INPUT_JobSettings!$A:$A, INPUT_JobSettings!$F:$F, "")&lt;&gt;"", XLOOKUP('Job Control'!$B$3, INPUT_JobSettings!$A:$A, INPUT_JobSettings!$F:$F, ""), Summary!$B$4)))</f>
        <v/>
      </c>
      <c r="P233" s="6">
        <f>IF(OR(A233="",C233=""),"", 0)</f>
        <v/>
      </c>
      <c r="Q233" s="6">
        <f>IF(OR(A233="",C233=""),"", (O233+P233)*(IF(XLOOKUP('Job Control'!$B$3, INPUT_JobSettings!$A:$A, INPUT_JobSettings!$G:$G, "")&lt;&gt;"", XLOOKUP('Job Control'!$B$3, INPUT_JobSettings!$A:$A, INPUT_JobSettings!$G:$G, ""), Summary!$B$5)))</f>
        <v/>
      </c>
    </row>
    <row r="234">
      <c r="A234" s="8" t="n"/>
      <c r="B234" s="8" t="n"/>
      <c r="C234" s="8" t="n"/>
      <c r="D234" s="8" t="n"/>
      <c r="E234" s="8" t="n"/>
      <c r="F234" s="8" t="n"/>
      <c r="G234" s="8" t="n"/>
      <c r="H234" s="8" t="n"/>
      <c r="I234" s="6">
        <f>IF(OR(A234="",C234=""),"", XLOOKUP(C234, Constants!$A:$A, Constants!$C:$C, ""))</f>
        <v/>
      </c>
      <c r="J234" s="6">
        <f>IF(OR(A234="",C234=""),"", D234 * (IF(G234="", 1, XLOOKUP(G234, Constants!$E$10:$E$30, Constants!$F$10:$F$30, 1))) * XLOOKUP(C234, Constants!$A:$A, Constants!$D:$D, 0))</f>
        <v/>
      </c>
      <c r="K234" s="6">
        <f>IF(OR(A234="",C234=""),"", D234 * F234 * XLOOKUP(C234, Constants!$A:$A, Constants!$E:$E, 0))</f>
        <v/>
      </c>
      <c r="L234" s="6">
        <f>IF(OR(A234="",C234=""),"", IF(E234="None",0, D234 * IF(E234="Full",1,XLOOKUP("PrimerSpotFactor",Constants!$A$20:$A$40,Constants!$B$20:$B$40,0.35)) * XLOOKUP(C234, Constants!$A:$A, Constants!$F:$F, 0)))</f>
        <v/>
      </c>
      <c r="M234" s="6">
        <f>IF(OR(A234="",C234=""),"", J234+K234+L234)</f>
        <v/>
      </c>
      <c r="N234" s="6">
        <f>IF(OR(A234="",C234=""),"", M234/60)</f>
        <v/>
      </c>
      <c r="O234" s="6">
        <f>IF(OR(A234="",C234=""),"", N234*(IF(XLOOKUP('Job Control'!$B$3, INPUT_JobSettings!$A:$A, INPUT_JobSettings!$F:$F, "")&lt;&gt;"", XLOOKUP('Job Control'!$B$3, INPUT_JobSettings!$A:$A, INPUT_JobSettings!$F:$F, ""), Summary!$B$4)))</f>
        <v/>
      </c>
      <c r="P234" s="6">
        <f>IF(OR(A234="",C234=""),"", 0)</f>
        <v/>
      </c>
      <c r="Q234" s="6">
        <f>IF(OR(A234="",C234=""),"", (O234+P234)*(IF(XLOOKUP('Job Control'!$B$3, INPUT_JobSettings!$A:$A, INPUT_JobSettings!$G:$G, "")&lt;&gt;"", XLOOKUP('Job Control'!$B$3, INPUT_JobSettings!$A:$A, INPUT_JobSettings!$G:$G, ""), Summary!$B$5)))</f>
        <v/>
      </c>
    </row>
    <row r="235">
      <c r="A235" s="8" t="n"/>
      <c r="B235" s="8" t="n"/>
      <c r="C235" s="8" t="n"/>
      <c r="D235" s="8" t="n"/>
      <c r="E235" s="8" t="n"/>
      <c r="F235" s="8" t="n"/>
      <c r="G235" s="8" t="n"/>
      <c r="H235" s="8" t="n"/>
      <c r="I235" s="6">
        <f>IF(OR(A235="",C235=""),"", XLOOKUP(C235, Constants!$A:$A, Constants!$C:$C, ""))</f>
        <v/>
      </c>
      <c r="J235" s="6">
        <f>IF(OR(A235="",C235=""),"", D235 * (IF(G235="", 1, XLOOKUP(G235, Constants!$E$10:$E$30, Constants!$F$10:$F$30, 1))) * XLOOKUP(C235, Constants!$A:$A, Constants!$D:$D, 0))</f>
        <v/>
      </c>
      <c r="K235" s="6">
        <f>IF(OR(A235="",C235=""),"", D235 * F235 * XLOOKUP(C235, Constants!$A:$A, Constants!$E:$E, 0))</f>
        <v/>
      </c>
      <c r="L235" s="6">
        <f>IF(OR(A235="",C235=""),"", IF(E235="None",0, D235 * IF(E235="Full",1,XLOOKUP("PrimerSpotFactor",Constants!$A$20:$A$40,Constants!$B$20:$B$40,0.35)) * XLOOKUP(C235, Constants!$A:$A, Constants!$F:$F, 0)))</f>
        <v/>
      </c>
      <c r="M235" s="6">
        <f>IF(OR(A235="",C235=""),"", J235+K235+L235)</f>
        <v/>
      </c>
      <c r="N235" s="6">
        <f>IF(OR(A235="",C235=""),"", M235/60)</f>
        <v/>
      </c>
      <c r="O235" s="6">
        <f>IF(OR(A235="",C235=""),"", N235*(IF(XLOOKUP('Job Control'!$B$3, INPUT_JobSettings!$A:$A, INPUT_JobSettings!$F:$F, "")&lt;&gt;"", XLOOKUP('Job Control'!$B$3, INPUT_JobSettings!$A:$A, INPUT_JobSettings!$F:$F, ""), Summary!$B$4)))</f>
        <v/>
      </c>
      <c r="P235" s="6">
        <f>IF(OR(A235="",C235=""),"", 0)</f>
        <v/>
      </c>
      <c r="Q235" s="6">
        <f>IF(OR(A235="",C235=""),"", (O235+P235)*(IF(XLOOKUP('Job Control'!$B$3, INPUT_JobSettings!$A:$A, INPUT_JobSettings!$G:$G, "")&lt;&gt;"", XLOOKUP('Job Control'!$B$3, INPUT_JobSettings!$A:$A, INPUT_JobSettings!$G:$G, ""), Summary!$B$5)))</f>
        <v/>
      </c>
    </row>
    <row r="236">
      <c r="A236" s="8" t="n"/>
      <c r="B236" s="8" t="n"/>
      <c r="C236" s="8" t="n"/>
      <c r="D236" s="8" t="n"/>
      <c r="E236" s="8" t="n"/>
      <c r="F236" s="8" t="n"/>
      <c r="G236" s="8" t="n"/>
      <c r="H236" s="8" t="n"/>
      <c r="I236" s="6">
        <f>IF(OR(A236="",C236=""),"", XLOOKUP(C236, Constants!$A:$A, Constants!$C:$C, ""))</f>
        <v/>
      </c>
      <c r="J236" s="6">
        <f>IF(OR(A236="",C236=""),"", D236 * (IF(G236="", 1, XLOOKUP(G236, Constants!$E$10:$E$30, Constants!$F$10:$F$30, 1))) * XLOOKUP(C236, Constants!$A:$A, Constants!$D:$D, 0))</f>
        <v/>
      </c>
      <c r="K236" s="6">
        <f>IF(OR(A236="",C236=""),"", D236 * F236 * XLOOKUP(C236, Constants!$A:$A, Constants!$E:$E, 0))</f>
        <v/>
      </c>
      <c r="L236" s="6">
        <f>IF(OR(A236="",C236=""),"", IF(E236="None",0, D236 * IF(E236="Full",1,XLOOKUP("PrimerSpotFactor",Constants!$A$20:$A$40,Constants!$B$20:$B$40,0.35)) * XLOOKUP(C236, Constants!$A:$A, Constants!$F:$F, 0)))</f>
        <v/>
      </c>
      <c r="M236" s="6">
        <f>IF(OR(A236="",C236=""),"", J236+K236+L236)</f>
        <v/>
      </c>
      <c r="N236" s="6">
        <f>IF(OR(A236="",C236=""),"", M236/60)</f>
        <v/>
      </c>
      <c r="O236" s="6">
        <f>IF(OR(A236="",C236=""),"", N236*(IF(XLOOKUP('Job Control'!$B$3, INPUT_JobSettings!$A:$A, INPUT_JobSettings!$F:$F, "")&lt;&gt;"", XLOOKUP('Job Control'!$B$3, INPUT_JobSettings!$A:$A, INPUT_JobSettings!$F:$F, ""), Summary!$B$4)))</f>
        <v/>
      </c>
      <c r="P236" s="6">
        <f>IF(OR(A236="",C236=""),"", 0)</f>
        <v/>
      </c>
      <c r="Q236" s="6">
        <f>IF(OR(A236="",C236=""),"", (O236+P236)*(IF(XLOOKUP('Job Control'!$B$3, INPUT_JobSettings!$A:$A, INPUT_JobSettings!$G:$G, "")&lt;&gt;"", XLOOKUP('Job Control'!$B$3, INPUT_JobSettings!$A:$A, INPUT_JobSettings!$G:$G, ""), Summary!$B$5)))</f>
        <v/>
      </c>
    </row>
    <row r="237">
      <c r="A237" s="8" t="n"/>
      <c r="B237" s="8" t="n"/>
      <c r="C237" s="8" t="n"/>
      <c r="D237" s="8" t="n"/>
      <c r="E237" s="8" t="n"/>
      <c r="F237" s="8" t="n"/>
      <c r="G237" s="8" t="n"/>
      <c r="H237" s="8" t="n"/>
      <c r="I237" s="6">
        <f>IF(OR(A237="",C237=""),"", XLOOKUP(C237, Constants!$A:$A, Constants!$C:$C, ""))</f>
        <v/>
      </c>
      <c r="J237" s="6">
        <f>IF(OR(A237="",C237=""),"", D237 * (IF(G237="", 1, XLOOKUP(G237, Constants!$E$10:$E$30, Constants!$F$10:$F$30, 1))) * XLOOKUP(C237, Constants!$A:$A, Constants!$D:$D, 0))</f>
        <v/>
      </c>
      <c r="K237" s="6">
        <f>IF(OR(A237="",C237=""),"", D237 * F237 * XLOOKUP(C237, Constants!$A:$A, Constants!$E:$E, 0))</f>
        <v/>
      </c>
      <c r="L237" s="6">
        <f>IF(OR(A237="",C237=""),"", IF(E237="None",0, D237 * IF(E237="Full",1,XLOOKUP("PrimerSpotFactor",Constants!$A$20:$A$40,Constants!$B$20:$B$40,0.35)) * XLOOKUP(C237, Constants!$A:$A, Constants!$F:$F, 0)))</f>
        <v/>
      </c>
      <c r="M237" s="6">
        <f>IF(OR(A237="",C237=""),"", J237+K237+L237)</f>
        <v/>
      </c>
      <c r="N237" s="6">
        <f>IF(OR(A237="",C237=""),"", M237/60)</f>
        <v/>
      </c>
      <c r="O237" s="6">
        <f>IF(OR(A237="",C237=""),"", N237*(IF(XLOOKUP('Job Control'!$B$3, INPUT_JobSettings!$A:$A, INPUT_JobSettings!$F:$F, "")&lt;&gt;"", XLOOKUP('Job Control'!$B$3, INPUT_JobSettings!$A:$A, INPUT_JobSettings!$F:$F, ""), Summary!$B$4)))</f>
        <v/>
      </c>
      <c r="P237" s="6">
        <f>IF(OR(A237="",C237=""),"", 0)</f>
        <v/>
      </c>
      <c r="Q237" s="6">
        <f>IF(OR(A237="",C237=""),"", (O237+P237)*(IF(XLOOKUP('Job Control'!$B$3, INPUT_JobSettings!$A:$A, INPUT_JobSettings!$G:$G, "")&lt;&gt;"", XLOOKUP('Job Control'!$B$3, INPUT_JobSettings!$A:$A, INPUT_JobSettings!$G:$G, ""), Summary!$B$5)))</f>
        <v/>
      </c>
    </row>
    <row r="238">
      <c r="A238" s="8" t="n"/>
      <c r="B238" s="8" t="n"/>
      <c r="C238" s="8" t="n"/>
      <c r="D238" s="8" t="n"/>
      <c r="E238" s="8" t="n"/>
      <c r="F238" s="8" t="n"/>
      <c r="G238" s="8" t="n"/>
      <c r="H238" s="8" t="n"/>
      <c r="I238" s="6">
        <f>IF(OR(A238="",C238=""),"", XLOOKUP(C238, Constants!$A:$A, Constants!$C:$C, ""))</f>
        <v/>
      </c>
      <c r="J238" s="6">
        <f>IF(OR(A238="",C238=""),"", D238 * (IF(G238="", 1, XLOOKUP(G238, Constants!$E$10:$E$30, Constants!$F$10:$F$30, 1))) * XLOOKUP(C238, Constants!$A:$A, Constants!$D:$D, 0))</f>
        <v/>
      </c>
      <c r="K238" s="6">
        <f>IF(OR(A238="",C238=""),"", D238 * F238 * XLOOKUP(C238, Constants!$A:$A, Constants!$E:$E, 0))</f>
        <v/>
      </c>
      <c r="L238" s="6">
        <f>IF(OR(A238="",C238=""),"", IF(E238="None",0, D238 * IF(E238="Full",1,XLOOKUP("PrimerSpotFactor",Constants!$A$20:$A$40,Constants!$B$20:$B$40,0.35)) * XLOOKUP(C238, Constants!$A:$A, Constants!$F:$F, 0)))</f>
        <v/>
      </c>
      <c r="M238" s="6">
        <f>IF(OR(A238="",C238=""),"", J238+K238+L238)</f>
        <v/>
      </c>
      <c r="N238" s="6">
        <f>IF(OR(A238="",C238=""),"", M238/60)</f>
        <v/>
      </c>
      <c r="O238" s="6">
        <f>IF(OR(A238="",C238=""),"", N238*(IF(XLOOKUP('Job Control'!$B$3, INPUT_JobSettings!$A:$A, INPUT_JobSettings!$F:$F, "")&lt;&gt;"", XLOOKUP('Job Control'!$B$3, INPUT_JobSettings!$A:$A, INPUT_JobSettings!$F:$F, ""), Summary!$B$4)))</f>
        <v/>
      </c>
      <c r="P238" s="6">
        <f>IF(OR(A238="",C238=""),"", 0)</f>
        <v/>
      </c>
      <c r="Q238" s="6">
        <f>IF(OR(A238="",C238=""),"", (O238+P238)*(IF(XLOOKUP('Job Control'!$B$3, INPUT_JobSettings!$A:$A, INPUT_JobSettings!$G:$G, "")&lt;&gt;"", XLOOKUP('Job Control'!$B$3, INPUT_JobSettings!$A:$A, INPUT_JobSettings!$G:$G, ""), Summary!$B$5)))</f>
        <v/>
      </c>
    </row>
    <row r="239">
      <c r="A239" s="8" t="n"/>
      <c r="B239" s="8" t="n"/>
      <c r="C239" s="8" t="n"/>
      <c r="D239" s="8" t="n"/>
      <c r="E239" s="8" t="n"/>
      <c r="F239" s="8" t="n"/>
      <c r="G239" s="8" t="n"/>
      <c r="H239" s="8" t="n"/>
      <c r="I239" s="6">
        <f>IF(OR(A239="",C239=""),"", XLOOKUP(C239, Constants!$A:$A, Constants!$C:$C, ""))</f>
        <v/>
      </c>
      <c r="J239" s="6">
        <f>IF(OR(A239="",C239=""),"", D239 * (IF(G239="", 1, XLOOKUP(G239, Constants!$E$10:$E$30, Constants!$F$10:$F$30, 1))) * XLOOKUP(C239, Constants!$A:$A, Constants!$D:$D, 0))</f>
        <v/>
      </c>
      <c r="K239" s="6">
        <f>IF(OR(A239="",C239=""),"", D239 * F239 * XLOOKUP(C239, Constants!$A:$A, Constants!$E:$E, 0))</f>
        <v/>
      </c>
      <c r="L239" s="6">
        <f>IF(OR(A239="",C239=""),"", IF(E239="None",0, D239 * IF(E239="Full",1,XLOOKUP("PrimerSpotFactor",Constants!$A$20:$A$40,Constants!$B$20:$B$40,0.35)) * XLOOKUP(C239, Constants!$A:$A, Constants!$F:$F, 0)))</f>
        <v/>
      </c>
      <c r="M239" s="6">
        <f>IF(OR(A239="",C239=""),"", J239+K239+L239)</f>
        <v/>
      </c>
      <c r="N239" s="6">
        <f>IF(OR(A239="",C239=""),"", M239/60)</f>
        <v/>
      </c>
      <c r="O239" s="6">
        <f>IF(OR(A239="",C239=""),"", N239*(IF(XLOOKUP('Job Control'!$B$3, INPUT_JobSettings!$A:$A, INPUT_JobSettings!$F:$F, "")&lt;&gt;"", XLOOKUP('Job Control'!$B$3, INPUT_JobSettings!$A:$A, INPUT_JobSettings!$F:$F, ""), Summary!$B$4)))</f>
        <v/>
      </c>
      <c r="P239" s="6">
        <f>IF(OR(A239="",C239=""),"", 0)</f>
        <v/>
      </c>
      <c r="Q239" s="6">
        <f>IF(OR(A239="",C239=""),"", (O239+P239)*(IF(XLOOKUP('Job Control'!$B$3, INPUT_JobSettings!$A:$A, INPUT_JobSettings!$G:$G, "")&lt;&gt;"", XLOOKUP('Job Control'!$B$3, INPUT_JobSettings!$A:$A, INPUT_JobSettings!$G:$G, ""), Summary!$B$5)))</f>
        <v/>
      </c>
    </row>
    <row r="240">
      <c r="A240" s="8" t="n"/>
      <c r="B240" s="8" t="n"/>
      <c r="C240" s="8" t="n"/>
      <c r="D240" s="8" t="n"/>
      <c r="E240" s="8" t="n"/>
      <c r="F240" s="8" t="n"/>
      <c r="G240" s="8" t="n"/>
      <c r="H240" s="8" t="n"/>
      <c r="I240" s="6">
        <f>IF(OR(A240="",C240=""),"", XLOOKUP(C240, Constants!$A:$A, Constants!$C:$C, ""))</f>
        <v/>
      </c>
      <c r="J240" s="6">
        <f>IF(OR(A240="",C240=""),"", D240 * (IF(G240="", 1, XLOOKUP(G240, Constants!$E$10:$E$30, Constants!$F$10:$F$30, 1))) * XLOOKUP(C240, Constants!$A:$A, Constants!$D:$D, 0))</f>
        <v/>
      </c>
      <c r="K240" s="6">
        <f>IF(OR(A240="",C240=""),"", D240 * F240 * XLOOKUP(C240, Constants!$A:$A, Constants!$E:$E, 0))</f>
        <v/>
      </c>
      <c r="L240" s="6">
        <f>IF(OR(A240="",C240=""),"", IF(E240="None",0, D240 * IF(E240="Full",1,XLOOKUP("PrimerSpotFactor",Constants!$A$20:$A$40,Constants!$B$20:$B$40,0.35)) * XLOOKUP(C240, Constants!$A:$A, Constants!$F:$F, 0)))</f>
        <v/>
      </c>
      <c r="M240" s="6">
        <f>IF(OR(A240="",C240=""),"", J240+K240+L240)</f>
        <v/>
      </c>
      <c r="N240" s="6">
        <f>IF(OR(A240="",C240=""),"", M240/60)</f>
        <v/>
      </c>
      <c r="O240" s="6">
        <f>IF(OR(A240="",C240=""),"", N240*(IF(XLOOKUP('Job Control'!$B$3, INPUT_JobSettings!$A:$A, INPUT_JobSettings!$F:$F, "")&lt;&gt;"", XLOOKUP('Job Control'!$B$3, INPUT_JobSettings!$A:$A, INPUT_JobSettings!$F:$F, ""), Summary!$B$4)))</f>
        <v/>
      </c>
      <c r="P240" s="6">
        <f>IF(OR(A240="",C240=""),"", 0)</f>
        <v/>
      </c>
      <c r="Q240" s="6">
        <f>IF(OR(A240="",C240=""),"", (O240+P240)*(IF(XLOOKUP('Job Control'!$B$3, INPUT_JobSettings!$A:$A, INPUT_JobSettings!$G:$G, "")&lt;&gt;"", XLOOKUP('Job Control'!$B$3, INPUT_JobSettings!$A:$A, INPUT_JobSettings!$G:$G, ""), Summary!$B$5)))</f>
        <v/>
      </c>
    </row>
    <row r="241">
      <c r="A241" s="8" t="n"/>
      <c r="B241" s="8" t="n"/>
      <c r="C241" s="8" t="n"/>
      <c r="D241" s="8" t="n"/>
      <c r="E241" s="8" t="n"/>
      <c r="F241" s="8" t="n"/>
      <c r="G241" s="8" t="n"/>
      <c r="H241" s="8" t="n"/>
      <c r="I241" s="6">
        <f>IF(OR(A241="",C241=""),"", XLOOKUP(C241, Constants!$A:$A, Constants!$C:$C, ""))</f>
        <v/>
      </c>
      <c r="J241" s="6">
        <f>IF(OR(A241="",C241=""),"", D241 * (IF(G241="", 1, XLOOKUP(G241, Constants!$E$10:$E$30, Constants!$F$10:$F$30, 1))) * XLOOKUP(C241, Constants!$A:$A, Constants!$D:$D, 0))</f>
        <v/>
      </c>
      <c r="K241" s="6">
        <f>IF(OR(A241="",C241=""),"", D241 * F241 * XLOOKUP(C241, Constants!$A:$A, Constants!$E:$E, 0))</f>
        <v/>
      </c>
      <c r="L241" s="6">
        <f>IF(OR(A241="",C241=""),"", IF(E241="None",0, D241 * IF(E241="Full",1,XLOOKUP("PrimerSpotFactor",Constants!$A$20:$A$40,Constants!$B$20:$B$40,0.35)) * XLOOKUP(C241, Constants!$A:$A, Constants!$F:$F, 0)))</f>
        <v/>
      </c>
      <c r="M241" s="6">
        <f>IF(OR(A241="",C241=""),"", J241+K241+L241)</f>
        <v/>
      </c>
      <c r="N241" s="6">
        <f>IF(OR(A241="",C241=""),"", M241/60)</f>
        <v/>
      </c>
      <c r="O241" s="6">
        <f>IF(OR(A241="",C241=""),"", N241*(IF(XLOOKUP('Job Control'!$B$3, INPUT_JobSettings!$A:$A, INPUT_JobSettings!$F:$F, "")&lt;&gt;"", XLOOKUP('Job Control'!$B$3, INPUT_JobSettings!$A:$A, INPUT_JobSettings!$F:$F, ""), Summary!$B$4)))</f>
        <v/>
      </c>
      <c r="P241" s="6">
        <f>IF(OR(A241="",C241=""),"", 0)</f>
        <v/>
      </c>
      <c r="Q241" s="6">
        <f>IF(OR(A241="",C241=""),"", (O241+P241)*(IF(XLOOKUP('Job Control'!$B$3, INPUT_JobSettings!$A:$A, INPUT_JobSettings!$G:$G, "")&lt;&gt;"", XLOOKUP('Job Control'!$B$3, INPUT_JobSettings!$A:$A, INPUT_JobSettings!$G:$G, ""), Summary!$B$5)))</f>
        <v/>
      </c>
    </row>
    <row r="242">
      <c r="A242" s="8" t="n"/>
      <c r="B242" s="8" t="n"/>
      <c r="C242" s="8" t="n"/>
      <c r="D242" s="8" t="n"/>
      <c r="E242" s="8" t="n"/>
      <c r="F242" s="8" t="n"/>
      <c r="G242" s="8" t="n"/>
      <c r="H242" s="8" t="n"/>
      <c r="I242" s="6">
        <f>IF(OR(A242="",C242=""),"", XLOOKUP(C242, Constants!$A:$A, Constants!$C:$C, ""))</f>
        <v/>
      </c>
      <c r="J242" s="6">
        <f>IF(OR(A242="",C242=""),"", D242 * (IF(G242="", 1, XLOOKUP(G242, Constants!$E$10:$E$30, Constants!$F$10:$F$30, 1))) * XLOOKUP(C242, Constants!$A:$A, Constants!$D:$D, 0))</f>
        <v/>
      </c>
      <c r="K242" s="6">
        <f>IF(OR(A242="",C242=""),"", D242 * F242 * XLOOKUP(C242, Constants!$A:$A, Constants!$E:$E, 0))</f>
        <v/>
      </c>
      <c r="L242" s="6">
        <f>IF(OR(A242="",C242=""),"", IF(E242="None",0, D242 * IF(E242="Full",1,XLOOKUP("PrimerSpotFactor",Constants!$A$20:$A$40,Constants!$B$20:$B$40,0.35)) * XLOOKUP(C242, Constants!$A:$A, Constants!$F:$F, 0)))</f>
        <v/>
      </c>
      <c r="M242" s="6">
        <f>IF(OR(A242="",C242=""),"", J242+K242+L242)</f>
        <v/>
      </c>
      <c r="N242" s="6">
        <f>IF(OR(A242="",C242=""),"", M242/60)</f>
        <v/>
      </c>
      <c r="O242" s="6">
        <f>IF(OR(A242="",C242=""),"", N242*(IF(XLOOKUP('Job Control'!$B$3, INPUT_JobSettings!$A:$A, INPUT_JobSettings!$F:$F, "")&lt;&gt;"", XLOOKUP('Job Control'!$B$3, INPUT_JobSettings!$A:$A, INPUT_JobSettings!$F:$F, ""), Summary!$B$4)))</f>
        <v/>
      </c>
      <c r="P242" s="6">
        <f>IF(OR(A242="",C242=""),"", 0)</f>
        <v/>
      </c>
      <c r="Q242" s="6">
        <f>IF(OR(A242="",C242=""),"", (O242+P242)*(IF(XLOOKUP('Job Control'!$B$3, INPUT_JobSettings!$A:$A, INPUT_JobSettings!$G:$G, "")&lt;&gt;"", XLOOKUP('Job Control'!$B$3, INPUT_JobSettings!$A:$A, INPUT_JobSettings!$G:$G, ""), Summary!$B$5)))</f>
        <v/>
      </c>
    </row>
    <row r="243">
      <c r="A243" s="8" t="n"/>
      <c r="B243" s="8" t="n"/>
      <c r="C243" s="8" t="n"/>
      <c r="D243" s="8" t="n"/>
      <c r="E243" s="8" t="n"/>
      <c r="F243" s="8" t="n"/>
      <c r="G243" s="8" t="n"/>
      <c r="H243" s="8" t="n"/>
      <c r="I243" s="6">
        <f>IF(OR(A243="",C243=""),"", XLOOKUP(C243, Constants!$A:$A, Constants!$C:$C, ""))</f>
        <v/>
      </c>
      <c r="J243" s="6">
        <f>IF(OR(A243="",C243=""),"", D243 * (IF(G243="", 1, XLOOKUP(G243, Constants!$E$10:$E$30, Constants!$F$10:$F$30, 1))) * XLOOKUP(C243, Constants!$A:$A, Constants!$D:$D, 0))</f>
        <v/>
      </c>
      <c r="K243" s="6">
        <f>IF(OR(A243="",C243=""),"", D243 * F243 * XLOOKUP(C243, Constants!$A:$A, Constants!$E:$E, 0))</f>
        <v/>
      </c>
      <c r="L243" s="6">
        <f>IF(OR(A243="",C243=""),"", IF(E243="None",0, D243 * IF(E243="Full",1,XLOOKUP("PrimerSpotFactor",Constants!$A$20:$A$40,Constants!$B$20:$B$40,0.35)) * XLOOKUP(C243, Constants!$A:$A, Constants!$F:$F, 0)))</f>
        <v/>
      </c>
      <c r="M243" s="6">
        <f>IF(OR(A243="",C243=""),"", J243+K243+L243)</f>
        <v/>
      </c>
      <c r="N243" s="6">
        <f>IF(OR(A243="",C243=""),"", M243/60)</f>
        <v/>
      </c>
      <c r="O243" s="6">
        <f>IF(OR(A243="",C243=""),"", N243*(IF(XLOOKUP('Job Control'!$B$3, INPUT_JobSettings!$A:$A, INPUT_JobSettings!$F:$F, "")&lt;&gt;"", XLOOKUP('Job Control'!$B$3, INPUT_JobSettings!$A:$A, INPUT_JobSettings!$F:$F, ""), Summary!$B$4)))</f>
        <v/>
      </c>
      <c r="P243" s="6">
        <f>IF(OR(A243="",C243=""),"", 0)</f>
        <v/>
      </c>
      <c r="Q243" s="6">
        <f>IF(OR(A243="",C243=""),"", (O243+P243)*(IF(XLOOKUP('Job Control'!$B$3, INPUT_JobSettings!$A:$A, INPUT_JobSettings!$G:$G, "")&lt;&gt;"", XLOOKUP('Job Control'!$B$3, INPUT_JobSettings!$A:$A, INPUT_JobSettings!$G:$G, ""), Summary!$B$5)))</f>
        <v/>
      </c>
    </row>
    <row r="244">
      <c r="A244" s="8" t="n"/>
      <c r="B244" s="8" t="n"/>
      <c r="C244" s="8" t="n"/>
      <c r="D244" s="8" t="n"/>
      <c r="E244" s="8" t="n"/>
      <c r="F244" s="8" t="n"/>
      <c r="G244" s="8" t="n"/>
      <c r="H244" s="8" t="n"/>
      <c r="I244" s="6">
        <f>IF(OR(A244="",C244=""),"", XLOOKUP(C244, Constants!$A:$A, Constants!$C:$C, ""))</f>
        <v/>
      </c>
      <c r="J244" s="6">
        <f>IF(OR(A244="",C244=""),"", D244 * (IF(G244="", 1, XLOOKUP(G244, Constants!$E$10:$E$30, Constants!$F$10:$F$30, 1))) * XLOOKUP(C244, Constants!$A:$A, Constants!$D:$D, 0))</f>
        <v/>
      </c>
      <c r="K244" s="6">
        <f>IF(OR(A244="",C244=""),"", D244 * F244 * XLOOKUP(C244, Constants!$A:$A, Constants!$E:$E, 0))</f>
        <v/>
      </c>
      <c r="L244" s="6">
        <f>IF(OR(A244="",C244=""),"", IF(E244="None",0, D244 * IF(E244="Full",1,XLOOKUP("PrimerSpotFactor",Constants!$A$20:$A$40,Constants!$B$20:$B$40,0.35)) * XLOOKUP(C244, Constants!$A:$A, Constants!$F:$F, 0)))</f>
        <v/>
      </c>
      <c r="M244" s="6">
        <f>IF(OR(A244="",C244=""),"", J244+K244+L244)</f>
        <v/>
      </c>
      <c r="N244" s="6">
        <f>IF(OR(A244="",C244=""),"", M244/60)</f>
        <v/>
      </c>
      <c r="O244" s="6">
        <f>IF(OR(A244="",C244=""),"", N244*(IF(XLOOKUP('Job Control'!$B$3, INPUT_JobSettings!$A:$A, INPUT_JobSettings!$F:$F, "")&lt;&gt;"", XLOOKUP('Job Control'!$B$3, INPUT_JobSettings!$A:$A, INPUT_JobSettings!$F:$F, ""), Summary!$B$4)))</f>
        <v/>
      </c>
      <c r="P244" s="6">
        <f>IF(OR(A244="",C244=""),"", 0)</f>
        <v/>
      </c>
      <c r="Q244" s="6">
        <f>IF(OR(A244="",C244=""),"", (O244+P244)*(IF(XLOOKUP('Job Control'!$B$3, INPUT_JobSettings!$A:$A, INPUT_JobSettings!$G:$G, "")&lt;&gt;"", XLOOKUP('Job Control'!$B$3, INPUT_JobSettings!$A:$A, INPUT_JobSettings!$G:$G, ""), Summary!$B$5)))</f>
        <v/>
      </c>
    </row>
    <row r="245">
      <c r="A245" s="8" t="n"/>
      <c r="B245" s="8" t="n"/>
      <c r="C245" s="8" t="n"/>
      <c r="D245" s="8" t="n"/>
      <c r="E245" s="8" t="n"/>
      <c r="F245" s="8" t="n"/>
      <c r="G245" s="8" t="n"/>
      <c r="H245" s="8" t="n"/>
      <c r="I245" s="6">
        <f>IF(OR(A245="",C245=""),"", XLOOKUP(C245, Constants!$A:$A, Constants!$C:$C, ""))</f>
        <v/>
      </c>
      <c r="J245" s="6">
        <f>IF(OR(A245="",C245=""),"", D245 * (IF(G245="", 1, XLOOKUP(G245, Constants!$E$10:$E$30, Constants!$F$10:$F$30, 1))) * XLOOKUP(C245, Constants!$A:$A, Constants!$D:$D, 0))</f>
        <v/>
      </c>
      <c r="K245" s="6">
        <f>IF(OR(A245="",C245=""),"", D245 * F245 * XLOOKUP(C245, Constants!$A:$A, Constants!$E:$E, 0))</f>
        <v/>
      </c>
      <c r="L245" s="6">
        <f>IF(OR(A245="",C245=""),"", IF(E245="None",0, D245 * IF(E245="Full",1,XLOOKUP("PrimerSpotFactor",Constants!$A$20:$A$40,Constants!$B$20:$B$40,0.35)) * XLOOKUP(C245, Constants!$A:$A, Constants!$F:$F, 0)))</f>
        <v/>
      </c>
      <c r="M245" s="6">
        <f>IF(OR(A245="",C245=""),"", J245+K245+L245)</f>
        <v/>
      </c>
      <c r="N245" s="6">
        <f>IF(OR(A245="",C245=""),"", M245/60)</f>
        <v/>
      </c>
      <c r="O245" s="6">
        <f>IF(OR(A245="",C245=""),"", N245*(IF(XLOOKUP('Job Control'!$B$3, INPUT_JobSettings!$A:$A, INPUT_JobSettings!$F:$F, "")&lt;&gt;"", XLOOKUP('Job Control'!$B$3, INPUT_JobSettings!$A:$A, INPUT_JobSettings!$F:$F, ""), Summary!$B$4)))</f>
        <v/>
      </c>
      <c r="P245" s="6">
        <f>IF(OR(A245="",C245=""),"", 0)</f>
        <v/>
      </c>
      <c r="Q245" s="6">
        <f>IF(OR(A245="",C245=""),"", (O245+P245)*(IF(XLOOKUP('Job Control'!$B$3, INPUT_JobSettings!$A:$A, INPUT_JobSettings!$G:$G, "")&lt;&gt;"", XLOOKUP('Job Control'!$B$3, INPUT_JobSettings!$A:$A, INPUT_JobSettings!$G:$G, ""), Summary!$B$5)))</f>
        <v/>
      </c>
    </row>
    <row r="246">
      <c r="A246" s="8" t="n"/>
      <c r="B246" s="8" t="n"/>
      <c r="C246" s="8" t="n"/>
      <c r="D246" s="8" t="n"/>
      <c r="E246" s="8" t="n"/>
      <c r="F246" s="8" t="n"/>
      <c r="G246" s="8" t="n"/>
      <c r="H246" s="8" t="n"/>
      <c r="I246" s="6">
        <f>IF(OR(A246="",C246=""),"", XLOOKUP(C246, Constants!$A:$A, Constants!$C:$C, ""))</f>
        <v/>
      </c>
      <c r="J246" s="6">
        <f>IF(OR(A246="",C246=""),"", D246 * (IF(G246="", 1, XLOOKUP(G246, Constants!$E$10:$E$30, Constants!$F$10:$F$30, 1))) * XLOOKUP(C246, Constants!$A:$A, Constants!$D:$D, 0))</f>
        <v/>
      </c>
      <c r="K246" s="6">
        <f>IF(OR(A246="",C246=""),"", D246 * F246 * XLOOKUP(C246, Constants!$A:$A, Constants!$E:$E, 0))</f>
        <v/>
      </c>
      <c r="L246" s="6">
        <f>IF(OR(A246="",C246=""),"", IF(E246="None",0, D246 * IF(E246="Full",1,XLOOKUP("PrimerSpotFactor",Constants!$A$20:$A$40,Constants!$B$20:$B$40,0.35)) * XLOOKUP(C246, Constants!$A:$A, Constants!$F:$F, 0)))</f>
        <v/>
      </c>
      <c r="M246" s="6">
        <f>IF(OR(A246="",C246=""),"", J246+K246+L246)</f>
        <v/>
      </c>
      <c r="N246" s="6">
        <f>IF(OR(A246="",C246=""),"", M246/60)</f>
        <v/>
      </c>
      <c r="O246" s="6">
        <f>IF(OR(A246="",C246=""),"", N246*(IF(XLOOKUP('Job Control'!$B$3, INPUT_JobSettings!$A:$A, INPUT_JobSettings!$F:$F, "")&lt;&gt;"", XLOOKUP('Job Control'!$B$3, INPUT_JobSettings!$A:$A, INPUT_JobSettings!$F:$F, ""), Summary!$B$4)))</f>
        <v/>
      </c>
      <c r="P246" s="6">
        <f>IF(OR(A246="",C246=""),"", 0)</f>
        <v/>
      </c>
      <c r="Q246" s="6">
        <f>IF(OR(A246="",C246=""),"", (O246+P246)*(IF(XLOOKUP('Job Control'!$B$3, INPUT_JobSettings!$A:$A, INPUT_JobSettings!$G:$G, "")&lt;&gt;"", XLOOKUP('Job Control'!$B$3, INPUT_JobSettings!$A:$A, INPUT_JobSettings!$G:$G, ""), Summary!$B$5)))</f>
        <v/>
      </c>
    </row>
    <row r="247">
      <c r="A247" s="8" t="n"/>
      <c r="B247" s="8" t="n"/>
      <c r="C247" s="8" t="n"/>
      <c r="D247" s="8" t="n"/>
      <c r="E247" s="8" t="n"/>
      <c r="F247" s="8" t="n"/>
      <c r="G247" s="8" t="n"/>
      <c r="H247" s="8" t="n"/>
      <c r="I247" s="6">
        <f>IF(OR(A247="",C247=""),"", XLOOKUP(C247, Constants!$A:$A, Constants!$C:$C, ""))</f>
        <v/>
      </c>
      <c r="J247" s="6">
        <f>IF(OR(A247="",C247=""),"", D247 * (IF(G247="", 1, XLOOKUP(G247, Constants!$E$10:$E$30, Constants!$F$10:$F$30, 1))) * XLOOKUP(C247, Constants!$A:$A, Constants!$D:$D, 0))</f>
        <v/>
      </c>
      <c r="K247" s="6">
        <f>IF(OR(A247="",C247=""),"", D247 * F247 * XLOOKUP(C247, Constants!$A:$A, Constants!$E:$E, 0))</f>
        <v/>
      </c>
      <c r="L247" s="6">
        <f>IF(OR(A247="",C247=""),"", IF(E247="None",0, D247 * IF(E247="Full",1,XLOOKUP("PrimerSpotFactor",Constants!$A$20:$A$40,Constants!$B$20:$B$40,0.35)) * XLOOKUP(C247, Constants!$A:$A, Constants!$F:$F, 0)))</f>
        <v/>
      </c>
      <c r="M247" s="6">
        <f>IF(OR(A247="",C247=""),"", J247+K247+L247)</f>
        <v/>
      </c>
      <c r="N247" s="6">
        <f>IF(OR(A247="",C247=""),"", M247/60)</f>
        <v/>
      </c>
      <c r="O247" s="6">
        <f>IF(OR(A247="",C247=""),"", N247*(IF(XLOOKUP('Job Control'!$B$3, INPUT_JobSettings!$A:$A, INPUT_JobSettings!$F:$F, "")&lt;&gt;"", XLOOKUP('Job Control'!$B$3, INPUT_JobSettings!$A:$A, INPUT_JobSettings!$F:$F, ""), Summary!$B$4)))</f>
        <v/>
      </c>
      <c r="P247" s="6">
        <f>IF(OR(A247="",C247=""),"", 0)</f>
        <v/>
      </c>
      <c r="Q247" s="6">
        <f>IF(OR(A247="",C247=""),"", (O247+P247)*(IF(XLOOKUP('Job Control'!$B$3, INPUT_JobSettings!$A:$A, INPUT_JobSettings!$G:$G, "")&lt;&gt;"", XLOOKUP('Job Control'!$B$3, INPUT_JobSettings!$A:$A, INPUT_JobSettings!$G:$G, ""), Summary!$B$5)))</f>
        <v/>
      </c>
    </row>
    <row r="248">
      <c r="A248" s="8" t="n"/>
      <c r="B248" s="8" t="n"/>
      <c r="C248" s="8" t="n"/>
      <c r="D248" s="8" t="n"/>
      <c r="E248" s="8" t="n"/>
      <c r="F248" s="8" t="n"/>
      <c r="G248" s="8" t="n"/>
      <c r="H248" s="8" t="n"/>
      <c r="I248" s="6">
        <f>IF(OR(A248="",C248=""),"", XLOOKUP(C248, Constants!$A:$A, Constants!$C:$C, ""))</f>
        <v/>
      </c>
      <c r="J248" s="6">
        <f>IF(OR(A248="",C248=""),"", D248 * (IF(G248="", 1, XLOOKUP(G248, Constants!$E$10:$E$30, Constants!$F$10:$F$30, 1))) * XLOOKUP(C248, Constants!$A:$A, Constants!$D:$D, 0))</f>
        <v/>
      </c>
      <c r="K248" s="6">
        <f>IF(OR(A248="",C248=""),"", D248 * F248 * XLOOKUP(C248, Constants!$A:$A, Constants!$E:$E, 0))</f>
        <v/>
      </c>
      <c r="L248" s="6">
        <f>IF(OR(A248="",C248=""),"", IF(E248="None",0, D248 * IF(E248="Full",1,XLOOKUP("PrimerSpotFactor",Constants!$A$20:$A$40,Constants!$B$20:$B$40,0.35)) * XLOOKUP(C248, Constants!$A:$A, Constants!$F:$F, 0)))</f>
        <v/>
      </c>
      <c r="M248" s="6">
        <f>IF(OR(A248="",C248=""),"", J248+K248+L248)</f>
        <v/>
      </c>
      <c r="N248" s="6">
        <f>IF(OR(A248="",C248=""),"", M248/60)</f>
        <v/>
      </c>
      <c r="O248" s="6">
        <f>IF(OR(A248="",C248=""),"", N248*(IF(XLOOKUP('Job Control'!$B$3, INPUT_JobSettings!$A:$A, INPUT_JobSettings!$F:$F, "")&lt;&gt;"", XLOOKUP('Job Control'!$B$3, INPUT_JobSettings!$A:$A, INPUT_JobSettings!$F:$F, ""), Summary!$B$4)))</f>
        <v/>
      </c>
      <c r="P248" s="6">
        <f>IF(OR(A248="",C248=""),"", 0)</f>
        <v/>
      </c>
      <c r="Q248" s="6">
        <f>IF(OR(A248="",C248=""),"", (O248+P248)*(IF(XLOOKUP('Job Control'!$B$3, INPUT_JobSettings!$A:$A, INPUT_JobSettings!$G:$G, "")&lt;&gt;"", XLOOKUP('Job Control'!$B$3, INPUT_JobSettings!$A:$A, INPUT_JobSettings!$G:$G, ""), Summary!$B$5)))</f>
        <v/>
      </c>
    </row>
    <row r="249">
      <c r="A249" s="8" t="n"/>
      <c r="B249" s="8" t="n"/>
      <c r="C249" s="8" t="n"/>
      <c r="D249" s="8" t="n"/>
      <c r="E249" s="8" t="n"/>
      <c r="F249" s="8" t="n"/>
      <c r="G249" s="8" t="n"/>
      <c r="H249" s="8" t="n"/>
      <c r="I249" s="6">
        <f>IF(OR(A249="",C249=""),"", XLOOKUP(C249, Constants!$A:$A, Constants!$C:$C, ""))</f>
        <v/>
      </c>
      <c r="J249" s="6">
        <f>IF(OR(A249="",C249=""),"", D249 * (IF(G249="", 1, XLOOKUP(G249, Constants!$E$10:$E$30, Constants!$F$10:$F$30, 1))) * XLOOKUP(C249, Constants!$A:$A, Constants!$D:$D, 0))</f>
        <v/>
      </c>
      <c r="K249" s="6">
        <f>IF(OR(A249="",C249=""),"", D249 * F249 * XLOOKUP(C249, Constants!$A:$A, Constants!$E:$E, 0))</f>
        <v/>
      </c>
      <c r="L249" s="6">
        <f>IF(OR(A249="",C249=""),"", IF(E249="None",0, D249 * IF(E249="Full",1,XLOOKUP("PrimerSpotFactor",Constants!$A$20:$A$40,Constants!$B$20:$B$40,0.35)) * XLOOKUP(C249, Constants!$A:$A, Constants!$F:$F, 0)))</f>
        <v/>
      </c>
      <c r="M249" s="6">
        <f>IF(OR(A249="",C249=""),"", J249+K249+L249)</f>
        <v/>
      </c>
      <c r="N249" s="6">
        <f>IF(OR(A249="",C249=""),"", M249/60)</f>
        <v/>
      </c>
      <c r="O249" s="6">
        <f>IF(OR(A249="",C249=""),"", N249*(IF(XLOOKUP('Job Control'!$B$3, INPUT_JobSettings!$A:$A, INPUT_JobSettings!$F:$F, "")&lt;&gt;"", XLOOKUP('Job Control'!$B$3, INPUT_JobSettings!$A:$A, INPUT_JobSettings!$F:$F, ""), Summary!$B$4)))</f>
        <v/>
      </c>
      <c r="P249" s="6">
        <f>IF(OR(A249="",C249=""),"", 0)</f>
        <v/>
      </c>
      <c r="Q249" s="6">
        <f>IF(OR(A249="",C249=""),"", (O249+P249)*(IF(XLOOKUP('Job Control'!$B$3, INPUT_JobSettings!$A:$A, INPUT_JobSettings!$G:$G, "")&lt;&gt;"", XLOOKUP('Job Control'!$B$3, INPUT_JobSettings!$A:$A, INPUT_JobSettings!$G:$G, ""), Summary!$B$5)))</f>
        <v/>
      </c>
    </row>
    <row r="250">
      <c r="A250" s="8" t="n"/>
      <c r="B250" s="8" t="n"/>
      <c r="C250" s="8" t="n"/>
      <c r="D250" s="8" t="n"/>
      <c r="E250" s="8" t="n"/>
      <c r="F250" s="8" t="n"/>
      <c r="G250" s="8" t="n"/>
      <c r="H250" s="8" t="n"/>
      <c r="I250" s="6">
        <f>IF(OR(A250="",C250=""),"", XLOOKUP(C250, Constants!$A:$A, Constants!$C:$C, ""))</f>
        <v/>
      </c>
      <c r="J250" s="6">
        <f>IF(OR(A250="",C250=""),"", D250 * (IF(G250="", 1, XLOOKUP(G250, Constants!$E$10:$E$30, Constants!$F$10:$F$30, 1))) * XLOOKUP(C250, Constants!$A:$A, Constants!$D:$D, 0))</f>
        <v/>
      </c>
      <c r="K250" s="6">
        <f>IF(OR(A250="",C250=""),"", D250 * F250 * XLOOKUP(C250, Constants!$A:$A, Constants!$E:$E, 0))</f>
        <v/>
      </c>
      <c r="L250" s="6">
        <f>IF(OR(A250="",C250=""),"", IF(E250="None",0, D250 * IF(E250="Full",1,XLOOKUP("PrimerSpotFactor",Constants!$A$20:$A$40,Constants!$B$20:$B$40,0.35)) * XLOOKUP(C250, Constants!$A:$A, Constants!$F:$F, 0)))</f>
        <v/>
      </c>
      <c r="M250" s="6">
        <f>IF(OR(A250="",C250=""),"", J250+K250+L250)</f>
        <v/>
      </c>
      <c r="N250" s="6">
        <f>IF(OR(A250="",C250=""),"", M250/60)</f>
        <v/>
      </c>
      <c r="O250" s="6">
        <f>IF(OR(A250="",C250=""),"", N250*(IF(XLOOKUP('Job Control'!$B$3, INPUT_JobSettings!$A:$A, INPUT_JobSettings!$F:$F, "")&lt;&gt;"", XLOOKUP('Job Control'!$B$3, INPUT_JobSettings!$A:$A, INPUT_JobSettings!$F:$F, ""), Summary!$B$4)))</f>
        <v/>
      </c>
      <c r="P250" s="6">
        <f>IF(OR(A250="",C250=""),"", 0)</f>
        <v/>
      </c>
      <c r="Q250" s="6">
        <f>IF(OR(A250="",C250=""),"", (O250+P250)*(IF(XLOOKUP('Job Control'!$B$3, INPUT_JobSettings!$A:$A, INPUT_JobSettings!$G:$G, "")&lt;&gt;"", XLOOKUP('Job Control'!$B$3, INPUT_JobSettings!$A:$A, INPUT_JobSettings!$G:$G, ""), Summary!$B$5)))</f>
        <v/>
      </c>
    </row>
    <row r="251">
      <c r="A251" s="8" t="n"/>
      <c r="B251" s="8" t="n"/>
      <c r="C251" s="8" t="n"/>
      <c r="D251" s="8" t="n"/>
      <c r="E251" s="8" t="n"/>
      <c r="F251" s="8" t="n"/>
      <c r="G251" s="8" t="n"/>
      <c r="H251" s="8" t="n"/>
      <c r="I251" s="6">
        <f>IF(OR(A251="",C251=""),"", XLOOKUP(C251, Constants!$A:$A, Constants!$C:$C, ""))</f>
        <v/>
      </c>
      <c r="J251" s="6">
        <f>IF(OR(A251="",C251=""),"", D251 * (IF(G251="", 1, XLOOKUP(G251, Constants!$E$10:$E$30, Constants!$F$10:$F$30, 1))) * XLOOKUP(C251, Constants!$A:$A, Constants!$D:$D, 0))</f>
        <v/>
      </c>
      <c r="K251" s="6">
        <f>IF(OR(A251="",C251=""),"", D251 * F251 * XLOOKUP(C251, Constants!$A:$A, Constants!$E:$E, 0))</f>
        <v/>
      </c>
      <c r="L251" s="6">
        <f>IF(OR(A251="",C251=""),"", IF(E251="None",0, D251 * IF(E251="Full",1,XLOOKUP("PrimerSpotFactor",Constants!$A$20:$A$40,Constants!$B$20:$B$40,0.35)) * XLOOKUP(C251, Constants!$A:$A, Constants!$F:$F, 0)))</f>
        <v/>
      </c>
      <c r="M251" s="6">
        <f>IF(OR(A251="",C251=""),"", J251+K251+L251)</f>
        <v/>
      </c>
      <c r="N251" s="6">
        <f>IF(OR(A251="",C251=""),"", M251/60)</f>
        <v/>
      </c>
      <c r="O251" s="6">
        <f>IF(OR(A251="",C251=""),"", N251*(IF(XLOOKUP('Job Control'!$B$3, INPUT_JobSettings!$A:$A, INPUT_JobSettings!$F:$F, "")&lt;&gt;"", XLOOKUP('Job Control'!$B$3, INPUT_JobSettings!$A:$A, INPUT_JobSettings!$F:$F, ""), Summary!$B$4)))</f>
        <v/>
      </c>
      <c r="P251" s="6">
        <f>IF(OR(A251="",C251=""),"", 0)</f>
        <v/>
      </c>
      <c r="Q251" s="6">
        <f>IF(OR(A251="",C251=""),"", (O251+P251)*(IF(XLOOKUP('Job Control'!$B$3, INPUT_JobSettings!$A:$A, INPUT_JobSettings!$G:$G, "")&lt;&gt;"", XLOOKUP('Job Control'!$B$3, INPUT_JobSettings!$A:$A, INPUT_JobSettings!$G:$G, ""), Summary!$B$5)))</f>
        <v/>
      </c>
    </row>
    <row r="252">
      <c r="A252" s="8" t="n"/>
      <c r="B252" s="8" t="n"/>
      <c r="C252" s="8" t="n"/>
      <c r="D252" s="8" t="n"/>
      <c r="E252" s="8" t="n"/>
      <c r="F252" s="8" t="n"/>
      <c r="G252" s="8" t="n"/>
      <c r="H252" s="8" t="n"/>
      <c r="I252" s="6">
        <f>IF(OR(A252="",C252=""),"", XLOOKUP(C252, Constants!$A:$A, Constants!$C:$C, ""))</f>
        <v/>
      </c>
      <c r="J252" s="6">
        <f>IF(OR(A252="",C252=""),"", D252 * (IF(G252="", 1, XLOOKUP(G252, Constants!$E$10:$E$30, Constants!$F$10:$F$30, 1))) * XLOOKUP(C252, Constants!$A:$A, Constants!$D:$D, 0))</f>
        <v/>
      </c>
      <c r="K252" s="6">
        <f>IF(OR(A252="",C252=""),"", D252 * F252 * XLOOKUP(C252, Constants!$A:$A, Constants!$E:$E, 0))</f>
        <v/>
      </c>
      <c r="L252" s="6">
        <f>IF(OR(A252="",C252=""),"", IF(E252="None",0, D252 * IF(E252="Full",1,XLOOKUP("PrimerSpotFactor",Constants!$A$20:$A$40,Constants!$B$20:$B$40,0.35)) * XLOOKUP(C252, Constants!$A:$A, Constants!$F:$F, 0)))</f>
        <v/>
      </c>
      <c r="M252" s="6">
        <f>IF(OR(A252="",C252=""),"", J252+K252+L252)</f>
        <v/>
      </c>
      <c r="N252" s="6">
        <f>IF(OR(A252="",C252=""),"", M252/60)</f>
        <v/>
      </c>
      <c r="O252" s="6">
        <f>IF(OR(A252="",C252=""),"", N252*(IF(XLOOKUP('Job Control'!$B$3, INPUT_JobSettings!$A:$A, INPUT_JobSettings!$F:$F, "")&lt;&gt;"", XLOOKUP('Job Control'!$B$3, INPUT_JobSettings!$A:$A, INPUT_JobSettings!$F:$F, ""), Summary!$B$4)))</f>
        <v/>
      </c>
      <c r="P252" s="6">
        <f>IF(OR(A252="",C252=""),"", 0)</f>
        <v/>
      </c>
      <c r="Q252" s="6">
        <f>IF(OR(A252="",C252=""),"", (O252+P252)*(IF(XLOOKUP('Job Control'!$B$3, INPUT_JobSettings!$A:$A, INPUT_JobSettings!$G:$G, "")&lt;&gt;"", XLOOKUP('Job Control'!$B$3, INPUT_JobSettings!$A:$A, INPUT_JobSettings!$G:$G, ""), Summary!$B$5)))</f>
        <v/>
      </c>
    </row>
    <row r="253">
      <c r="A253" s="8" t="n"/>
      <c r="B253" s="8" t="n"/>
      <c r="C253" s="8" t="n"/>
      <c r="D253" s="8" t="n"/>
      <c r="E253" s="8" t="n"/>
      <c r="F253" s="8" t="n"/>
      <c r="G253" s="8" t="n"/>
      <c r="H253" s="8" t="n"/>
      <c r="I253" s="6">
        <f>IF(OR(A253="",C253=""),"", XLOOKUP(C253, Constants!$A:$A, Constants!$C:$C, ""))</f>
        <v/>
      </c>
      <c r="J253" s="6">
        <f>IF(OR(A253="",C253=""),"", D253 * (IF(G253="", 1, XLOOKUP(G253, Constants!$E$10:$E$30, Constants!$F$10:$F$30, 1))) * XLOOKUP(C253, Constants!$A:$A, Constants!$D:$D, 0))</f>
        <v/>
      </c>
      <c r="K253" s="6">
        <f>IF(OR(A253="",C253=""),"", D253 * F253 * XLOOKUP(C253, Constants!$A:$A, Constants!$E:$E, 0))</f>
        <v/>
      </c>
      <c r="L253" s="6">
        <f>IF(OR(A253="",C253=""),"", IF(E253="None",0, D253 * IF(E253="Full",1,XLOOKUP("PrimerSpotFactor",Constants!$A$20:$A$40,Constants!$B$20:$B$40,0.35)) * XLOOKUP(C253, Constants!$A:$A, Constants!$F:$F, 0)))</f>
        <v/>
      </c>
      <c r="M253" s="6">
        <f>IF(OR(A253="",C253=""),"", J253+K253+L253)</f>
        <v/>
      </c>
      <c r="N253" s="6">
        <f>IF(OR(A253="",C253=""),"", M253/60)</f>
        <v/>
      </c>
      <c r="O253" s="6">
        <f>IF(OR(A253="",C253=""),"", N253*(IF(XLOOKUP('Job Control'!$B$3, INPUT_JobSettings!$A:$A, INPUT_JobSettings!$F:$F, "")&lt;&gt;"", XLOOKUP('Job Control'!$B$3, INPUT_JobSettings!$A:$A, INPUT_JobSettings!$F:$F, ""), Summary!$B$4)))</f>
        <v/>
      </c>
      <c r="P253" s="6">
        <f>IF(OR(A253="",C253=""),"", 0)</f>
        <v/>
      </c>
      <c r="Q253" s="6">
        <f>IF(OR(A253="",C253=""),"", (O253+P253)*(IF(XLOOKUP('Job Control'!$B$3, INPUT_JobSettings!$A:$A, INPUT_JobSettings!$G:$G, "")&lt;&gt;"", XLOOKUP('Job Control'!$B$3, INPUT_JobSettings!$A:$A, INPUT_JobSettings!$G:$G, ""), Summary!$B$5)))</f>
        <v/>
      </c>
    </row>
    <row r="254">
      <c r="A254" s="8" t="n"/>
      <c r="B254" s="8" t="n"/>
      <c r="C254" s="8" t="n"/>
      <c r="D254" s="8" t="n"/>
      <c r="E254" s="8" t="n"/>
      <c r="F254" s="8" t="n"/>
      <c r="G254" s="8" t="n"/>
      <c r="H254" s="8" t="n"/>
      <c r="I254" s="6">
        <f>IF(OR(A254="",C254=""),"", XLOOKUP(C254, Constants!$A:$A, Constants!$C:$C, ""))</f>
        <v/>
      </c>
      <c r="J254" s="6">
        <f>IF(OR(A254="",C254=""),"", D254 * (IF(G254="", 1, XLOOKUP(G254, Constants!$E$10:$E$30, Constants!$F$10:$F$30, 1))) * XLOOKUP(C254, Constants!$A:$A, Constants!$D:$D, 0))</f>
        <v/>
      </c>
      <c r="K254" s="6">
        <f>IF(OR(A254="",C254=""),"", D254 * F254 * XLOOKUP(C254, Constants!$A:$A, Constants!$E:$E, 0))</f>
        <v/>
      </c>
      <c r="L254" s="6">
        <f>IF(OR(A254="",C254=""),"", IF(E254="None",0, D254 * IF(E254="Full",1,XLOOKUP("PrimerSpotFactor",Constants!$A$20:$A$40,Constants!$B$20:$B$40,0.35)) * XLOOKUP(C254, Constants!$A:$A, Constants!$F:$F, 0)))</f>
        <v/>
      </c>
      <c r="M254" s="6">
        <f>IF(OR(A254="",C254=""),"", J254+K254+L254)</f>
        <v/>
      </c>
      <c r="N254" s="6">
        <f>IF(OR(A254="",C254=""),"", M254/60)</f>
        <v/>
      </c>
      <c r="O254" s="6">
        <f>IF(OR(A254="",C254=""),"", N254*(IF(XLOOKUP('Job Control'!$B$3, INPUT_JobSettings!$A:$A, INPUT_JobSettings!$F:$F, "")&lt;&gt;"", XLOOKUP('Job Control'!$B$3, INPUT_JobSettings!$A:$A, INPUT_JobSettings!$F:$F, ""), Summary!$B$4)))</f>
        <v/>
      </c>
      <c r="P254" s="6">
        <f>IF(OR(A254="",C254=""),"", 0)</f>
        <v/>
      </c>
      <c r="Q254" s="6">
        <f>IF(OR(A254="",C254=""),"", (O254+P254)*(IF(XLOOKUP('Job Control'!$B$3, INPUT_JobSettings!$A:$A, INPUT_JobSettings!$G:$G, "")&lt;&gt;"", XLOOKUP('Job Control'!$B$3, INPUT_JobSettings!$A:$A, INPUT_JobSettings!$G:$G, ""), Summary!$B$5)))</f>
        <v/>
      </c>
    </row>
    <row r="255">
      <c r="A255" s="8" t="n"/>
      <c r="B255" s="8" t="n"/>
      <c r="C255" s="8" t="n"/>
      <c r="D255" s="8" t="n"/>
      <c r="E255" s="8" t="n"/>
      <c r="F255" s="8" t="n"/>
      <c r="G255" s="8" t="n"/>
      <c r="H255" s="8" t="n"/>
      <c r="I255" s="6">
        <f>IF(OR(A255="",C255=""),"", XLOOKUP(C255, Constants!$A:$A, Constants!$C:$C, ""))</f>
        <v/>
      </c>
      <c r="J255" s="6">
        <f>IF(OR(A255="",C255=""),"", D255 * (IF(G255="", 1, XLOOKUP(G255, Constants!$E$10:$E$30, Constants!$F$10:$F$30, 1))) * XLOOKUP(C255, Constants!$A:$A, Constants!$D:$D, 0))</f>
        <v/>
      </c>
      <c r="K255" s="6">
        <f>IF(OR(A255="",C255=""),"", D255 * F255 * XLOOKUP(C255, Constants!$A:$A, Constants!$E:$E, 0))</f>
        <v/>
      </c>
      <c r="L255" s="6">
        <f>IF(OR(A255="",C255=""),"", IF(E255="None",0, D255 * IF(E255="Full",1,XLOOKUP("PrimerSpotFactor",Constants!$A$20:$A$40,Constants!$B$20:$B$40,0.35)) * XLOOKUP(C255, Constants!$A:$A, Constants!$F:$F, 0)))</f>
        <v/>
      </c>
      <c r="M255" s="6">
        <f>IF(OR(A255="",C255=""),"", J255+K255+L255)</f>
        <v/>
      </c>
      <c r="N255" s="6">
        <f>IF(OR(A255="",C255=""),"", M255/60)</f>
        <v/>
      </c>
      <c r="O255" s="6">
        <f>IF(OR(A255="",C255=""),"", N255*(IF(XLOOKUP('Job Control'!$B$3, INPUT_JobSettings!$A:$A, INPUT_JobSettings!$F:$F, "")&lt;&gt;"", XLOOKUP('Job Control'!$B$3, INPUT_JobSettings!$A:$A, INPUT_JobSettings!$F:$F, ""), Summary!$B$4)))</f>
        <v/>
      </c>
      <c r="P255" s="6">
        <f>IF(OR(A255="",C255=""),"", 0)</f>
        <v/>
      </c>
      <c r="Q255" s="6">
        <f>IF(OR(A255="",C255=""),"", (O255+P255)*(IF(XLOOKUP('Job Control'!$B$3, INPUT_JobSettings!$A:$A, INPUT_JobSettings!$G:$G, "")&lt;&gt;"", XLOOKUP('Job Control'!$B$3, INPUT_JobSettings!$A:$A, INPUT_JobSettings!$G:$G, ""), Summary!$B$5)))</f>
        <v/>
      </c>
    </row>
    <row r="256">
      <c r="A256" s="8" t="n"/>
      <c r="B256" s="8" t="n"/>
      <c r="C256" s="8" t="n"/>
      <c r="D256" s="8" t="n"/>
      <c r="E256" s="8" t="n"/>
      <c r="F256" s="8" t="n"/>
      <c r="G256" s="8" t="n"/>
      <c r="H256" s="8" t="n"/>
      <c r="I256" s="6">
        <f>IF(OR(A256="",C256=""),"", XLOOKUP(C256, Constants!$A:$A, Constants!$C:$C, ""))</f>
        <v/>
      </c>
      <c r="J256" s="6">
        <f>IF(OR(A256="",C256=""),"", D256 * (IF(G256="", 1, XLOOKUP(G256, Constants!$E$10:$E$30, Constants!$F$10:$F$30, 1))) * XLOOKUP(C256, Constants!$A:$A, Constants!$D:$D, 0))</f>
        <v/>
      </c>
      <c r="K256" s="6">
        <f>IF(OR(A256="",C256=""),"", D256 * F256 * XLOOKUP(C256, Constants!$A:$A, Constants!$E:$E, 0))</f>
        <v/>
      </c>
      <c r="L256" s="6">
        <f>IF(OR(A256="",C256=""),"", IF(E256="None",0, D256 * IF(E256="Full",1,XLOOKUP("PrimerSpotFactor",Constants!$A$20:$A$40,Constants!$B$20:$B$40,0.35)) * XLOOKUP(C256, Constants!$A:$A, Constants!$F:$F, 0)))</f>
        <v/>
      </c>
      <c r="M256" s="6">
        <f>IF(OR(A256="",C256=""),"", J256+K256+L256)</f>
        <v/>
      </c>
      <c r="N256" s="6">
        <f>IF(OR(A256="",C256=""),"", M256/60)</f>
        <v/>
      </c>
      <c r="O256" s="6">
        <f>IF(OR(A256="",C256=""),"", N256*(IF(XLOOKUP('Job Control'!$B$3, INPUT_JobSettings!$A:$A, INPUT_JobSettings!$F:$F, "")&lt;&gt;"", XLOOKUP('Job Control'!$B$3, INPUT_JobSettings!$A:$A, INPUT_JobSettings!$F:$F, ""), Summary!$B$4)))</f>
        <v/>
      </c>
      <c r="P256" s="6">
        <f>IF(OR(A256="",C256=""),"", 0)</f>
        <v/>
      </c>
      <c r="Q256" s="6">
        <f>IF(OR(A256="",C256=""),"", (O256+P256)*(IF(XLOOKUP('Job Control'!$B$3, INPUT_JobSettings!$A:$A, INPUT_JobSettings!$G:$G, "")&lt;&gt;"", XLOOKUP('Job Control'!$B$3, INPUT_JobSettings!$A:$A, INPUT_JobSettings!$G:$G, ""), Summary!$B$5)))</f>
        <v/>
      </c>
    </row>
    <row r="257">
      <c r="A257" s="8" t="n"/>
      <c r="B257" s="8" t="n"/>
      <c r="C257" s="8" t="n"/>
      <c r="D257" s="8" t="n"/>
      <c r="E257" s="8" t="n"/>
      <c r="F257" s="8" t="n"/>
      <c r="G257" s="8" t="n"/>
      <c r="H257" s="8" t="n"/>
      <c r="I257" s="6">
        <f>IF(OR(A257="",C257=""),"", XLOOKUP(C257, Constants!$A:$A, Constants!$C:$C, ""))</f>
        <v/>
      </c>
      <c r="J257" s="6">
        <f>IF(OR(A257="",C257=""),"", D257 * (IF(G257="", 1, XLOOKUP(G257, Constants!$E$10:$E$30, Constants!$F$10:$F$30, 1))) * XLOOKUP(C257, Constants!$A:$A, Constants!$D:$D, 0))</f>
        <v/>
      </c>
      <c r="K257" s="6">
        <f>IF(OR(A257="",C257=""),"", D257 * F257 * XLOOKUP(C257, Constants!$A:$A, Constants!$E:$E, 0))</f>
        <v/>
      </c>
      <c r="L257" s="6">
        <f>IF(OR(A257="",C257=""),"", IF(E257="None",0, D257 * IF(E257="Full",1,XLOOKUP("PrimerSpotFactor",Constants!$A$20:$A$40,Constants!$B$20:$B$40,0.35)) * XLOOKUP(C257, Constants!$A:$A, Constants!$F:$F, 0)))</f>
        <v/>
      </c>
      <c r="M257" s="6">
        <f>IF(OR(A257="",C257=""),"", J257+K257+L257)</f>
        <v/>
      </c>
      <c r="N257" s="6">
        <f>IF(OR(A257="",C257=""),"", M257/60)</f>
        <v/>
      </c>
      <c r="O257" s="6">
        <f>IF(OR(A257="",C257=""),"", N257*(IF(XLOOKUP('Job Control'!$B$3, INPUT_JobSettings!$A:$A, INPUT_JobSettings!$F:$F, "")&lt;&gt;"", XLOOKUP('Job Control'!$B$3, INPUT_JobSettings!$A:$A, INPUT_JobSettings!$F:$F, ""), Summary!$B$4)))</f>
        <v/>
      </c>
      <c r="P257" s="6">
        <f>IF(OR(A257="",C257=""),"", 0)</f>
        <v/>
      </c>
      <c r="Q257" s="6">
        <f>IF(OR(A257="",C257=""),"", (O257+P257)*(IF(XLOOKUP('Job Control'!$B$3, INPUT_JobSettings!$A:$A, INPUT_JobSettings!$G:$G, "")&lt;&gt;"", XLOOKUP('Job Control'!$B$3, INPUT_JobSettings!$A:$A, INPUT_JobSettings!$G:$G, ""), Summary!$B$5)))</f>
        <v/>
      </c>
    </row>
    <row r="258">
      <c r="A258" s="8" t="n"/>
      <c r="B258" s="8" t="n"/>
      <c r="C258" s="8" t="n"/>
      <c r="D258" s="8" t="n"/>
      <c r="E258" s="8" t="n"/>
      <c r="F258" s="8" t="n"/>
      <c r="G258" s="8" t="n"/>
      <c r="H258" s="8" t="n"/>
      <c r="I258" s="6">
        <f>IF(OR(A258="",C258=""),"", XLOOKUP(C258, Constants!$A:$A, Constants!$C:$C, ""))</f>
        <v/>
      </c>
      <c r="J258" s="6">
        <f>IF(OR(A258="",C258=""),"", D258 * (IF(G258="", 1, XLOOKUP(G258, Constants!$E$10:$E$30, Constants!$F$10:$F$30, 1))) * XLOOKUP(C258, Constants!$A:$A, Constants!$D:$D, 0))</f>
        <v/>
      </c>
      <c r="K258" s="6">
        <f>IF(OR(A258="",C258=""),"", D258 * F258 * XLOOKUP(C258, Constants!$A:$A, Constants!$E:$E, 0))</f>
        <v/>
      </c>
      <c r="L258" s="6">
        <f>IF(OR(A258="",C258=""),"", IF(E258="None",0, D258 * IF(E258="Full",1,XLOOKUP("PrimerSpotFactor",Constants!$A$20:$A$40,Constants!$B$20:$B$40,0.35)) * XLOOKUP(C258, Constants!$A:$A, Constants!$F:$F, 0)))</f>
        <v/>
      </c>
      <c r="M258" s="6">
        <f>IF(OR(A258="",C258=""),"", J258+K258+L258)</f>
        <v/>
      </c>
      <c r="N258" s="6">
        <f>IF(OR(A258="",C258=""),"", M258/60)</f>
        <v/>
      </c>
      <c r="O258" s="6">
        <f>IF(OR(A258="",C258=""),"", N258*(IF(XLOOKUP('Job Control'!$B$3, INPUT_JobSettings!$A:$A, INPUT_JobSettings!$F:$F, "")&lt;&gt;"", XLOOKUP('Job Control'!$B$3, INPUT_JobSettings!$A:$A, INPUT_JobSettings!$F:$F, ""), Summary!$B$4)))</f>
        <v/>
      </c>
      <c r="P258" s="6">
        <f>IF(OR(A258="",C258=""),"", 0)</f>
        <v/>
      </c>
      <c r="Q258" s="6">
        <f>IF(OR(A258="",C258=""),"", (O258+P258)*(IF(XLOOKUP('Job Control'!$B$3, INPUT_JobSettings!$A:$A, INPUT_JobSettings!$G:$G, "")&lt;&gt;"", XLOOKUP('Job Control'!$B$3, INPUT_JobSettings!$A:$A, INPUT_JobSettings!$G:$G, ""), Summary!$B$5)))</f>
        <v/>
      </c>
    </row>
    <row r="259">
      <c r="A259" s="8" t="n"/>
      <c r="B259" s="8" t="n"/>
      <c r="C259" s="8" t="n"/>
      <c r="D259" s="8" t="n"/>
      <c r="E259" s="8" t="n"/>
      <c r="F259" s="8" t="n"/>
      <c r="G259" s="8" t="n"/>
      <c r="H259" s="8" t="n"/>
      <c r="I259" s="6">
        <f>IF(OR(A259="",C259=""),"", XLOOKUP(C259, Constants!$A:$A, Constants!$C:$C, ""))</f>
        <v/>
      </c>
      <c r="J259" s="6">
        <f>IF(OR(A259="",C259=""),"", D259 * (IF(G259="", 1, XLOOKUP(G259, Constants!$E$10:$E$30, Constants!$F$10:$F$30, 1))) * XLOOKUP(C259, Constants!$A:$A, Constants!$D:$D, 0))</f>
        <v/>
      </c>
      <c r="K259" s="6">
        <f>IF(OR(A259="",C259=""),"", D259 * F259 * XLOOKUP(C259, Constants!$A:$A, Constants!$E:$E, 0))</f>
        <v/>
      </c>
      <c r="L259" s="6">
        <f>IF(OR(A259="",C259=""),"", IF(E259="None",0, D259 * IF(E259="Full",1,XLOOKUP("PrimerSpotFactor",Constants!$A$20:$A$40,Constants!$B$20:$B$40,0.35)) * XLOOKUP(C259, Constants!$A:$A, Constants!$F:$F, 0)))</f>
        <v/>
      </c>
      <c r="M259" s="6">
        <f>IF(OR(A259="",C259=""),"", J259+K259+L259)</f>
        <v/>
      </c>
      <c r="N259" s="6">
        <f>IF(OR(A259="",C259=""),"", M259/60)</f>
        <v/>
      </c>
      <c r="O259" s="6">
        <f>IF(OR(A259="",C259=""),"", N259*(IF(XLOOKUP('Job Control'!$B$3, INPUT_JobSettings!$A:$A, INPUT_JobSettings!$F:$F, "")&lt;&gt;"", XLOOKUP('Job Control'!$B$3, INPUT_JobSettings!$A:$A, INPUT_JobSettings!$F:$F, ""), Summary!$B$4)))</f>
        <v/>
      </c>
      <c r="P259" s="6">
        <f>IF(OR(A259="",C259=""),"", 0)</f>
        <v/>
      </c>
      <c r="Q259" s="6">
        <f>IF(OR(A259="",C259=""),"", (O259+P259)*(IF(XLOOKUP('Job Control'!$B$3, INPUT_JobSettings!$A:$A, INPUT_JobSettings!$G:$G, "")&lt;&gt;"", XLOOKUP('Job Control'!$B$3, INPUT_JobSettings!$A:$A, INPUT_JobSettings!$G:$G, ""), Summary!$B$5)))</f>
        <v/>
      </c>
    </row>
    <row r="260">
      <c r="A260" s="8" t="n"/>
      <c r="B260" s="8" t="n"/>
      <c r="C260" s="8" t="n"/>
      <c r="D260" s="8" t="n"/>
      <c r="E260" s="8" t="n"/>
      <c r="F260" s="8" t="n"/>
      <c r="G260" s="8" t="n"/>
      <c r="H260" s="8" t="n"/>
      <c r="I260" s="6">
        <f>IF(OR(A260="",C260=""),"", XLOOKUP(C260, Constants!$A:$A, Constants!$C:$C, ""))</f>
        <v/>
      </c>
      <c r="J260" s="6">
        <f>IF(OR(A260="",C260=""),"", D260 * (IF(G260="", 1, XLOOKUP(G260, Constants!$E$10:$E$30, Constants!$F$10:$F$30, 1))) * XLOOKUP(C260, Constants!$A:$A, Constants!$D:$D, 0))</f>
        <v/>
      </c>
      <c r="K260" s="6">
        <f>IF(OR(A260="",C260=""),"", D260 * F260 * XLOOKUP(C260, Constants!$A:$A, Constants!$E:$E, 0))</f>
        <v/>
      </c>
      <c r="L260" s="6">
        <f>IF(OR(A260="",C260=""),"", IF(E260="None",0, D260 * IF(E260="Full",1,XLOOKUP("PrimerSpotFactor",Constants!$A$20:$A$40,Constants!$B$20:$B$40,0.35)) * XLOOKUP(C260, Constants!$A:$A, Constants!$F:$F, 0)))</f>
        <v/>
      </c>
      <c r="M260" s="6">
        <f>IF(OR(A260="",C260=""),"", J260+K260+L260)</f>
        <v/>
      </c>
      <c r="N260" s="6">
        <f>IF(OR(A260="",C260=""),"", M260/60)</f>
        <v/>
      </c>
      <c r="O260" s="6">
        <f>IF(OR(A260="",C260=""),"", N260*(IF(XLOOKUP('Job Control'!$B$3, INPUT_JobSettings!$A:$A, INPUT_JobSettings!$F:$F, "")&lt;&gt;"", XLOOKUP('Job Control'!$B$3, INPUT_JobSettings!$A:$A, INPUT_JobSettings!$F:$F, ""), Summary!$B$4)))</f>
        <v/>
      </c>
      <c r="P260" s="6">
        <f>IF(OR(A260="",C260=""),"", 0)</f>
        <v/>
      </c>
      <c r="Q260" s="6">
        <f>IF(OR(A260="",C260=""),"", (O260+P260)*(IF(XLOOKUP('Job Control'!$B$3, INPUT_JobSettings!$A:$A, INPUT_JobSettings!$G:$G, "")&lt;&gt;"", XLOOKUP('Job Control'!$B$3, INPUT_JobSettings!$A:$A, INPUT_JobSettings!$G:$G, ""), Summary!$B$5)))</f>
        <v/>
      </c>
    </row>
    <row r="261">
      <c r="A261" s="8" t="n"/>
      <c r="B261" s="8" t="n"/>
      <c r="C261" s="8" t="n"/>
      <c r="D261" s="8" t="n"/>
      <c r="E261" s="8" t="n"/>
      <c r="F261" s="8" t="n"/>
      <c r="G261" s="8" t="n"/>
      <c r="H261" s="8" t="n"/>
      <c r="I261" s="6">
        <f>IF(OR(A261="",C261=""),"", XLOOKUP(C261, Constants!$A:$A, Constants!$C:$C, ""))</f>
        <v/>
      </c>
      <c r="J261" s="6">
        <f>IF(OR(A261="",C261=""),"", D261 * (IF(G261="", 1, XLOOKUP(G261, Constants!$E$10:$E$30, Constants!$F$10:$F$30, 1))) * XLOOKUP(C261, Constants!$A:$A, Constants!$D:$D, 0))</f>
        <v/>
      </c>
      <c r="K261" s="6">
        <f>IF(OR(A261="",C261=""),"", D261 * F261 * XLOOKUP(C261, Constants!$A:$A, Constants!$E:$E, 0))</f>
        <v/>
      </c>
      <c r="L261" s="6">
        <f>IF(OR(A261="",C261=""),"", IF(E261="None",0, D261 * IF(E261="Full",1,XLOOKUP("PrimerSpotFactor",Constants!$A$20:$A$40,Constants!$B$20:$B$40,0.35)) * XLOOKUP(C261, Constants!$A:$A, Constants!$F:$F, 0)))</f>
        <v/>
      </c>
      <c r="M261" s="6">
        <f>IF(OR(A261="",C261=""),"", J261+K261+L261)</f>
        <v/>
      </c>
      <c r="N261" s="6">
        <f>IF(OR(A261="",C261=""),"", M261/60)</f>
        <v/>
      </c>
      <c r="O261" s="6">
        <f>IF(OR(A261="",C261=""),"", N261*(IF(XLOOKUP('Job Control'!$B$3, INPUT_JobSettings!$A:$A, INPUT_JobSettings!$F:$F, "")&lt;&gt;"", XLOOKUP('Job Control'!$B$3, INPUT_JobSettings!$A:$A, INPUT_JobSettings!$F:$F, ""), Summary!$B$4)))</f>
        <v/>
      </c>
      <c r="P261" s="6">
        <f>IF(OR(A261="",C261=""),"", 0)</f>
        <v/>
      </c>
      <c r="Q261" s="6">
        <f>IF(OR(A261="",C261=""),"", (O261+P261)*(IF(XLOOKUP('Job Control'!$B$3, INPUT_JobSettings!$A:$A, INPUT_JobSettings!$G:$G, "")&lt;&gt;"", XLOOKUP('Job Control'!$B$3, INPUT_JobSettings!$A:$A, INPUT_JobSettings!$G:$G, ""), Summary!$B$5)))</f>
        <v/>
      </c>
    </row>
    <row r="262">
      <c r="A262" s="8" t="n"/>
      <c r="B262" s="8" t="n"/>
      <c r="C262" s="8" t="n"/>
      <c r="D262" s="8" t="n"/>
      <c r="E262" s="8" t="n"/>
      <c r="F262" s="8" t="n"/>
      <c r="G262" s="8" t="n"/>
      <c r="H262" s="8" t="n"/>
      <c r="I262" s="6">
        <f>IF(OR(A262="",C262=""),"", XLOOKUP(C262, Constants!$A:$A, Constants!$C:$C, ""))</f>
        <v/>
      </c>
      <c r="J262" s="6">
        <f>IF(OR(A262="",C262=""),"", D262 * (IF(G262="", 1, XLOOKUP(G262, Constants!$E$10:$E$30, Constants!$F$10:$F$30, 1))) * XLOOKUP(C262, Constants!$A:$A, Constants!$D:$D, 0))</f>
        <v/>
      </c>
      <c r="K262" s="6">
        <f>IF(OR(A262="",C262=""),"", D262 * F262 * XLOOKUP(C262, Constants!$A:$A, Constants!$E:$E, 0))</f>
        <v/>
      </c>
      <c r="L262" s="6">
        <f>IF(OR(A262="",C262=""),"", IF(E262="None",0, D262 * IF(E262="Full",1,XLOOKUP("PrimerSpotFactor",Constants!$A$20:$A$40,Constants!$B$20:$B$40,0.35)) * XLOOKUP(C262, Constants!$A:$A, Constants!$F:$F, 0)))</f>
        <v/>
      </c>
      <c r="M262" s="6">
        <f>IF(OR(A262="",C262=""),"", J262+K262+L262)</f>
        <v/>
      </c>
      <c r="N262" s="6">
        <f>IF(OR(A262="",C262=""),"", M262/60)</f>
        <v/>
      </c>
      <c r="O262" s="6">
        <f>IF(OR(A262="",C262=""),"", N262*(IF(XLOOKUP('Job Control'!$B$3, INPUT_JobSettings!$A:$A, INPUT_JobSettings!$F:$F, "")&lt;&gt;"", XLOOKUP('Job Control'!$B$3, INPUT_JobSettings!$A:$A, INPUT_JobSettings!$F:$F, ""), Summary!$B$4)))</f>
        <v/>
      </c>
      <c r="P262" s="6">
        <f>IF(OR(A262="",C262=""),"", 0)</f>
        <v/>
      </c>
      <c r="Q262" s="6">
        <f>IF(OR(A262="",C262=""),"", (O262+P262)*(IF(XLOOKUP('Job Control'!$B$3, INPUT_JobSettings!$A:$A, INPUT_JobSettings!$G:$G, "")&lt;&gt;"", XLOOKUP('Job Control'!$B$3, INPUT_JobSettings!$A:$A, INPUT_JobSettings!$G:$G, ""), Summary!$B$5)))</f>
        <v/>
      </c>
    </row>
    <row r="263">
      <c r="A263" s="8" t="n"/>
      <c r="B263" s="8" t="n"/>
      <c r="C263" s="8" t="n"/>
      <c r="D263" s="8" t="n"/>
      <c r="E263" s="8" t="n"/>
      <c r="F263" s="8" t="n"/>
      <c r="G263" s="8" t="n"/>
      <c r="H263" s="8" t="n"/>
      <c r="I263" s="6">
        <f>IF(OR(A263="",C263=""),"", XLOOKUP(C263, Constants!$A:$A, Constants!$C:$C, ""))</f>
        <v/>
      </c>
      <c r="J263" s="6">
        <f>IF(OR(A263="",C263=""),"", D263 * (IF(G263="", 1, XLOOKUP(G263, Constants!$E$10:$E$30, Constants!$F$10:$F$30, 1))) * XLOOKUP(C263, Constants!$A:$A, Constants!$D:$D, 0))</f>
        <v/>
      </c>
      <c r="K263" s="6">
        <f>IF(OR(A263="",C263=""),"", D263 * F263 * XLOOKUP(C263, Constants!$A:$A, Constants!$E:$E, 0))</f>
        <v/>
      </c>
      <c r="L263" s="6">
        <f>IF(OR(A263="",C263=""),"", IF(E263="None",0, D263 * IF(E263="Full",1,XLOOKUP("PrimerSpotFactor",Constants!$A$20:$A$40,Constants!$B$20:$B$40,0.35)) * XLOOKUP(C263, Constants!$A:$A, Constants!$F:$F, 0)))</f>
        <v/>
      </c>
      <c r="M263" s="6">
        <f>IF(OR(A263="",C263=""),"", J263+K263+L263)</f>
        <v/>
      </c>
      <c r="N263" s="6">
        <f>IF(OR(A263="",C263=""),"", M263/60)</f>
        <v/>
      </c>
      <c r="O263" s="6">
        <f>IF(OR(A263="",C263=""),"", N263*(IF(XLOOKUP('Job Control'!$B$3, INPUT_JobSettings!$A:$A, INPUT_JobSettings!$F:$F, "")&lt;&gt;"", XLOOKUP('Job Control'!$B$3, INPUT_JobSettings!$A:$A, INPUT_JobSettings!$F:$F, ""), Summary!$B$4)))</f>
        <v/>
      </c>
      <c r="P263" s="6">
        <f>IF(OR(A263="",C263=""),"", 0)</f>
        <v/>
      </c>
      <c r="Q263" s="6">
        <f>IF(OR(A263="",C263=""),"", (O263+P263)*(IF(XLOOKUP('Job Control'!$B$3, INPUT_JobSettings!$A:$A, INPUT_JobSettings!$G:$G, "")&lt;&gt;"", XLOOKUP('Job Control'!$B$3, INPUT_JobSettings!$A:$A, INPUT_JobSettings!$G:$G, ""), Summary!$B$5)))</f>
        <v/>
      </c>
    </row>
    <row r="264">
      <c r="A264" s="8" t="n"/>
      <c r="B264" s="8" t="n"/>
      <c r="C264" s="8" t="n"/>
      <c r="D264" s="8" t="n"/>
      <c r="E264" s="8" t="n"/>
      <c r="F264" s="8" t="n"/>
      <c r="G264" s="8" t="n"/>
      <c r="H264" s="8" t="n"/>
      <c r="I264" s="6">
        <f>IF(OR(A264="",C264=""),"", XLOOKUP(C264, Constants!$A:$A, Constants!$C:$C, ""))</f>
        <v/>
      </c>
      <c r="J264" s="6">
        <f>IF(OR(A264="",C264=""),"", D264 * (IF(G264="", 1, XLOOKUP(G264, Constants!$E$10:$E$30, Constants!$F$10:$F$30, 1))) * XLOOKUP(C264, Constants!$A:$A, Constants!$D:$D, 0))</f>
        <v/>
      </c>
      <c r="K264" s="6">
        <f>IF(OR(A264="",C264=""),"", D264 * F264 * XLOOKUP(C264, Constants!$A:$A, Constants!$E:$E, 0))</f>
        <v/>
      </c>
      <c r="L264" s="6">
        <f>IF(OR(A264="",C264=""),"", IF(E264="None",0, D264 * IF(E264="Full",1,XLOOKUP("PrimerSpotFactor",Constants!$A$20:$A$40,Constants!$B$20:$B$40,0.35)) * XLOOKUP(C264, Constants!$A:$A, Constants!$F:$F, 0)))</f>
        <v/>
      </c>
      <c r="M264" s="6">
        <f>IF(OR(A264="",C264=""),"", J264+K264+L264)</f>
        <v/>
      </c>
      <c r="N264" s="6">
        <f>IF(OR(A264="",C264=""),"", M264/60)</f>
        <v/>
      </c>
      <c r="O264" s="6">
        <f>IF(OR(A264="",C264=""),"", N264*(IF(XLOOKUP('Job Control'!$B$3, INPUT_JobSettings!$A:$A, INPUT_JobSettings!$F:$F, "")&lt;&gt;"", XLOOKUP('Job Control'!$B$3, INPUT_JobSettings!$A:$A, INPUT_JobSettings!$F:$F, ""), Summary!$B$4)))</f>
        <v/>
      </c>
      <c r="P264" s="6">
        <f>IF(OR(A264="",C264=""),"", 0)</f>
        <v/>
      </c>
      <c r="Q264" s="6">
        <f>IF(OR(A264="",C264=""),"", (O264+P264)*(IF(XLOOKUP('Job Control'!$B$3, INPUT_JobSettings!$A:$A, INPUT_JobSettings!$G:$G, "")&lt;&gt;"", XLOOKUP('Job Control'!$B$3, INPUT_JobSettings!$A:$A, INPUT_JobSettings!$G:$G, ""), Summary!$B$5)))</f>
        <v/>
      </c>
    </row>
    <row r="265">
      <c r="A265" s="8" t="n"/>
      <c r="B265" s="8" t="n"/>
      <c r="C265" s="8" t="n"/>
      <c r="D265" s="8" t="n"/>
      <c r="E265" s="8" t="n"/>
      <c r="F265" s="8" t="n"/>
      <c r="G265" s="8" t="n"/>
      <c r="H265" s="8" t="n"/>
      <c r="I265" s="6">
        <f>IF(OR(A265="",C265=""),"", XLOOKUP(C265, Constants!$A:$A, Constants!$C:$C, ""))</f>
        <v/>
      </c>
      <c r="J265" s="6">
        <f>IF(OR(A265="",C265=""),"", D265 * (IF(G265="", 1, XLOOKUP(G265, Constants!$E$10:$E$30, Constants!$F$10:$F$30, 1))) * XLOOKUP(C265, Constants!$A:$A, Constants!$D:$D, 0))</f>
        <v/>
      </c>
      <c r="K265" s="6">
        <f>IF(OR(A265="",C265=""),"", D265 * F265 * XLOOKUP(C265, Constants!$A:$A, Constants!$E:$E, 0))</f>
        <v/>
      </c>
      <c r="L265" s="6">
        <f>IF(OR(A265="",C265=""),"", IF(E265="None",0, D265 * IF(E265="Full",1,XLOOKUP("PrimerSpotFactor",Constants!$A$20:$A$40,Constants!$B$20:$B$40,0.35)) * XLOOKUP(C265, Constants!$A:$A, Constants!$F:$F, 0)))</f>
        <v/>
      </c>
      <c r="M265" s="6">
        <f>IF(OR(A265="",C265=""),"", J265+K265+L265)</f>
        <v/>
      </c>
      <c r="N265" s="6">
        <f>IF(OR(A265="",C265=""),"", M265/60)</f>
        <v/>
      </c>
      <c r="O265" s="6">
        <f>IF(OR(A265="",C265=""),"", N265*(IF(XLOOKUP('Job Control'!$B$3, INPUT_JobSettings!$A:$A, INPUT_JobSettings!$F:$F, "")&lt;&gt;"", XLOOKUP('Job Control'!$B$3, INPUT_JobSettings!$A:$A, INPUT_JobSettings!$F:$F, ""), Summary!$B$4)))</f>
        <v/>
      </c>
      <c r="P265" s="6">
        <f>IF(OR(A265="",C265=""),"", 0)</f>
        <v/>
      </c>
      <c r="Q265" s="6">
        <f>IF(OR(A265="",C265=""),"", (O265+P265)*(IF(XLOOKUP('Job Control'!$B$3, INPUT_JobSettings!$A:$A, INPUT_JobSettings!$G:$G, "")&lt;&gt;"", XLOOKUP('Job Control'!$B$3, INPUT_JobSettings!$A:$A, INPUT_JobSettings!$G:$G, ""), Summary!$B$5)))</f>
        <v/>
      </c>
    </row>
    <row r="266">
      <c r="A266" s="8" t="n"/>
      <c r="B266" s="8" t="n"/>
      <c r="C266" s="8" t="n"/>
      <c r="D266" s="8" t="n"/>
      <c r="E266" s="8" t="n"/>
      <c r="F266" s="8" t="n"/>
      <c r="G266" s="8" t="n"/>
      <c r="H266" s="8" t="n"/>
      <c r="I266" s="6">
        <f>IF(OR(A266="",C266=""),"", XLOOKUP(C266, Constants!$A:$A, Constants!$C:$C, ""))</f>
        <v/>
      </c>
      <c r="J266" s="6">
        <f>IF(OR(A266="",C266=""),"", D266 * (IF(G266="", 1, XLOOKUP(G266, Constants!$E$10:$E$30, Constants!$F$10:$F$30, 1))) * XLOOKUP(C266, Constants!$A:$A, Constants!$D:$D, 0))</f>
        <v/>
      </c>
      <c r="K266" s="6">
        <f>IF(OR(A266="",C266=""),"", D266 * F266 * XLOOKUP(C266, Constants!$A:$A, Constants!$E:$E, 0))</f>
        <v/>
      </c>
      <c r="L266" s="6">
        <f>IF(OR(A266="",C266=""),"", IF(E266="None",0, D266 * IF(E266="Full",1,XLOOKUP("PrimerSpotFactor",Constants!$A$20:$A$40,Constants!$B$20:$B$40,0.35)) * XLOOKUP(C266, Constants!$A:$A, Constants!$F:$F, 0)))</f>
        <v/>
      </c>
      <c r="M266" s="6">
        <f>IF(OR(A266="",C266=""),"", J266+K266+L266)</f>
        <v/>
      </c>
      <c r="N266" s="6">
        <f>IF(OR(A266="",C266=""),"", M266/60)</f>
        <v/>
      </c>
      <c r="O266" s="6">
        <f>IF(OR(A266="",C266=""),"", N266*(IF(XLOOKUP('Job Control'!$B$3, INPUT_JobSettings!$A:$A, INPUT_JobSettings!$F:$F, "")&lt;&gt;"", XLOOKUP('Job Control'!$B$3, INPUT_JobSettings!$A:$A, INPUT_JobSettings!$F:$F, ""), Summary!$B$4)))</f>
        <v/>
      </c>
      <c r="P266" s="6">
        <f>IF(OR(A266="",C266=""),"", 0)</f>
        <v/>
      </c>
      <c r="Q266" s="6">
        <f>IF(OR(A266="",C266=""),"", (O266+P266)*(IF(XLOOKUP('Job Control'!$B$3, INPUT_JobSettings!$A:$A, INPUT_JobSettings!$G:$G, "")&lt;&gt;"", XLOOKUP('Job Control'!$B$3, INPUT_JobSettings!$A:$A, INPUT_JobSettings!$G:$G, ""), Summary!$B$5)))</f>
        <v/>
      </c>
    </row>
    <row r="267">
      <c r="A267" s="8" t="n"/>
      <c r="B267" s="8" t="n"/>
      <c r="C267" s="8" t="n"/>
      <c r="D267" s="8" t="n"/>
      <c r="E267" s="8" t="n"/>
      <c r="F267" s="8" t="n"/>
      <c r="G267" s="8" t="n"/>
      <c r="H267" s="8" t="n"/>
      <c r="I267" s="6">
        <f>IF(OR(A267="",C267=""),"", XLOOKUP(C267, Constants!$A:$A, Constants!$C:$C, ""))</f>
        <v/>
      </c>
      <c r="J267" s="6">
        <f>IF(OR(A267="",C267=""),"", D267 * (IF(G267="", 1, XLOOKUP(G267, Constants!$E$10:$E$30, Constants!$F$10:$F$30, 1))) * XLOOKUP(C267, Constants!$A:$A, Constants!$D:$D, 0))</f>
        <v/>
      </c>
      <c r="K267" s="6">
        <f>IF(OR(A267="",C267=""),"", D267 * F267 * XLOOKUP(C267, Constants!$A:$A, Constants!$E:$E, 0))</f>
        <v/>
      </c>
      <c r="L267" s="6">
        <f>IF(OR(A267="",C267=""),"", IF(E267="None",0, D267 * IF(E267="Full",1,XLOOKUP("PrimerSpotFactor",Constants!$A$20:$A$40,Constants!$B$20:$B$40,0.35)) * XLOOKUP(C267, Constants!$A:$A, Constants!$F:$F, 0)))</f>
        <v/>
      </c>
      <c r="M267" s="6">
        <f>IF(OR(A267="",C267=""),"", J267+K267+L267)</f>
        <v/>
      </c>
      <c r="N267" s="6">
        <f>IF(OR(A267="",C267=""),"", M267/60)</f>
        <v/>
      </c>
      <c r="O267" s="6">
        <f>IF(OR(A267="",C267=""),"", N267*(IF(XLOOKUP('Job Control'!$B$3, INPUT_JobSettings!$A:$A, INPUT_JobSettings!$F:$F, "")&lt;&gt;"", XLOOKUP('Job Control'!$B$3, INPUT_JobSettings!$A:$A, INPUT_JobSettings!$F:$F, ""), Summary!$B$4)))</f>
        <v/>
      </c>
      <c r="P267" s="6">
        <f>IF(OR(A267="",C267=""),"", 0)</f>
        <v/>
      </c>
      <c r="Q267" s="6">
        <f>IF(OR(A267="",C267=""),"", (O267+P267)*(IF(XLOOKUP('Job Control'!$B$3, INPUT_JobSettings!$A:$A, INPUT_JobSettings!$G:$G, "")&lt;&gt;"", XLOOKUP('Job Control'!$B$3, INPUT_JobSettings!$A:$A, INPUT_JobSettings!$G:$G, ""), Summary!$B$5)))</f>
        <v/>
      </c>
    </row>
    <row r="268">
      <c r="A268" s="8" t="n"/>
      <c r="B268" s="8" t="n"/>
      <c r="C268" s="8" t="n"/>
      <c r="D268" s="8" t="n"/>
      <c r="E268" s="8" t="n"/>
      <c r="F268" s="8" t="n"/>
      <c r="G268" s="8" t="n"/>
      <c r="H268" s="8" t="n"/>
      <c r="I268" s="6">
        <f>IF(OR(A268="",C268=""),"", XLOOKUP(C268, Constants!$A:$A, Constants!$C:$C, ""))</f>
        <v/>
      </c>
      <c r="J268" s="6">
        <f>IF(OR(A268="",C268=""),"", D268 * (IF(G268="", 1, XLOOKUP(G268, Constants!$E$10:$E$30, Constants!$F$10:$F$30, 1))) * XLOOKUP(C268, Constants!$A:$A, Constants!$D:$D, 0))</f>
        <v/>
      </c>
      <c r="K268" s="6">
        <f>IF(OR(A268="",C268=""),"", D268 * F268 * XLOOKUP(C268, Constants!$A:$A, Constants!$E:$E, 0))</f>
        <v/>
      </c>
      <c r="L268" s="6">
        <f>IF(OR(A268="",C268=""),"", IF(E268="None",0, D268 * IF(E268="Full",1,XLOOKUP("PrimerSpotFactor",Constants!$A$20:$A$40,Constants!$B$20:$B$40,0.35)) * XLOOKUP(C268, Constants!$A:$A, Constants!$F:$F, 0)))</f>
        <v/>
      </c>
      <c r="M268" s="6">
        <f>IF(OR(A268="",C268=""),"", J268+K268+L268)</f>
        <v/>
      </c>
      <c r="N268" s="6">
        <f>IF(OR(A268="",C268=""),"", M268/60)</f>
        <v/>
      </c>
      <c r="O268" s="6">
        <f>IF(OR(A268="",C268=""),"", N268*(IF(XLOOKUP('Job Control'!$B$3, INPUT_JobSettings!$A:$A, INPUT_JobSettings!$F:$F, "")&lt;&gt;"", XLOOKUP('Job Control'!$B$3, INPUT_JobSettings!$A:$A, INPUT_JobSettings!$F:$F, ""), Summary!$B$4)))</f>
        <v/>
      </c>
      <c r="P268" s="6">
        <f>IF(OR(A268="",C268=""),"", 0)</f>
        <v/>
      </c>
      <c r="Q268" s="6">
        <f>IF(OR(A268="",C268=""),"", (O268+P268)*(IF(XLOOKUP('Job Control'!$B$3, INPUT_JobSettings!$A:$A, INPUT_JobSettings!$G:$G, "")&lt;&gt;"", XLOOKUP('Job Control'!$B$3, INPUT_JobSettings!$A:$A, INPUT_JobSettings!$G:$G, ""), Summary!$B$5)))</f>
        <v/>
      </c>
    </row>
    <row r="269">
      <c r="A269" s="8" t="n"/>
      <c r="B269" s="8" t="n"/>
      <c r="C269" s="8" t="n"/>
      <c r="D269" s="8" t="n"/>
      <c r="E269" s="8" t="n"/>
      <c r="F269" s="8" t="n"/>
      <c r="G269" s="8" t="n"/>
      <c r="H269" s="8" t="n"/>
      <c r="I269" s="6">
        <f>IF(OR(A269="",C269=""),"", XLOOKUP(C269, Constants!$A:$A, Constants!$C:$C, ""))</f>
        <v/>
      </c>
      <c r="J269" s="6">
        <f>IF(OR(A269="",C269=""),"", D269 * (IF(G269="", 1, XLOOKUP(G269, Constants!$E$10:$E$30, Constants!$F$10:$F$30, 1))) * XLOOKUP(C269, Constants!$A:$A, Constants!$D:$D, 0))</f>
        <v/>
      </c>
      <c r="K269" s="6">
        <f>IF(OR(A269="",C269=""),"", D269 * F269 * XLOOKUP(C269, Constants!$A:$A, Constants!$E:$E, 0))</f>
        <v/>
      </c>
      <c r="L269" s="6">
        <f>IF(OR(A269="",C269=""),"", IF(E269="None",0, D269 * IF(E269="Full",1,XLOOKUP("PrimerSpotFactor",Constants!$A$20:$A$40,Constants!$B$20:$B$40,0.35)) * XLOOKUP(C269, Constants!$A:$A, Constants!$F:$F, 0)))</f>
        <v/>
      </c>
      <c r="M269" s="6">
        <f>IF(OR(A269="",C269=""),"", J269+K269+L269)</f>
        <v/>
      </c>
      <c r="N269" s="6">
        <f>IF(OR(A269="",C269=""),"", M269/60)</f>
        <v/>
      </c>
      <c r="O269" s="6">
        <f>IF(OR(A269="",C269=""),"", N269*(IF(XLOOKUP('Job Control'!$B$3, INPUT_JobSettings!$A:$A, INPUT_JobSettings!$F:$F, "")&lt;&gt;"", XLOOKUP('Job Control'!$B$3, INPUT_JobSettings!$A:$A, INPUT_JobSettings!$F:$F, ""), Summary!$B$4)))</f>
        <v/>
      </c>
      <c r="P269" s="6">
        <f>IF(OR(A269="",C269=""),"", 0)</f>
        <v/>
      </c>
      <c r="Q269" s="6">
        <f>IF(OR(A269="",C269=""),"", (O269+P269)*(IF(XLOOKUP('Job Control'!$B$3, INPUT_JobSettings!$A:$A, INPUT_JobSettings!$G:$G, "")&lt;&gt;"", XLOOKUP('Job Control'!$B$3, INPUT_JobSettings!$A:$A, INPUT_JobSettings!$G:$G, ""), Summary!$B$5)))</f>
        <v/>
      </c>
    </row>
    <row r="270">
      <c r="A270" s="8" t="n"/>
      <c r="B270" s="8" t="n"/>
      <c r="C270" s="8" t="n"/>
      <c r="D270" s="8" t="n"/>
      <c r="E270" s="8" t="n"/>
      <c r="F270" s="8" t="n"/>
      <c r="G270" s="8" t="n"/>
      <c r="H270" s="8" t="n"/>
      <c r="I270" s="6">
        <f>IF(OR(A270="",C270=""),"", XLOOKUP(C270, Constants!$A:$A, Constants!$C:$C, ""))</f>
        <v/>
      </c>
      <c r="J270" s="6">
        <f>IF(OR(A270="",C270=""),"", D270 * (IF(G270="", 1, XLOOKUP(G270, Constants!$E$10:$E$30, Constants!$F$10:$F$30, 1))) * XLOOKUP(C270, Constants!$A:$A, Constants!$D:$D, 0))</f>
        <v/>
      </c>
      <c r="K270" s="6">
        <f>IF(OR(A270="",C270=""),"", D270 * F270 * XLOOKUP(C270, Constants!$A:$A, Constants!$E:$E, 0))</f>
        <v/>
      </c>
      <c r="L270" s="6">
        <f>IF(OR(A270="",C270=""),"", IF(E270="None",0, D270 * IF(E270="Full",1,XLOOKUP("PrimerSpotFactor",Constants!$A$20:$A$40,Constants!$B$20:$B$40,0.35)) * XLOOKUP(C270, Constants!$A:$A, Constants!$F:$F, 0)))</f>
        <v/>
      </c>
      <c r="M270" s="6">
        <f>IF(OR(A270="",C270=""),"", J270+K270+L270)</f>
        <v/>
      </c>
      <c r="N270" s="6">
        <f>IF(OR(A270="",C270=""),"", M270/60)</f>
        <v/>
      </c>
      <c r="O270" s="6">
        <f>IF(OR(A270="",C270=""),"", N270*(IF(XLOOKUP('Job Control'!$B$3, INPUT_JobSettings!$A:$A, INPUT_JobSettings!$F:$F, "")&lt;&gt;"", XLOOKUP('Job Control'!$B$3, INPUT_JobSettings!$A:$A, INPUT_JobSettings!$F:$F, ""), Summary!$B$4)))</f>
        <v/>
      </c>
      <c r="P270" s="6">
        <f>IF(OR(A270="",C270=""),"", 0)</f>
        <v/>
      </c>
      <c r="Q270" s="6">
        <f>IF(OR(A270="",C270=""),"", (O270+P270)*(IF(XLOOKUP('Job Control'!$B$3, INPUT_JobSettings!$A:$A, INPUT_JobSettings!$G:$G, "")&lt;&gt;"", XLOOKUP('Job Control'!$B$3, INPUT_JobSettings!$A:$A, INPUT_JobSettings!$G:$G, ""), Summary!$B$5)))</f>
        <v/>
      </c>
    </row>
    <row r="271">
      <c r="A271" s="8" t="n"/>
      <c r="B271" s="8" t="n"/>
      <c r="C271" s="8" t="n"/>
      <c r="D271" s="8" t="n"/>
      <c r="E271" s="8" t="n"/>
      <c r="F271" s="8" t="n"/>
      <c r="G271" s="8" t="n"/>
      <c r="H271" s="8" t="n"/>
      <c r="I271" s="6">
        <f>IF(OR(A271="",C271=""),"", XLOOKUP(C271, Constants!$A:$A, Constants!$C:$C, ""))</f>
        <v/>
      </c>
      <c r="J271" s="6">
        <f>IF(OR(A271="",C271=""),"", D271 * (IF(G271="", 1, XLOOKUP(G271, Constants!$E$10:$E$30, Constants!$F$10:$F$30, 1))) * XLOOKUP(C271, Constants!$A:$A, Constants!$D:$D, 0))</f>
        <v/>
      </c>
      <c r="K271" s="6">
        <f>IF(OR(A271="",C271=""),"", D271 * F271 * XLOOKUP(C271, Constants!$A:$A, Constants!$E:$E, 0))</f>
        <v/>
      </c>
      <c r="L271" s="6">
        <f>IF(OR(A271="",C271=""),"", IF(E271="None",0, D271 * IF(E271="Full",1,XLOOKUP("PrimerSpotFactor",Constants!$A$20:$A$40,Constants!$B$20:$B$40,0.35)) * XLOOKUP(C271, Constants!$A:$A, Constants!$F:$F, 0)))</f>
        <v/>
      </c>
      <c r="M271" s="6">
        <f>IF(OR(A271="",C271=""),"", J271+K271+L271)</f>
        <v/>
      </c>
      <c r="N271" s="6">
        <f>IF(OR(A271="",C271=""),"", M271/60)</f>
        <v/>
      </c>
      <c r="O271" s="6">
        <f>IF(OR(A271="",C271=""),"", N271*(IF(XLOOKUP('Job Control'!$B$3, INPUT_JobSettings!$A:$A, INPUT_JobSettings!$F:$F, "")&lt;&gt;"", XLOOKUP('Job Control'!$B$3, INPUT_JobSettings!$A:$A, INPUT_JobSettings!$F:$F, ""), Summary!$B$4)))</f>
        <v/>
      </c>
      <c r="P271" s="6">
        <f>IF(OR(A271="",C271=""),"", 0)</f>
        <v/>
      </c>
      <c r="Q271" s="6">
        <f>IF(OR(A271="",C271=""),"", (O271+P271)*(IF(XLOOKUP('Job Control'!$B$3, INPUT_JobSettings!$A:$A, INPUT_JobSettings!$G:$G, "")&lt;&gt;"", XLOOKUP('Job Control'!$B$3, INPUT_JobSettings!$A:$A, INPUT_JobSettings!$G:$G, ""), Summary!$B$5)))</f>
        <v/>
      </c>
    </row>
    <row r="272">
      <c r="A272" s="8" t="n"/>
      <c r="B272" s="8" t="n"/>
      <c r="C272" s="8" t="n"/>
      <c r="D272" s="8" t="n"/>
      <c r="E272" s="8" t="n"/>
      <c r="F272" s="8" t="n"/>
      <c r="G272" s="8" t="n"/>
      <c r="H272" s="8" t="n"/>
      <c r="I272" s="6">
        <f>IF(OR(A272="",C272=""),"", XLOOKUP(C272, Constants!$A:$A, Constants!$C:$C, ""))</f>
        <v/>
      </c>
      <c r="J272" s="6">
        <f>IF(OR(A272="",C272=""),"", D272 * (IF(G272="", 1, XLOOKUP(G272, Constants!$E$10:$E$30, Constants!$F$10:$F$30, 1))) * XLOOKUP(C272, Constants!$A:$A, Constants!$D:$D, 0))</f>
        <v/>
      </c>
      <c r="K272" s="6">
        <f>IF(OR(A272="",C272=""),"", D272 * F272 * XLOOKUP(C272, Constants!$A:$A, Constants!$E:$E, 0))</f>
        <v/>
      </c>
      <c r="L272" s="6">
        <f>IF(OR(A272="",C272=""),"", IF(E272="None",0, D272 * IF(E272="Full",1,XLOOKUP("PrimerSpotFactor",Constants!$A$20:$A$40,Constants!$B$20:$B$40,0.35)) * XLOOKUP(C272, Constants!$A:$A, Constants!$F:$F, 0)))</f>
        <v/>
      </c>
      <c r="M272" s="6">
        <f>IF(OR(A272="",C272=""),"", J272+K272+L272)</f>
        <v/>
      </c>
      <c r="N272" s="6">
        <f>IF(OR(A272="",C272=""),"", M272/60)</f>
        <v/>
      </c>
      <c r="O272" s="6">
        <f>IF(OR(A272="",C272=""),"", N272*(IF(XLOOKUP('Job Control'!$B$3, INPUT_JobSettings!$A:$A, INPUT_JobSettings!$F:$F, "")&lt;&gt;"", XLOOKUP('Job Control'!$B$3, INPUT_JobSettings!$A:$A, INPUT_JobSettings!$F:$F, ""), Summary!$B$4)))</f>
        <v/>
      </c>
      <c r="P272" s="6">
        <f>IF(OR(A272="",C272=""),"", 0)</f>
        <v/>
      </c>
      <c r="Q272" s="6">
        <f>IF(OR(A272="",C272=""),"", (O272+P272)*(IF(XLOOKUP('Job Control'!$B$3, INPUT_JobSettings!$A:$A, INPUT_JobSettings!$G:$G, "")&lt;&gt;"", XLOOKUP('Job Control'!$B$3, INPUT_JobSettings!$A:$A, INPUT_JobSettings!$G:$G, ""), Summary!$B$5)))</f>
        <v/>
      </c>
    </row>
    <row r="273">
      <c r="A273" s="8" t="n"/>
      <c r="B273" s="8" t="n"/>
      <c r="C273" s="8" t="n"/>
      <c r="D273" s="8" t="n"/>
      <c r="E273" s="8" t="n"/>
      <c r="F273" s="8" t="n"/>
      <c r="G273" s="8" t="n"/>
      <c r="H273" s="8" t="n"/>
      <c r="I273" s="6">
        <f>IF(OR(A273="",C273=""),"", XLOOKUP(C273, Constants!$A:$A, Constants!$C:$C, ""))</f>
        <v/>
      </c>
      <c r="J273" s="6">
        <f>IF(OR(A273="",C273=""),"", D273 * (IF(G273="", 1, XLOOKUP(G273, Constants!$E$10:$E$30, Constants!$F$10:$F$30, 1))) * XLOOKUP(C273, Constants!$A:$A, Constants!$D:$D, 0))</f>
        <v/>
      </c>
      <c r="K273" s="6">
        <f>IF(OR(A273="",C273=""),"", D273 * F273 * XLOOKUP(C273, Constants!$A:$A, Constants!$E:$E, 0))</f>
        <v/>
      </c>
      <c r="L273" s="6">
        <f>IF(OR(A273="",C273=""),"", IF(E273="None",0, D273 * IF(E273="Full",1,XLOOKUP("PrimerSpotFactor",Constants!$A$20:$A$40,Constants!$B$20:$B$40,0.35)) * XLOOKUP(C273, Constants!$A:$A, Constants!$F:$F, 0)))</f>
        <v/>
      </c>
      <c r="M273" s="6">
        <f>IF(OR(A273="",C273=""),"", J273+K273+L273)</f>
        <v/>
      </c>
      <c r="N273" s="6">
        <f>IF(OR(A273="",C273=""),"", M273/60)</f>
        <v/>
      </c>
      <c r="O273" s="6">
        <f>IF(OR(A273="",C273=""),"", N273*(IF(XLOOKUP('Job Control'!$B$3, INPUT_JobSettings!$A:$A, INPUT_JobSettings!$F:$F, "")&lt;&gt;"", XLOOKUP('Job Control'!$B$3, INPUT_JobSettings!$A:$A, INPUT_JobSettings!$F:$F, ""), Summary!$B$4)))</f>
        <v/>
      </c>
      <c r="P273" s="6">
        <f>IF(OR(A273="",C273=""),"", 0)</f>
        <v/>
      </c>
      <c r="Q273" s="6">
        <f>IF(OR(A273="",C273=""),"", (O273+P273)*(IF(XLOOKUP('Job Control'!$B$3, INPUT_JobSettings!$A:$A, INPUT_JobSettings!$G:$G, "")&lt;&gt;"", XLOOKUP('Job Control'!$B$3, INPUT_JobSettings!$A:$A, INPUT_JobSettings!$G:$G, ""), Summary!$B$5)))</f>
        <v/>
      </c>
    </row>
    <row r="274">
      <c r="A274" s="8" t="n"/>
      <c r="B274" s="8" t="n"/>
      <c r="C274" s="8" t="n"/>
      <c r="D274" s="8" t="n"/>
      <c r="E274" s="8" t="n"/>
      <c r="F274" s="8" t="n"/>
      <c r="G274" s="8" t="n"/>
      <c r="H274" s="8" t="n"/>
      <c r="I274" s="6">
        <f>IF(OR(A274="",C274=""),"", XLOOKUP(C274, Constants!$A:$A, Constants!$C:$C, ""))</f>
        <v/>
      </c>
      <c r="J274" s="6">
        <f>IF(OR(A274="",C274=""),"", D274 * (IF(G274="", 1, XLOOKUP(G274, Constants!$E$10:$E$30, Constants!$F$10:$F$30, 1))) * XLOOKUP(C274, Constants!$A:$A, Constants!$D:$D, 0))</f>
        <v/>
      </c>
      <c r="K274" s="6">
        <f>IF(OR(A274="",C274=""),"", D274 * F274 * XLOOKUP(C274, Constants!$A:$A, Constants!$E:$E, 0))</f>
        <v/>
      </c>
      <c r="L274" s="6">
        <f>IF(OR(A274="",C274=""),"", IF(E274="None",0, D274 * IF(E274="Full",1,XLOOKUP("PrimerSpotFactor",Constants!$A$20:$A$40,Constants!$B$20:$B$40,0.35)) * XLOOKUP(C274, Constants!$A:$A, Constants!$F:$F, 0)))</f>
        <v/>
      </c>
      <c r="M274" s="6">
        <f>IF(OR(A274="",C274=""),"", J274+K274+L274)</f>
        <v/>
      </c>
      <c r="N274" s="6">
        <f>IF(OR(A274="",C274=""),"", M274/60)</f>
        <v/>
      </c>
      <c r="O274" s="6">
        <f>IF(OR(A274="",C274=""),"", N274*(IF(XLOOKUP('Job Control'!$B$3, INPUT_JobSettings!$A:$A, INPUT_JobSettings!$F:$F, "")&lt;&gt;"", XLOOKUP('Job Control'!$B$3, INPUT_JobSettings!$A:$A, INPUT_JobSettings!$F:$F, ""), Summary!$B$4)))</f>
        <v/>
      </c>
      <c r="P274" s="6">
        <f>IF(OR(A274="",C274=""),"", 0)</f>
        <v/>
      </c>
      <c r="Q274" s="6">
        <f>IF(OR(A274="",C274=""),"", (O274+P274)*(IF(XLOOKUP('Job Control'!$B$3, INPUT_JobSettings!$A:$A, INPUT_JobSettings!$G:$G, "")&lt;&gt;"", XLOOKUP('Job Control'!$B$3, INPUT_JobSettings!$A:$A, INPUT_JobSettings!$G:$G, ""), Summary!$B$5)))</f>
        <v/>
      </c>
    </row>
    <row r="275">
      <c r="A275" s="8" t="n"/>
      <c r="B275" s="8" t="n"/>
      <c r="C275" s="8" t="n"/>
      <c r="D275" s="8" t="n"/>
      <c r="E275" s="8" t="n"/>
      <c r="F275" s="8" t="n"/>
      <c r="G275" s="8" t="n"/>
      <c r="H275" s="8" t="n"/>
      <c r="I275" s="6">
        <f>IF(OR(A275="",C275=""),"", XLOOKUP(C275, Constants!$A:$A, Constants!$C:$C, ""))</f>
        <v/>
      </c>
      <c r="J275" s="6">
        <f>IF(OR(A275="",C275=""),"", D275 * (IF(G275="", 1, XLOOKUP(G275, Constants!$E$10:$E$30, Constants!$F$10:$F$30, 1))) * XLOOKUP(C275, Constants!$A:$A, Constants!$D:$D, 0))</f>
        <v/>
      </c>
      <c r="K275" s="6">
        <f>IF(OR(A275="",C275=""),"", D275 * F275 * XLOOKUP(C275, Constants!$A:$A, Constants!$E:$E, 0))</f>
        <v/>
      </c>
      <c r="L275" s="6">
        <f>IF(OR(A275="",C275=""),"", IF(E275="None",0, D275 * IF(E275="Full",1,XLOOKUP("PrimerSpotFactor",Constants!$A$20:$A$40,Constants!$B$20:$B$40,0.35)) * XLOOKUP(C275, Constants!$A:$A, Constants!$F:$F, 0)))</f>
        <v/>
      </c>
      <c r="M275" s="6">
        <f>IF(OR(A275="",C275=""),"", J275+K275+L275)</f>
        <v/>
      </c>
      <c r="N275" s="6">
        <f>IF(OR(A275="",C275=""),"", M275/60)</f>
        <v/>
      </c>
      <c r="O275" s="6">
        <f>IF(OR(A275="",C275=""),"", N275*(IF(XLOOKUP('Job Control'!$B$3, INPUT_JobSettings!$A:$A, INPUT_JobSettings!$F:$F, "")&lt;&gt;"", XLOOKUP('Job Control'!$B$3, INPUT_JobSettings!$A:$A, INPUT_JobSettings!$F:$F, ""), Summary!$B$4)))</f>
        <v/>
      </c>
      <c r="P275" s="6">
        <f>IF(OR(A275="",C275=""),"", 0)</f>
        <v/>
      </c>
      <c r="Q275" s="6">
        <f>IF(OR(A275="",C275=""),"", (O275+P275)*(IF(XLOOKUP('Job Control'!$B$3, INPUT_JobSettings!$A:$A, INPUT_JobSettings!$G:$G, "")&lt;&gt;"", XLOOKUP('Job Control'!$B$3, INPUT_JobSettings!$A:$A, INPUT_JobSettings!$G:$G, ""), Summary!$B$5)))</f>
        <v/>
      </c>
    </row>
    <row r="276">
      <c r="A276" s="8" t="n"/>
      <c r="B276" s="8" t="n"/>
      <c r="C276" s="8" t="n"/>
      <c r="D276" s="8" t="n"/>
      <c r="E276" s="8" t="n"/>
      <c r="F276" s="8" t="n"/>
      <c r="G276" s="8" t="n"/>
      <c r="H276" s="8" t="n"/>
      <c r="I276" s="6">
        <f>IF(OR(A276="",C276=""),"", XLOOKUP(C276, Constants!$A:$A, Constants!$C:$C, ""))</f>
        <v/>
      </c>
      <c r="J276" s="6">
        <f>IF(OR(A276="",C276=""),"", D276 * (IF(G276="", 1, XLOOKUP(G276, Constants!$E$10:$E$30, Constants!$F$10:$F$30, 1))) * XLOOKUP(C276, Constants!$A:$A, Constants!$D:$D, 0))</f>
        <v/>
      </c>
      <c r="K276" s="6">
        <f>IF(OR(A276="",C276=""),"", D276 * F276 * XLOOKUP(C276, Constants!$A:$A, Constants!$E:$E, 0))</f>
        <v/>
      </c>
      <c r="L276" s="6">
        <f>IF(OR(A276="",C276=""),"", IF(E276="None",0, D276 * IF(E276="Full",1,XLOOKUP("PrimerSpotFactor",Constants!$A$20:$A$40,Constants!$B$20:$B$40,0.35)) * XLOOKUP(C276, Constants!$A:$A, Constants!$F:$F, 0)))</f>
        <v/>
      </c>
      <c r="M276" s="6">
        <f>IF(OR(A276="",C276=""),"", J276+K276+L276)</f>
        <v/>
      </c>
      <c r="N276" s="6">
        <f>IF(OR(A276="",C276=""),"", M276/60)</f>
        <v/>
      </c>
      <c r="O276" s="6">
        <f>IF(OR(A276="",C276=""),"", N276*(IF(XLOOKUP('Job Control'!$B$3, INPUT_JobSettings!$A:$A, INPUT_JobSettings!$F:$F, "")&lt;&gt;"", XLOOKUP('Job Control'!$B$3, INPUT_JobSettings!$A:$A, INPUT_JobSettings!$F:$F, ""), Summary!$B$4)))</f>
        <v/>
      </c>
      <c r="P276" s="6">
        <f>IF(OR(A276="",C276=""),"", 0)</f>
        <v/>
      </c>
      <c r="Q276" s="6">
        <f>IF(OR(A276="",C276=""),"", (O276+P276)*(IF(XLOOKUP('Job Control'!$B$3, INPUT_JobSettings!$A:$A, INPUT_JobSettings!$G:$G, "")&lt;&gt;"", XLOOKUP('Job Control'!$B$3, INPUT_JobSettings!$A:$A, INPUT_JobSettings!$G:$G, ""), Summary!$B$5)))</f>
        <v/>
      </c>
    </row>
    <row r="277">
      <c r="A277" s="8" t="n"/>
      <c r="B277" s="8" t="n"/>
      <c r="C277" s="8" t="n"/>
      <c r="D277" s="8" t="n"/>
      <c r="E277" s="8" t="n"/>
      <c r="F277" s="8" t="n"/>
      <c r="G277" s="8" t="n"/>
      <c r="H277" s="8" t="n"/>
      <c r="I277" s="6">
        <f>IF(OR(A277="",C277=""),"", XLOOKUP(C277, Constants!$A:$A, Constants!$C:$C, ""))</f>
        <v/>
      </c>
      <c r="J277" s="6">
        <f>IF(OR(A277="",C277=""),"", D277 * (IF(G277="", 1, XLOOKUP(G277, Constants!$E$10:$E$30, Constants!$F$10:$F$30, 1))) * XLOOKUP(C277, Constants!$A:$A, Constants!$D:$D, 0))</f>
        <v/>
      </c>
      <c r="K277" s="6">
        <f>IF(OR(A277="",C277=""),"", D277 * F277 * XLOOKUP(C277, Constants!$A:$A, Constants!$E:$E, 0))</f>
        <v/>
      </c>
      <c r="L277" s="6">
        <f>IF(OR(A277="",C277=""),"", IF(E277="None",0, D277 * IF(E277="Full",1,XLOOKUP("PrimerSpotFactor",Constants!$A$20:$A$40,Constants!$B$20:$B$40,0.35)) * XLOOKUP(C277, Constants!$A:$A, Constants!$F:$F, 0)))</f>
        <v/>
      </c>
      <c r="M277" s="6">
        <f>IF(OR(A277="",C277=""),"", J277+K277+L277)</f>
        <v/>
      </c>
      <c r="N277" s="6">
        <f>IF(OR(A277="",C277=""),"", M277/60)</f>
        <v/>
      </c>
      <c r="O277" s="6">
        <f>IF(OR(A277="",C277=""),"", N277*(IF(XLOOKUP('Job Control'!$B$3, INPUT_JobSettings!$A:$A, INPUT_JobSettings!$F:$F, "")&lt;&gt;"", XLOOKUP('Job Control'!$B$3, INPUT_JobSettings!$A:$A, INPUT_JobSettings!$F:$F, ""), Summary!$B$4)))</f>
        <v/>
      </c>
      <c r="P277" s="6">
        <f>IF(OR(A277="",C277=""),"", 0)</f>
        <v/>
      </c>
      <c r="Q277" s="6">
        <f>IF(OR(A277="",C277=""),"", (O277+P277)*(IF(XLOOKUP('Job Control'!$B$3, INPUT_JobSettings!$A:$A, INPUT_JobSettings!$G:$G, "")&lt;&gt;"", XLOOKUP('Job Control'!$B$3, INPUT_JobSettings!$A:$A, INPUT_JobSettings!$G:$G, ""), Summary!$B$5)))</f>
        <v/>
      </c>
    </row>
    <row r="278">
      <c r="A278" s="8" t="n"/>
      <c r="B278" s="8" t="n"/>
      <c r="C278" s="8" t="n"/>
      <c r="D278" s="8" t="n"/>
      <c r="E278" s="8" t="n"/>
      <c r="F278" s="8" t="n"/>
      <c r="G278" s="8" t="n"/>
      <c r="H278" s="8" t="n"/>
      <c r="I278" s="6">
        <f>IF(OR(A278="",C278=""),"", XLOOKUP(C278, Constants!$A:$A, Constants!$C:$C, ""))</f>
        <v/>
      </c>
      <c r="J278" s="6">
        <f>IF(OR(A278="",C278=""),"", D278 * (IF(G278="", 1, XLOOKUP(G278, Constants!$E$10:$E$30, Constants!$F$10:$F$30, 1))) * XLOOKUP(C278, Constants!$A:$A, Constants!$D:$D, 0))</f>
        <v/>
      </c>
      <c r="K278" s="6">
        <f>IF(OR(A278="",C278=""),"", D278 * F278 * XLOOKUP(C278, Constants!$A:$A, Constants!$E:$E, 0))</f>
        <v/>
      </c>
      <c r="L278" s="6">
        <f>IF(OR(A278="",C278=""),"", IF(E278="None",0, D278 * IF(E278="Full",1,XLOOKUP("PrimerSpotFactor",Constants!$A$20:$A$40,Constants!$B$20:$B$40,0.35)) * XLOOKUP(C278, Constants!$A:$A, Constants!$F:$F, 0)))</f>
        <v/>
      </c>
      <c r="M278" s="6">
        <f>IF(OR(A278="",C278=""),"", J278+K278+L278)</f>
        <v/>
      </c>
      <c r="N278" s="6">
        <f>IF(OR(A278="",C278=""),"", M278/60)</f>
        <v/>
      </c>
      <c r="O278" s="6">
        <f>IF(OR(A278="",C278=""),"", N278*(IF(XLOOKUP('Job Control'!$B$3, INPUT_JobSettings!$A:$A, INPUT_JobSettings!$F:$F, "")&lt;&gt;"", XLOOKUP('Job Control'!$B$3, INPUT_JobSettings!$A:$A, INPUT_JobSettings!$F:$F, ""), Summary!$B$4)))</f>
        <v/>
      </c>
      <c r="P278" s="6">
        <f>IF(OR(A278="",C278=""),"", 0)</f>
        <v/>
      </c>
      <c r="Q278" s="6">
        <f>IF(OR(A278="",C278=""),"", (O278+P278)*(IF(XLOOKUP('Job Control'!$B$3, INPUT_JobSettings!$A:$A, INPUT_JobSettings!$G:$G, "")&lt;&gt;"", XLOOKUP('Job Control'!$B$3, INPUT_JobSettings!$A:$A, INPUT_JobSettings!$G:$G, ""), Summary!$B$5)))</f>
        <v/>
      </c>
    </row>
    <row r="279">
      <c r="A279" s="8" t="n"/>
      <c r="B279" s="8" t="n"/>
      <c r="C279" s="8" t="n"/>
      <c r="D279" s="8" t="n"/>
      <c r="E279" s="8" t="n"/>
      <c r="F279" s="8" t="n"/>
      <c r="G279" s="8" t="n"/>
      <c r="H279" s="8" t="n"/>
      <c r="I279" s="6">
        <f>IF(OR(A279="",C279=""),"", XLOOKUP(C279, Constants!$A:$A, Constants!$C:$C, ""))</f>
        <v/>
      </c>
      <c r="J279" s="6">
        <f>IF(OR(A279="",C279=""),"", D279 * (IF(G279="", 1, XLOOKUP(G279, Constants!$E$10:$E$30, Constants!$F$10:$F$30, 1))) * XLOOKUP(C279, Constants!$A:$A, Constants!$D:$D, 0))</f>
        <v/>
      </c>
      <c r="K279" s="6">
        <f>IF(OR(A279="",C279=""),"", D279 * F279 * XLOOKUP(C279, Constants!$A:$A, Constants!$E:$E, 0))</f>
        <v/>
      </c>
      <c r="L279" s="6">
        <f>IF(OR(A279="",C279=""),"", IF(E279="None",0, D279 * IF(E279="Full",1,XLOOKUP("PrimerSpotFactor",Constants!$A$20:$A$40,Constants!$B$20:$B$40,0.35)) * XLOOKUP(C279, Constants!$A:$A, Constants!$F:$F, 0)))</f>
        <v/>
      </c>
      <c r="M279" s="6">
        <f>IF(OR(A279="",C279=""),"", J279+K279+L279)</f>
        <v/>
      </c>
      <c r="N279" s="6">
        <f>IF(OR(A279="",C279=""),"", M279/60)</f>
        <v/>
      </c>
      <c r="O279" s="6">
        <f>IF(OR(A279="",C279=""),"", N279*(IF(XLOOKUP('Job Control'!$B$3, INPUT_JobSettings!$A:$A, INPUT_JobSettings!$F:$F, "")&lt;&gt;"", XLOOKUP('Job Control'!$B$3, INPUT_JobSettings!$A:$A, INPUT_JobSettings!$F:$F, ""), Summary!$B$4)))</f>
        <v/>
      </c>
      <c r="P279" s="6">
        <f>IF(OR(A279="",C279=""),"", 0)</f>
        <v/>
      </c>
      <c r="Q279" s="6">
        <f>IF(OR(A279="",C279=""),"", (O279+P279)*(IF(XLOOKUP('Job Control'!$B$3, INPUT_JobSettings!$A:$A, INPUT_JobSettings!$G:$G, "")&lt;&gt;"", XLOOKUP('Job Control'!$B$3, INPUT_JobSettings!$A:$A, INPUT_JobSettings!$G:$G, ""), Summary!$B$5)))</f>
        <v/>
      </c>
    </row>
    <row r="280">
      <c r="A280" s="8" t="n"/>
      <c r="B280" s="8" t="n"/>
      <c r="C280" s="8" t="n"/>
      <c r="D280" s="8" t="n"/>
      <c r="E280" s="8" t="n"/>
      <c r="F280" s="8" t="n"/>
      <c r="G280" s="8" t="n"/>
      <c r="H280" s="8" t="n"/>
      <c r="I280" s="6">
        <f>IF(OR(A280="",C280=""),"", XLOOKUP(C280, Constants!$A:$A, Constants!$C:$C, ""))</f>
        <v/>
      </c>
      <c r="J280" s="6">
        <f>IF(OR(A280="",C280=""),"", D280 * (IF(G280="", 1, XLOOKUP(G280, Constants!$E$10:$E$30, Constants!$F$10:$F$30, 1))) * XLOOKUP(C280, Constants!$A:$A, Constants!$D:$D, 0))</f>
        <v/>
      </c>
      <c r="K280" s="6">
        <f>IF(OR(A280="",C280=""),"", D280 * F280 * XLOOKUP(C280, Constants!$A:$A, Constants!$E:$E, 0))</f>
        <v/>
      </c>
      <c r="L280" s="6">
        <f>IF(OR(A280="",C280=""),"", IF(E280="None",0, D280 * IF(E280="Full",1,XLOOKUP("PrimerSpotFactor",Constants!$A$20:$A$40,Constants!$B$20:$B$40,0.35)) * XLOOKUP(C280, Constants!$A:$A, Constants!$F:$F, 0)))</f>
        <v/>
      </c>
      <c r="M280" s="6">
        <f>IF(OR(A280="",C280=""),"", J280+K280+L280)</f>
        <v/>
      </c>
      <c r="N280" s="6">
        <f>IF(OR(A280="",C280=""),"", M280/60)</f>
        <v/>
      </c>
      <c r="O280" s="6">
        <f>IF(OR(A280="",C280=""),"", N280*(IF(XLOOKUP('Job Control'!$B$3, INPUT_JobSettings!$A:$A, INPUT_JobSettings!$F:$F, "")&lt;&gt;"", XLOOKUP('Job Control'!$B$3, INPUT_JobSettings!$A:$A, INPUT_JobSettings!$F:$F, ""), Summary!$B$4)))</f>
        <v/>
      </c>
      <c r="P280" s="6">
        <f>IF(OR(A280="",C280=""),"", 0)</f>
        <v/>
      </c>
      <c r="Q280" s="6">
        <f>IF(OR(A280="",C280=""),"", (O280+P280)*(IF(XLOOKUP('Job Control'!$B$3, INPUT_JobSettings!$A:$A, INPUT_JobSettings!$G:$G, "")&lt;&gt;"", XLOOKUP('Job Control'!$B$3, INPUT_JobSettings!$A:$A, INPUT_JobSettings!$G:$G, ""), Summary!$B$5)))</f>
        <v/>
      </c>
    </row>
    <row r="281">
      <c r="A281" s="8" t="n"/>
      <c r="B281" s="8" t="n"/>
      <c r="C281" s="8" t="n"/>
      <c r="D281" s="8" t="n"/>
      <c r="E281" s="8" t="n"/>
      <c r="F281" s="8" t="n"/>
      <c r="G281" s="8" t="n"/>
      <c r="H281" s="8" t="n"/>
      <c r="I281" s="6">
        <f>IF(OR(A281="",C281=""),"", XLOOKUP(C281, Constants!$A:$A, Constants!$C:$C, ""))</f>
        <v/>
      </c>
      <c r="J281" s="6">
        <f>IF(OR(A281="",C281=""),"", D281 * (IF(G281="", 1, XLOOKUP(G281, Constants!$E$10:$E$30, Constants!$F$10:$F$30, 1))) * XLOOKUP(C281, Constants!$A:$A, Constants!$D:$D, 0))</f>
        <v/>
      </c>
      <c r="K281" s="6">
        <f>IF(OR(A281="",C281=""),"", D281 * F281 * XLOOKUP(C281, Constants!$A:$A, Constants!$E:$E, 0))</f>
        <v/>
      </c>
      <c r="L281" s="6">
        <f>IF(OR(A281="",C281=""),"", IF(E281="None",0, D281 * IF(E281="Full",1,XLOOKUP("PrimerSpotFactor",Constants!$A$20:$A$40,Constants!$B$20:$B$40,0.35)) * XLOOKUP(C281, Constants!$A:$A, Constants!$F:$F, 0)))</f>
        <v/>
      </c>
      <c r="M281" s="6">
        <f>IF(OR(A281="",C281=""),"", J281+K281+L281)</f>
        <v/>
      </c>
      <c r="N281" s="6">
        <f>IF(OR(A281="",C281=""),"", M281/60)</f>
        <v/>
      </c>
      <c r="O281" s="6">
        <f>IF(OR(A281="",C281=""),"", N281*(IF(XLOOKUP('Job Control'!$B$3, INPUT_JobSettings!$A:$A, INPUT_JobSettings!$F:$F, "")&lt;&gt;"", XLOOKUP('Job Control'!$B$3, INPUT_JobSettings!$A:$A, INPUT_JobSettings!$F:$F, ""), Summary!$B$4)))</f>
        <v/>
      </c>
      <c r="P281" s="6">
        <f>IF(OR(A281="",C281=""),"", 0)</f>
        <v/>
      </c>
      <c r="Q281" s="6">
        <f>IF(OR(A281="",C281=""),"", (O281+P281)*(IF(XLOOKUP('Job Control'!$B$3, INPUT_JobSettings!$A:$A, INPUT_JobSettings!$G:$G, "")&lt;&gt;"", XLOOKUP('Job Control'!$B$3, INPUT_JobSettings!$A:$A, INPUT_JobSettings!$G:$G, ""), Summary!$B$5)))</f>
        <v/>
      </c>
    </row>
    <row r="282">
      <c r="A282" s="8" t="n"/>
      <c r="B282" s="8" t="n"/>
      <c r="C282" s="8" t="n"/>
      <c r="D282" s="8" t="n"/>
      <c r="E282" s="8" t="n"/>
      <c r="F282" s="8" t="n"/>
      <c r="G282" s="8" t="n"/>
      <c r="H282" s="8" t="n"/>
      <c r="I282" s="6">
        <f>IF(OR(A282="",C282=""),"", XLOOKUP(C282, Constants!$A:$A, Constants!$C:$C, ""))</f>
        <v/>
      </c>
      <c r="J282" s="6">
        <f>IF(OR(A282="",C282=""),"", D282 * (IF(G282="", 1, XLOOKUP(G282, Constants!$E$10:$E$30, Constants!$F$10:$F$30, 1))) * XLOOKUP(C282, Constants!$A:$A, Constants!$D:$D, 0))</f>
        <v/>
      </c>
      <c r="K282" s="6">
        <f>IF(OR(A282="",C282=""),"", D282 * F282 * XLOOKUP(C282, Constants!$A:$A, Constants!$E:$E, 0))</f>
        <v/>
      </c>
      <c r="L282" s="6">
        <f>IF(OR(A282="",C282=""),"", IF(E282="None",0, D282 * IF(E282="Full",1,XLOOKUP("PrimerSpotFactor",Constants!$A$20:$A$40,Constants!$B$20:$B$40,0.35)) * XLOOKUP(C282, Constants!$A:$A, Constants!$F:$F, 0)))</f>
        <v/>
      </c>
      <c r="M282" s="6">
        <f>IF(OR(A282="",C282=""),"", J282+K282+L282)</f>
        <v/>
      </c>
      <c r="N282" s="6">
        <f>IF(OR(A282="",C282=""),"", M282/60)</f>
        <v/>
      </c>
      <c r="O282" s="6">
        <f>IF(OR(A282="",C282=""),"", N282*(IF(XLOOKUP('Job Control'!$B$3, INPUT_JobSettings!$A:$A, INPUT_JobSettings!$F:$F, "")&lt;&gt;"", XLOOKUP('Job Control'!$B$3, INPUT_JobSettings!$A:$A, INPUT_JobSettings!$F:$F, ""), Summary!$B$4)))</f>
        <v/>
      </c>
      <c r="P282" s="6">
        <f>IF(OR(A282="",C282=""),"", 0)</f>
        <v/>
      </c>
      <c r="Q282" s="6">
        <f>IF(OR(A282="",C282=""),"", (O282+P282)*(IF(XLOOKUP('Job Control'!$B$3, INPUT_JobSettings!$A:$A, INPUT_JobSettings!$G:$G, "")&lt;&gt;"", XLOOKUP('Job Control'!$B$3, INPUT_JobSettings!$A:$A, INPUT_JobSettings!$G:$G, ""), Summary!$B$5)))</f>
        <v/>
      </c>
    </row>
    <row r="283">
      <c r="A283" s="8" t="n"/>
      <c r="B283" s="8" t="n"/>
      <c r="C283" s="8" t="n"/>
      <c r="D283" s="8" t="n"/>
      <c r="E283" s="8" t="n"/>
      <c r="F283" s="8" t="n"/>
      <c r="G283" s="8" t="n"/>
      <c r="H283" s="8" t="n"/>
      <c r="I283" s="6">
        <f>IF(OR(A283="",C283=""),"", XLOOKUP(C283, Constants!$A:$A, Constants!$C:$C, ""))</f>
        <v/>
      </c>
      <c r="J283" s="6">
        <f>IF(OR(A283="",C283=""),"", D283 * (IF(G283="", 1, XLOOKUP(G283, Constants!$E$10:$E$30, Constants!$F$10:$F$30, 1))) * XLOOKUP(C283, Constants!$A:$A, Constants!$D:$D, 0))</f>
        <v/>
      </c>
      <c r="K283" s="6">
        <f>IF(OR(A283="",C283=""),"", D283 * F283 * XLOOKUP(C283, Constants!$A:$A, Constants!$E:$E, 0))</f>
        <v/>
      </c>
      <c r="L283" s="6">
        <f>IF(OR(A283="",C283=""),"", IF(E283="None",0, D283 * IF(E283="Full",1,XLOOKUP("PrimerSpotFactor",Constants!$A$20:$A$40,Constants!$B$20:$B$40,0.35)) * XLOOKUP(C283, Constants!$A:$A, Constants!$F:$F, 0)))</f>
        <v/>
      </c>
      <c r="M283" s="6">
        <f>IF(OR(A283="",C283=""),"", J283+K283+L283)</f>
        <v/>
      </c>
      <c r="N283" s="6">
        <f>IF(OR(A283="",C283=""),"", M283/60)</f>
        <v/>
      </c>
      <c r="O283" s="6">
        <f>IF(OR(A283="",C283=""),"", N283*(IF(XLOOKUP('Job Control'!$B$3, INPUT_JobSettings!$A:$A, INPUT_JobSettings!$F:$F, "")&lt;&gt;"", XLOOKUP('Job Control'!$B$3, INPUT_JobSettings!$A:$A, INPUT_JobSettings!$F:$F, ""), Summary!$B$4)))</f>
        <v/>
      </c>
      <c r="P283" s="6">
        <f>IF(OR(A283="",C283=""),"", 0)</f>
        <v/>
      </c>
      <c r="Q283" s="6">
        <f>IF(OR(A283="",C283=""),"", (O283+P283)*(IF(XLOOKUP('Job Control'!$B$3, INPUT_JobSettings!$A:$A, INPUT_JobSettings!$G:$G, "")&lt;&gt;"", XLOOKUP('Job Control'!$B$3, INPUT_JobSettings!$A:$A, INPUT_JobSettings!$G:$G, ""), Summary!$B$5)))</f>
        <v/>
      </c>
    </row>
    <row r="284">
      <c r="A284" s="8" t="n"/>
      <c r="B284" s="8" t="n"/>
      <c r="C284" s="8" t="n"/>
      <c r="D284" s="8" t="n"/>
      <c r="E284" s="8" t="n"/>
      <c r="F284" s="8" t="n"/>
      <c r="G284" s="8" t="n"/>
      <c r="H284" s="8" t="n"/>
      <c r="I284" s="6">
        <f>IF(OR(A284="",C284=""),"", XLOOKUP(C284, Constants!$A:$A, Constants!$C:$C, ""))</f>
        <v/>
      </c>
      <c r="J284" s="6">
        <f>IF(OR(A284="",C284=""),"", D284 * (IF(G284="", 1, XLOOKUP(G284, Constants!$E$10:$E$30, Constants!$F$10:$F$30, 1))) * XLOOKUP(C284, Constants!$A:$A, Constants!$D:$D, 0))</f>
        <v/>
      </c>
      <c r="K284" s="6">
        <f>IF(OR(A284="",C284=""),"", D284 * F284 * XLOOKUP(C284, Constants!$A:$A, Constants!$E:$E, 0))</f>
        <v/>
      </c>
      <c r="L284" s="6">
        <f>IF(OR(A284="",C284=""),"", IF(E284="None",0, D284 * IF(E284="Full",1,XLOOKUP("PrimerSpotFactor",Constants!$A$20:$A$40,Constants!$B$20:$B$40,0.35)) * XLOOKUP(C284, Constants!$A:$A, Constants!$F:$F, 0)))</f>
        <v/>
      </c>
      <c r="M284" s="6">
        <f>IF(OR(A284="",C284=""),"", J284+K284+L284)</f>
        <v/>
      </c>
      <c r="N284" s="6">
        <f>IF(OR(A284="",C284=""),"", M284/60)</f>
        <v/>
      </c>
      <c r="O284" s="6">
        <f>IF(OR(A284="",C284=""),"", N284*(IF(XLOOKUP('Job Control'!$B$3, INPUT_JobSettings!$A:$A, INPUT_JobSettings!$F:$F, "")&lt;&gt;"", XLOOKUP('Job Control'!$B$3, INPUT_JobSettings!$A:$A, INPUT_JobSettings!$F:$F, ""), Summary!$B$4)))</f>
        <v/>
      </c>
      <c r="P284" s="6">
        <f>IF(OR(A284="",C284=""),"", 0)</f>
        <v/>
      </c>
      <c r="Q284" s="6">
        <f>IF(OR(A284="",C284=""),"", (O284+P284)*(IF(XLOOKUP('Job Control'!$B$3, INPUT_JobSettings!$A:$A, INPUT_JobSettings!$G:$G, "")&lt;&gt;"", XLOOKUP('Job Control'!$B$3, INPUT_JobSettings!$A:$A, INPUT_JobSettings!$G:$G, ""), Summary!$B$5)))</f>
        <v/>
      </c>
    </row>
    <row r="285">
      <c r="A285" s="8" t="n"/>
      <c r="B285" s="8" t="n"/>
      <c r="C285" s="8" t="n"/>
      <c r="D285" s="8" t="n"/>
      <c r="E285" s="8" t="n"/>
      <c r="F285" s="8" t="n"/>
      <c r="G285" s="8" t="n"/>
      <c r="H285" s="8" t="n"/>
      <c r="I285" s="6">
        <f>IF(OR(A285="",C285=""),"", XLOOKUP(C285, Constants!$A:$A, Constants!$C:$C, ""))</f>
        <v/>
      </c>
      <c r="J285" s="6">
        <f>IF(OR(A285="",C285=""),"", D285 * (IF(G285="", 1, XLOOKUP(G285, Constants!$E$10:$E$30, Constants!$F$10:$F$30, 1))) * XLOOKUP(C285, Constants!$A:$A, Constants!$D:$D, 0))</f>
        <v/>
      </c>
      <c r="K285" s="6">
        <f>IF(OR(A285="",C285=""),"", D285 * F285 * XLOOKUP(C285, Constants!$A:$A, Constants!$E:$E, 0))</f>
        <v/>
      </c>
      <c r="L285" s="6">
        <f>IF(OR(A285="",C285=""),"", IF(E285="None",0, D285 * IF(E285="Full",1,XLOOKUP("PrimerSpotFactor",Constants!$A$20:$A$40,Constants!$B$20:$B$40,0.35)) * XLOOKUP(C285, Constants!$A:$A, Constants!$F:$F, 0)))</f>
        <v/>
      </c>
      <c r="M285" s="6">
        <f>IF(OR(A285="",C285=""),"", J285+K285+L285)</f>
        <v/>
      </c>
      <c r="N285" s="6">
        <f>IF(OR(A285="",C285=""),"", M285/60)</f>
        <v/>
      </c>
      <c r="O285" s="6">
        <f>IF(OR(A285="",C285=""),"", N285*(IF(XLOOKUP('Job Control'!$B$3, INPUT_JobSettings!$A:$A, INPUT_JobSettings!$F:$F, "")&lt;&gt;"", XLOOKUP('Job Control'!$B$3, INPUT_JobSettings!$A:$A, INPUT_JobSettings!$F:$F, ""), Summary!$B$4)))</f>
        <v/>
      </c>
      <c r="P285" s="6">
        <f>IF(OR(A285="",C285=""),"", 0)</f>
        <v/>
      </c>
      <c r="Q285" s="6">
        <f>IF(OR(A285="",C285=""),"", (O285+P285)*(IF(XLOOKUP('Job Control'!$B$3, INPUT_JobSettings!$A:$A, INPUT_JobSettings!$G:$G, "")&lt;&gt;"", XLOOKUP('Job Control'!$B$3, INPUT_JobSettings!$A:$A, INPUT_JobSettings!$G:$G, ""), Summary!$B$5)))</f>
        <v/>
      </c>
    </row>
    <row r="286">
      <c r="A286" s="8" t="n"/>
      <c r="B286" s="8" t="n"/>
      <c r="C286" s="8" t="n"/>
      <c r="D286" s="8" t="n"/>
      <c r="E286" s="8" t="n"/>
      <c r="F286" s="8" t="n"/>
      <c r="G286" s="8" t="n"/>
      <c r="H286" s="8" t="n"/>
      <c r="I286" s="6">
        <f>IF(OR(A286="",C286=""),"", XLOOKUP(C286, Constants!$A:$A, Constants!$C:$C, ""))</f>
        <v/>
      </c>
      <c r="J286" s="6">
        <f>IF(OR(A286="",C286=""),"", D286 * (IF(G286="", 1, XLOOKUP(G286, Constants!$E$10:$E$30, Constants!$F$10:$F$30, 1))) * XLOOKUP(C286, Constants!$A:$A, Constants!$D:$D, 0))</f>
        <v/>
      </c>
      <c r="K286" s="6">
        <f>IF(OR(A286="",C286=""),"", D286 * F286 * XLOOKUP(C286, Constants!$A:$A, Constants!$E:$E, 0))</f>
        <v/>
      </c>
      <c r="L286" s="6">
        <f>IF(OR(A286="",C286=""),"", IF(E286="None",0, D286 * IF(E286="Full",1,XLOOKUP("PrimerSpotFactor",Constants!$A$20:$A$40,Constants!$B$20:$B$40,0.35)) * XLOOKUP(C286, Constants!$A:$A, Constants!$F:$F, 0)))</f>
        <v/>
      </c>
      <c r="M286" s="6">
        <f>IF(OR(A286="",C286=""),"", J286+K286+L286)</f>
        <v/>
      </c>
      <c r="N286" s="6">
        <f>IF(OR(A286="",C286=""),"", M286/60)</f>
        <v/>
      </c>
      <c r="O286" s="6">
        <f>IF(OR(A286="",C286=""),"", N286*(IF(XLOOKUP('Job Control'!$B$3, INPUT_JobSettings!$A:$A, INPUT_JobSettings!$F:$F, "")&lt;&gt;"", XLOOKUP('Job Control'!$B$3, INPUT_JobSettings!$A:$A, INPUT_JobSettings!$F:$F, ""), Summary!$B$4)))</f>
        <v/>
      </c>
      <c r="P286" s="6">
        <f>IF(OR(A286="",C286=""),"", 0)</f>
        <v/>
      </c>
      <c r="Q286" s="6">
        <f>IF(OR(A286="",C286=""),"", (O286+P286)*(IF(XLOOKUP('Job Control'!$B$3, INPUT_JobSettings!$A:$A, INPUT_JobSettings!$G:$G, "")&lt;&gt;"", XLOOKUP('Job Control'!$B$3, INPUT_JobSettings!$A:$A, INPUT_JobSettings!$G:$G, ""), Summary!$B$5)))</f>
        <v/>
      </c>
    </row>
    <row r="287">
      <c r="A287" s="8" t="n"/>
      <c r="B287" s="8" t="n"/>
      <c r="C287" s="8" t="n"/>
      <c r="D287" s="8" t="n"/>
      <c r="E287" s="8" t="n"/>
      <c r="F287" s="8" t="n"/>
      <c r="G287" s="8" t="n"/>
      <c r="H287" s="8" t="n"/>
      <c r="I287" s="6">
        <f>IF(OR(A287="",C287=""),"", XLOOKUP(C287, Constants!$A:$A, Constants!$C:$C, ""))</f>
        <v/>
      </c>
      <c r="J287" s="6">
        <f>IF(OR(A287="",C287=""),"", D287 * (IF(G287="", 1, XLOOKUP(G287, Constants!$E$10:$E$30, Constants!$F$10:$F$30, 1))) * XLOOKUP(C287, Constants!$A:$A, Constants!$D:$D, 0))</f>
        <v/>
      </c>
      <c r="K287" s="6">
        <f>IF(OR(A287="",C287=""),"", D287 * F287 * XLOOKUP(C287, Constants!$A:$A, Constants!$E:$E, 0))</f>
        <v/>
      </c>
      <c r="L287" s="6">
        <f>IF(OR(A287="",C287=""),"", IF(E287="None",0, D287 * IF(E287="Full",1,XLOOKUP("PrimerSpotFactor",Constants!$A$20:$A$40,Constants!$B$20:$B$40,0.35)) * XLOOKUP(C287, Constants!$A:$A, Constants!$F:$F, 0)))</f>
        <v/>
      </c>
      <c r="M287" s="6">
        <f>IF(OR(A287="",C287=""),"", J287+K287+L287)</f>
        <v/>
      </c>
      <c r="N287" s="6">
        <f>IF(OR(A287="",C287=""),"", M287/60)</f>
        <v/>
      </c>
      <c r="O287" s="6">
        <f>IF(OR(A287="",C287=""),"", N287*(IF(XLOOKUP('Job Control'!$B$3, INPUT_JobSettings!$A:$A, INPUT_JobSettings!$F:$F, "")&lt;&gt;"", XLOOKUP('Job Control'!$B$3, INPUT_JobSettings!$A:$A, INPUT_JobSettings!$F:$F, ""), Summary!$B$4)))</f>
        <v/>
      </c>
      <c r="P287" s="6">
        <f>IF(OR(A287="",C287=""),"", 0)</f>
        <v/>
      </c>
      <c r="Q287" s="6">
        <f>IF(OR(A287="",C287=""),"", (O287+P287)*(IF(XLOOKUP('Job Control'!$B$3, INPUT_JobSettings!$A:$A, INPUT_JobSettings!$G:$G, "")&lt;&gt;"", XLOOKUP('Job Control'!$B$3, INPUT_JobSettings!$A:$A, INPUT_JobSettings!$G:$G, ""), Summary!$B$5)))</f>
        <v/>
      </c>
    </row>
    <row r="288">
      <c r="A288" s="8" t="n"/>
      <c r="B288" s="8" t="n"/>
      <c r="C288" s="8" t="n"/>
      <c r="D288" s="8" t="n"/>
      <c r="E288" s="8" t="n"/>
      <c r="F288" s="8" t="n"/>
      <c r="G288" s="8" t="n"/>
      <c r="H288" s="8" t="n"/>
      <c r="I288" s="6">
        <f>IF(OR(A288="",C288=""),"", XLOOKUP(C288, Constants!$A:$A, Constants!$C:$C, ""))</f>
        <v/>
      </c>
      <c r="J288" s="6">
        <f>IF(OR(A288="",C288=""),"", D288 * (IF(G288="", 1, XLOOKUP(G288, Constants!$E$10:$E$30, Constants!$F$10:$F$30, 1))) * XLOOKUP(C288, Constants!$A:$A, Constants!$D:$D, 0))</f>
        <v/>
      </c>
      <c r="K288" s="6">
        <f>IF(OR(A288="",C288=""),"", D288 * F288 * XLOOKUP(C288, Constants!$A:$A, Constants!$E:$E, 0))</f>
        <v/>
      </c>
      <c r="L288" s="6">
        <f>IF(OR(A288="",C288=""),"", IF(E288="None",0, D288 * IF(E288="Full",1,XLOOKUP("PrimerSpotFactor",Constants!$A$20:$A$40,Constants!$B$20:$B$40,0.35)) * XLOOKUP(C288, Constants!$A:$A, Constants!$F:$F, 0)))</f>
        <v/>
      </c>
      <c r="M288" s="6">
        <f>IF(OR(A288="",C288=""),"", J288+K288+L288)</f>
        <v/>
      </c>
      <c r="N288" s="6">
        <f>IF(OR(A288="",C288=""),"", M288/60)</f>
        <v/>
      </c>
      <c r="O288" s="6">
        <f>IF(OR(A288="",C288=""),"", N288*(IF(XLOOKUP('Job Control'!$B$3, INPUT_JobSettings!$A:$A, INPUT_JobSettings!$F:$F, "")&lt;&gt;"", XLOOKUP('Job Control'!$B$3, INPUT_JobSettings!$A:$A, INPUT_JobSettings!$F:$F, ""), Summary!$B$4)))</f>
        <v/>
      </c>
      <c r="P288" s="6">
        <f>IF(OR(A288="",C288=""),"", 0)</f>
        <v/>
      </c>
      <c r="Q288" s="6">
        <f>IF(OR(A288="",C288=""),"", (O288+P288)*(IF(XLOOKUP('Job Control'!$B$3, INPUT_JobSettings!$A:$A, INPUT_JobSettings!$G:$G, "")&lt;&gt;"", XLOOKUP('Job Control'!$B$3, INPUT_JobSettings!$A:$A, INPUT_JobSettings!$G:$G, ""), Summary!$B$5)))</f>
        <v/>
      </c>
    </row>
    <row r="289">
      <c r="A289" s="8" t="n"/>
      <c r="B289" s="8" t="n"/>
      <c r="C289" s="8" t="n"/>
      <c r="D289" s="8" t="n"/>
      <c r="E289" s="8" t="n"/>
      <c r="F289" s="8" t="n"/>
      <c r="G289" s="8" t="n"/>
      <c r="H289" s="8" t="n"/>
      <c r="I289" s="6">
        <f>IF(OR(A289="",C289=""),"", XLOOKUP(C289, Constants!$A:$A, Constants!$C:$C, ""))</f>
        <v/>
      </c>
      <c r="J289" s="6">
        <f>IF(OR(A289="",C289=""),"", D289 * (IF(G289="", 1, XLOOKUP(G289, Constants!$E$10:$E$30, Constants!$F$10:$F$30, 1))) * XLOOKUP(C289, Constants!$A:$A, Constants!$D:$D, 0))</f>
        <v/>
      </c>
      <c r="K289" s="6">
        <f>IF(OR(A289="",C289=""),"", D289 * F289 * XLOOKUP(C289, Constants!$A:$A, Constants!$E:$E, 0))</f>
        <v/>
      </c>
      <c r="L289" s="6">
        <f>IF(OR(A289="",C289=""),"", IF(E289="None",0, D289 * IF(E289="Full",1,XLOOKUP("PrimerSpotFactor",Constants!$A$20:$A$40,Constants!$B$20:$B$40,0.35)) * XLOOKUP(C289, Constants!$A:$A, Constants!$F:$F, 0)))</f>
        <v/>
      </c>
      <c r="M289" s="6">
        <f>IF(OR(A289="",C289=""),"", J289+K289+L289)</f>
        <v/>
      </c>
      <c r="N289" s="6">
        <f>IF(OR(A289="",C289=""),"", M289/60)</f>
        <v/>
      </c>
      <c r="O289" s="6">
        <f>IF(OR(A289="",C289=""),"", N289*(IF(XLOOKUP('Job Control'!$B$3, INPUT_JobSettings!$A:$A, INPUT_JobSettings!$F:$F, "")&lt;&gt;"", XLOOKUP('Job Control'!$B$3, INPUT_JobSettings!$A:$A, INPUT_JobSettings!$F:$F, ""), Summary!$B$4)))</f>
        <v/>
      </c>
      <c r="P289" s="6">
        <f>IF(OR(A289="",C289=""),"", 0)</f>
        <v/>
      </c>
      <c r="Q289" s="6">
        <f>IF(OR(A289="",C289=""),"", (O289+P289)*(IF(XLOOKUP('Job Control'!$B$3, INPUT_JobSettings!$A:$A, INPUT_JobSettings!$G:$G, "")&lt;&gt;"", XLOOKUP('Job Control'!$B$3, INPUT_JobSettings!$A:$A, INPUT_JobSettings!$G:$G, ""), Summary!$B$5)))</f>
        <v/>
      </c>
    </row>
    <row r="290">
      <c r="A290" s="8" t="n"/>
      <c r="B290" s="8" t="n"/>
      <c r="C290" s="8" t="n"/>
      <c r="D290" s="8" t="n"/>
      <c r="E290" s="8" t="n"/>
      <c r="F290" s="8" t="n"/>
      <c r="G290" s="8" t="n"/>
      <c r="H290" s="8" t="n"/>
      <c r="I290" s="6">
        <f>IF(OR(A290="",C290=""),"", XLOOKUP(C290, Constants!$A:$A, Constants!$C:$C, ""))</f>
        <v/>
      </c>
      <c r="J290" s="6">
        <f>IF(OR(A290="",C290=""),"", D290 * (IF(G290="", 1, XLOOKUP(G290, Constants!$E$10:$E$30, Constants!$F$10:$F$30, 1))) * XLOOKUP(C290, Constants!$A:$A, Constants!$D:$D, 0))</f>
        <v/>
      </c>
      <c r="K290" s="6">
        <f>IF(OR(A290="",C290=""),"", D290 * F290 * XLOOKUP(C290, Constants!$A:$A, Constants!$E:$E, 0))</f>
        <v/>
      </c>
      <c r="L290" s="6">
        <f>IF(OR(A290="",C290=""),"", IF(E290="None",0, D290 * IF(E290="Full",1,XLOOKUP("PrimerSpotFactor",Constants!$A$20:$A$40,Constants!$B$20:$B$40,0.35)) * XLOOKUP(C290, Constants!$A:$A, Constants!$F:$F, 0)))</f>
        <v/>
      </c>
      <c r="M290" s="6">
        <f>IF(OR(A290="",C290=""),"", J290+K290+L290)</f>
        <v/>
      </c>
      <c r="N290" s="6">
        <f>IF(OR(A290="",C290=""),"", M290/60)</f>
        <v/>
      </c>
      <c r="O290" s="6">
        <f>IF(OR(A290="",C290=""),"", N290*(IF(XLOOKUP('Job Control'!$B$3, INPUT_JobSettings!$A:$A, INPUT_JobSettings!$F:$F, "")&lt;&gt;"", XLOOKUP('Job Control'!$B$3, INPUT_JobSettings!$A:$A, INPUT_JobSettings!$F:$F, ""), Summary!$B$4)))</f>
        <v/>
      </c>
      <c r="P290" s="6">
        <f>IF(OR(A290="",C290=""),"", 0)</f>
        <v/>
      </c>
      <c r="Q290" s="6">
        <f>IF(OR(A290="",C290=""),"", (O290+P290)*(IF(XLOOKUP('Job Control'!$B$3, INPUT_JobSettings!$A:$A, INPUT_JobSettings!$G:$G, "")&lt;&gt;"", XLOOKUP('Job Control'!$B$3, INPUT_JobSettings!$A:$A, INPUT_JobSettings!$G:$G, ""), Summary!$B$5)))</f>
        <v/>
      </c>
    </row>
    <row r="291">
      <c r="A291" s="8" t="n"/>
      <c r="B291" s="8" t="n"/>
      <c r="C291" s="8" t="n"/>
      <c r="D291" s="8" t="n"/>
      <c r="E291" s="8" t="n"/>
      <c r="F291" s="8" t="n"/>
      <c r="G291" s="8" t="n"/>
      <c r="H291" s="8" t="n"/>
      <c r="I291" s="6">
        <f>IF(OR(A291="",C291=""),"", XLOOKUP(C291, Constants!$A:$A, Constants!$C:$C, ""))</f>
        <v/>
      </c>
      <c r="J291" s="6">
        <f>IF(OR(A291="",C291=""),"", D291 * (IF(G291="", 1, XLOOKUP(G291, Constants!$E$10:$E$30, Constants!$F$10:$F$30, 1))) * XLOOKUP(C291, Constants!$A:$A, Constants!$D:$D, 0))</f>
        <v/>
      </c>
      <c r="K291" s="6">
        <f>IF(OR(A291="",C291=""),"", D291 * F291 * XLOOKUP(C291, Constants!$A:$A, Constants!$E:$E, 0))</f>
        <v/>
      </c>
      <c r="L291" s="6">
        <f>IF(OR(A291="",C291=""),"", IF(E291="None",0, D291 * IF(E291="Full",1,XLOOKUP("PrimerSpotFactor",Constants!$A$20:$A$40,Constants!$B$20:$B$40,0.35)) * XLOOKUP(C291, Constants!$A:$A, Constants!$F:$F, 0)))</f>
        <v/>
      </c>
      <c r="M291" s="6">
        <f>IF(OR(A291="",C291=""),"", J291+K291+L291)</f>
        <v/>
      </c>
      <c r="N291" s="6">
        <f>IF(OR(A291="",C291=""),"", M291/60)</f>
        <v/>
      </c>
      <c r="O291" s="6">
        <f>IF(OR(A291="",C291=""),"", N291*(IF(XLOOKUP('Job Control'!$B$3, INPUT_JobSettings!$A:$A, INPUT_JobSettings!$F:$F, "")&lt;&gt;"", XLOOKUP('Job Control'!$B$3, INPUT_JobSettings!$A:$A, INPUT_JobSettings!$F:$F, ""), Summary!$B$4)))</f>
        <v/>
      </c>
      <c r="P291" s="6">
        <f>IF(OR(A291="",C291=""),"", 0)</f>
        <v/>
      </c>
      <c r="Q291" s="6">
        <f>IF(OR(A291="",C291=""),"", (O291+P291)*(IF(XLOOKUP('Job Control'!$B$3, INPUT_JobSettings!$A:$A, INPUT_JobSettings!$G:$G, "")&lt;&gt;"", XLOOKUP('Job Control'!$B$3, INPUT_JobSettings!$A:$A, INPUT_JobSettings!$G:$G, ""), Summary!$B$5)))</f>
        <v/>
      </c>
    </row>
    <row r="292">
      <c r="A292" s="8" t="n"/>
      <c r="B292" s="8" t="n"/>
      <c r="C292" s="8" t="n"/>
      <c r="D292" s="8" t="n"/>
      <c r="E292" s="8" t="n"/>
      <c r="F292" s="8" t="n"/>
      <c r="G292" s="8" t="n"/>
      <c r="H292" s="8" t="n"/>
      <c r="I292" s="6">
        <f>IF(OR(A292="",C292=""),"", XLOOKUP(C292, Constants!$A:$A, Constants!$C:$C, ""))</f>
        <v/>
      </c>
      <c r="J292" s="6">
        <f>IF(OR(A292="",C292=""),"", D292 * (IF(G292="", 1, XLOOKUP(G292, Constants!$E$10:$E$30, Constants!$F$10:$F$30, 1))) * XLOOKUP(C292, Constants!$A:$A, Constants!$D:$D, 0))</f>
        <v/>
      </c>
      <c r="K292" s="6">
        <f>IF(OR(A292="",C292=""),"", D292 * F292 * XLOOKUP(C292, Constants!$A:$A, Constants!$E:$E, 0))</f>
        <v/>
      </c>
      <c r="L292" s="6">
        <f>IF(OR(A292="",C292=""),"", IF(E292="None",0, D292 * IF(E292="Full",1,XLOOKUP("PrimerSpotFactor",Constants!$A$20:$A$40,Constants!$B$20:$B$40,0.35)) * XLOOKUP(C292, Constants!$A:$A, Constants!$F:$F, 0)))</f>
        <v/>
      </c>
      <c r="M292" s="6">
        <f>IF(OR(A292="",C292=""),"", J292+K292+L292)</f>
        <v/>
      </c>
      <c r="N292" s="6">
        <f>IF(OR(A292="",C292=""),"", M292/60)</f>
        <v/>
      </c>
      <c r="O292" s="6">
        <f>IF(OR(A292="",C292=""),"", N292*(IF(XLOOKUP('Job Control'!$B$3, INPUT_JobSettings!$A:$A, INPUT_JobSettings!$F:$F, "")&lt;&gt;"", XLOOKUP('Job Control'!$B$3, INPUT_JobSettings!$A:$A, INPUT_JobSettings!$F:$F, ""), Summary!$B$4)))</f>
        <v/>
      </c>
      <c r="P292" s="6">
        <f>IF(OR(A292="",C292=""),"", 0)</f>
        <v/>
      </c>
      <c r="Q292" s="6">
        <f>IF(OR(A292="",C292=""),"", (O292+P292)*(IF(XLOOKUP('Job Control'!$B$3, INPUT_JobSettings!$A:$A, INPUT_JobSettings!$G:$G, "")&lt;&gt;"", XLOOKUP('Job Control'!$B$3, INPUT_JobSettings!$A:$A, INPUT_JobSettings!$G:$G, ""), Summary!$B$5)))</f>
        <v/>
      </c>
    </row>
    <row r="293">
      <c r="A293" s="8" t="n"/>
      <c r="B293" s="8" t="n"/>
      <c r="C293" s="8" t="n"/>
      <c r="D293" s="8" t="n"/>
      <c r="E293" s="8" t="n"/>
      <c r="F293" s="8" t="n"/>
      <c r="G293" s="8" t="n"/>
      <c r="H293" s="8" t="n"/>
      <c r="I293" s="6">
        <f>IF(OR(A293="",C293=""),"", XLOOKUP(C293, Constants!$A:$A, Constants!$C:$C, ""))</f>
        <v/>
      </c>
      <c r="J293" s="6">
        <f>IF(OR(A293="",C293=""),"", D293 * (IF(G293="", 1, XLOOKUP(G293, Constants!$E$10:$E$30, Constants!$F$10:$F$30, 1))) * XLOOKUP(C293, Constants!$A:$A, Constants!$D:$D, 0))</f>
        <v/>
      </c>
      <c r="K293" s="6">
        <f>IF(OR(A293="",C293=""),"", D293 * F293 * XLOOKUP(C293, Constants!$A:$A, Constants!$E:$E, 0))</f>
        <v/>
      </c>
      <c r="L293" s="6">
        <f>IF(OR(A293="",C293=""),"", IF(E293="None",0, D293 * IF(E293="Full",1,XLOOKUP("PrimerSpotFactor",Constants!$A$20:$A$40,Constants!$B$20:$B$40,0.35)) * XLOOKUP(C293, Constants!$A:$A, Constants!$F:$F, 0)))</f>
        <v/>
      </c>
      <c r="M293" s="6">
        <f>IF(OR(A293="",C293=""),"", J293+K293+L293)</f>
        <v/>
      </c>
      <c r="N293" s="6">
        <f>IF(OR(A293="",C293=""),"", M293/60)</f>
        <v/>
      </c>
      <c r="O293" s="6">
        <f>IF(OR(A293="",C293=""),"", N293*(IF(XLOOKUP('Job Control'!$B$3, INPUT_JobSettings!$A:$A, INPUT_JobSettings!$F:$F, "")&lt;&gt;"", XLOOKUP('Job Control'!$B$3, INPUT_JobSettings!$A:$A, INPUT_JobSettings!$F:$F, ""), Summary!$B$4)))</f>
        <v/>
      </c>
      <c r="P293" s="6">
        <f>IF(OR(A293="",C293=""),"", 0)</f>
        <v/>
      </c>
      <c r="Q293" s="6">
        <f>IF(OR(A293="",C293=""),"", (O293+P293)*(IF(XLOOKUP('Job Control'!$B$3, INPUT_JobSettings!$A:$A, INPUT_JobSettings!$G:$G, "")&lt;&gt;"", XLOOKUP('Job Control'!$B$3, INPUT_JobSettings!$A:$A, INPUT_JobSettings!$G:$G, ""), Summary!$B$5)))</f>
        <v/>
      </c>
    </row>
    <row r="294">
      <c r="A294" s="8" t="n"/>
      <c r="B294" s="8" t="n"/>
      <c r="C294" s="8" t="n"/>
      <c r="D294" s="8" t="n"/>
      <c r="E294" s="8" t="n"/>
      <c r="F294" s="8" t="n"/>
      <c r="G294" s="8" t="n"/>
      <c r="H294" s="8" t="n"/>
      <c r="I294" s="6">
        <f>IF(OR(A294="",C294=""),"", XLOOKUP(C294, Constants!$A:$A, Constants!$C:$C, ""))</f>
        <v/>
      </c>
      <c r="J294" s="6">
        <f>IF(OR(A294="",C294=""),"", D294 * (IF(G294="", 1, XLOOKUP(G294, Constants!$E$10:$E$30, Constants!$F$10:$F$30, 1))) * XLOOKUP(C294, Constants!$A:$A, Constants!$D:$D, 0))</f>
        <v/>
      </c>
      <c r="K294" s="6">
        <f>IF(OR(A294="",C294=""),"", D294 * F294 * XLOOKUP(C294, Constants!$A:$A, Constants!$E:$E, 0))</f>
        <v/>
      </c>
      <c r="L294" s="6">
        <f>IF(OR(A294="",C294=""),"", IF(E294="None",0, D294 * IF(E294="Full",1,XLOOKUP("PrimerSpotFactor",Constants!$A$20:$A$40,Constants!$B$20:$B$40,0.35)) * XLOOKUP(C294, Constants!$A:$A, Constants!$F:$F, 0)))</f>
        <v/>
      </c>
      <c r="M294" s="6">
        <f>IF(OR(A294="",C294=""),"", J294+K294+L294)</f>
        <v/>
      </c>
      <c r="N294" s="6">
        <f>IF(OR(A294="",C294=""),"", M294/60)</f>
        <v/>
      </c>
      <c r="O294" s="6">
        <f>IF(OR(A294="",C294=""),"", N294*(IF(XLOOKUP('Job Control'!$B$3, INPUT_JobSettings!$A:$A, INPUT_JobSettings!$F:$F, "")&lt;&gt;"", XLOOKUP('Job Control'!$B$3, INPUT_JobSettings!$A:$A, INPUT_JobSettings!$F:$F, ""), Summary!$B$4)))</f>
        <v/>
      </c>
      <c r="P294" s="6">
        <f>IF(OR(A294="",C294=""),"", 0)</f>
        <v/>
      </c>
      <c r="Q294" s="6">
        <f>IF(OR(A294="",C294=""),"", (O294+P294)*(IF(XLOOKUP('Job Control'!$B$3, INPUT_JobSettings!$A:$A, INPUT_JobSettings!$G:$G, "")&lt;&gt;"", XLOOKUP('Job Control'!$B$3, INPUT_JobSettings!$A:$A, INPUT_JobSettings!$G:$G, ""), Summary!$B$5)))</f>
        <v/>
      </c>
    </row>
    <row r="295">
      <c r="A295" s="8" t="n"/>
      <c r="B295" s="8" t="n"/>
      <c r="C295" s="8" t="n"/>
      <c r="D295" s="8" t="n"/>
      <c r="E295" s="8" t="n"/>
      <c r="F295" s="8" t="n"/>
      <c r="G295" s="8" t="n"/>
      <c r="H295" s="8" t="n"/>
      <c r="I295" s="6">
        <f>IF(OR(A295="",C295=""),"", XLOOKUP(C295, Constants!$A:$A, Constants!$C:$C, ""))</f>
        <v/>
      </c>
      <c r="J295" s="6">
        <f>IF(OR(A295="",C295=""),"", D295 * (IF(G295="", 1, XLOOKUP(G295, Constants!$E$10:$E$30, Constants!$F$10:$F$30, 1))) * XLOOKUP(C295, Constants!$A:$A, Constants!$D:$D, 0))</f>
        <v/>
      </c>
      <c r="K295" s="6">
        <f>IF(OR(A295="",C295=""),"", D295 * F295 * XLOOKUP(C295, Constants!$A:$A, Constants!$E:$E, 0))</f>
        <v/>
      </c>
      <c r="L295" s="6">
        <f>IF(OR(A295="",C295=""),"", IF(E295="None",0, D295 * IF(E295="Full",1,XLOOKUP("PrimerSpotFactor",Constants!$A$20:$A$40,Constants!$B$20:$B$40,0.35)) * XLOOKUP(C295, Constants!$A:$A, Constants!$F:$F, 0)))</f>
        <v/>
      </c>
      <c r="M295" s="6">
        <f>IF(OR(A295="",C295=""),"", J295+K295+L295)</f>
        <v/>
      </c>
      <c r="N295" s="6">
        <f>IF(OR(A295="",C295=""),"", M295/60)</f>
        <v/>
      </c>
      <c r="O295" s="6">
        <f>IF(OR(A295="",C295=""),"", N295*(IF(XLOOKUP('Job Control'!$B$3, INPUT_JobSettings!$A:$A, INPUT_JobSettings!$F:$F, "")&lt;&gt;"", XLOOKUP('Job Control'!$B$3, INPUT_JobSettings!$A:$A, INPUT_JobSettings!$F:$F, ""), Summary!$B$4)))</f>
        <v/>
      </c>
      <c r="P295" s="6">
        <f>IF(OR(A295="",C295=""),"", 0)</f>
        <v/>
      </c>
      <c r="Q295" s="6">
        <f>IF(OR(A295="",C295=""),"", (O295+P295)*(IF(XLOOKUP('Job Control'!$B$3, INPUT_JobSettings!$A:$A, INPUT_JobSettings!$G:$G, "")&lt;&gt;"", XLOOKUP('Job Control'!$B$3, INPUT_JobSettings!$A:$A, INPUT_JobSettings!$G:$G, ""), Summary!$B$5)))</f>
        <v/>
      </c>
    </row>
    <row r="296">
      <c r="A296" s="8" t="n"/>
      <c r="B296" s="8" t="n"/>
      <c r="C296" s="8" t="n"/>
      <c r="D296" s="8" t="n"/>
      <c r="E296" s="8" t="n"/>
      <c r="F296" s="8" t="n"/>
      <c r="G296" s="8" t="n"/>
      <c r="H296" s="8" t="n"/>
      <c r="I296" s="6">
        <f>IF(OR(A296="",C296=""),"", XLOOKUP(C296, Constants!$A:$A, Constants!$C:$C, ""))</f>
        <v/>
      </c>
      <c r="J296" s="6">
        <f>IF(OR(A296="",C296=""),"", D296 * (IF(G296="", 1, XLOOKUP(G296, Constants!$E$10:$E$30, Constants!$F$10:$F$30, 1))) * XLOOKUP(C296, Constants!$A:$A, Constants!$D:$D, 0))</f>
        <v/>
      </c>
      <c r="K296" s="6">
        <f>IF(OR(A296="",C296=""),"", D296 * F296 * XLOOKUP(C296, Constants!$A:$A, Constants!$E:$E, 0))</f>
        <v/>
      </c>
      <c r="L296" s="6">
        <f>IF(OR(A296="",C296=""),"", IF(E296="None",0, D296 * IF(E296="Full",1,XLOOKUP("PrimerSpotFactor",Constants!$A$20:$A$40,Constants!$B$20:$B$40,0.35)) * XLOOKUP(C296, Constants!$A:$A, Constants!$F:$F, 0)))</f>
        <v/>
      </c>
      <c r="M296" s="6">
        <f>IF(OR(A296="",C296=""),"", J296+K296+L296)</f>
        <v/>
      </c>
      <c r="N296" s="6">
        <f>IF(OR(A296="",C296=""),"", M296/60)</f>
        <v/>
      </c>
      <c r="O296" s="6">
        <f>IF(OR(A296="",C296=""),"", N296*(IF(XLOOKUP('Job Control'!$B$3, INPUT_JobSettings!$A:$A, INPUT_JobSettings!$F:$F, "")&lt;&gt;"", XLOOKUP('Job Control'!$B$3, INPUT_JobSettings!$A:$A, INPUT_JobSettings!$F:$F, ""), Summary!$B$4)))</f>
        <v/>
      </c>
      <c r="P296" s="6">
        <f>IF(OR(A296="",C296=""),"", 0)</f>
        <v/>
      </c>
      <c r="Q296" s="6">
        <f>IF(OR(A296="",C296=""),"", (O296+P296)*(IF(XLOOKUP('Job Control'!$B$3, INPUT_JobSettings!$A:$A, INPUT_JobSettings!$G:$G, "")&lt;&gt;"", XLOOKUP('Job Control'!$B$3, INPUT_JobSettings!$A:$A, INPUT_JobSettings!$G:$G, ""), Summary!$B$5)))</f>
        <v/>
      </c>
    </row>
    <row r="297">
      <c r="A297" s="8" t="n"/>
      <c r="B297" s="8" t="n"/>
      <c r="C297" s="8" t="n"/>
      <c r="D297" s="8" t="n"/>
      <c r="E297" s="8" t="n"/>
      <c r="F297" s="8" t="n"/>
      <c r="G297" s="8" t="n"/>
      <c r="H297" s="8" t="n"/>
      <c r="I297" s="6">
        <f>IF(OR(A297="",C297=""),"", XLOOKUP(C297, Constants!$A:$A, Constants!$C:$C, ""))</f>
        <v/>
      </c>
      <c r="J297" s="6">
        <f>IF(OR(A297="",C297=""),"", D297 * (IF(G297="", 1, XLOOKUP(G297, Constants!$E$10:$E$30, Constants!$F$10:$F$30, 1))) * XLOOKUP(C297, Constants!$A:$A, Constants!$D:$D, 0))</f>
        <v/>
      </c>
      <c r="K297" s="6">
        <f>IF(OR(A297="",C297=""),"", D297 * F297 * XLOOKUP(C297, Constants!$A:$A, Constants!$E:$E, 0))</f>
        <v/>
      </c>
      <c r="L297" s="6">
        <f>IF(OR(A297="",C297=""),"", IF(E297="None",0, D297 * IF(E297="Full",1,XLOOKUP("PrimerSpotFactor",Constants!$A$20:$A$40,Constants!$B$20:$B$40,0.35)) * XLOOKUP(C297, Constants!$A:$A, Constants!$F:$F, 0)))</f>
        <v/>
      </c>
      <c r="M297" s="6">
        <f>IF(OR(A297="",C297=""),"", J297+K297+L297)</f>
        <v/>
      </c>
      <c r="N297" s="6">
        <f>IF(OR(A297="",C297=""),"", M297/60)</f>
        <v/>
      </c>
      <c r="O297" s="6">
        <f>IF(OR(A297="",C297=""),"", N297*(IF(XLOOKUP('Job Control'!$B$3, INPUT_JobSettings!$A:$A, INPUT_JobSettings!$F:$F, "")&lt;&gt;"", XLOOKUP('Job Control'!$B$3, INPUT_JobSettings!$A:$A, INPUT_JobSettings!$F:$F, ""), Summary!$B$4)))</f>
        <v/>
      </c>
      <c r="P297" s="6">
        <f>IF(OR(A297="",C297=""),"", 0)</f>
        <v/>
      </c>
      <c r="Q297" s="6">
        <f>IF(OR(A297="",C297=""),"", (O297+P297)*(IF(XLOOKUP('Job Control'!$B$3, INPUT_JobSettings!$A:$A, INPUT_JobSettings!$G:$G, "")&lt;&gt;"", XLOOKUP('Job Control'!$B$3, INPUT_JobSettings!$A:$A, INPUT_JobSettings!$G:$G, ""), Summary!$B$5)))</f>
        <v/>
      </c>
    </row>
    <row r="298">
      <c r="A298" s="8" t="n"/>
      <c r="B298" s="8" t="n"/>
      <c r="C298" s="8" t="n"/>
      <c r="D298" s="8" t="n"/>
      <c r="E298" s="8" t="n"/>
      <c r="F298" s="8" t="n"/>
      <c r="G298" s="8" t="n"/>
      <c r="H298" s="8" t="n"/>
      <c r="I298" s="6">
        <f>IF(OR(A298="",C298=""),"", XLOOKUP(C298, Constants!$A:$A, Constants!$C:$C, ""))</f>
        <v/>
      </c>
      <c r="J298" s="6">
        <f>IF(OR(A298="",C298=""),"", D298 * (IF(G298="", 1, XLOOKUP(G298, Constants!$E$10:$E$30, Constants!$F$10:$F$30, 1))) * XLOOKUP(C298, Constants!$A:$A, Constants!$D:$D, 0))</f>
        <v/>
      </c>
      <c r="K298" s="6">
        <f>IF(OR(A298="",C298=""),"", D298 * F298 * XLOOKUP(C298, Constants!$A:$A, Constants!$E:$E, 0))</f>
        <v/>
      </c>
      <c r="L298" s="6">
        <f>IF(OR(A298="",C298=""),"", IF(E298="None",0, D298 * IF(E298="Full",1,XLOOKUP("PrimerSpotFactor",Constants!$A$20:$A$40,Constants!$B$20:$B$40,0.35)) * XLOOKUP(C298, Constants!$A:$A, Constants!$F:$F, 0)))</f>
        <v/>
      </c>
      <c r="M298" s="6">
        <f>IF(OR(A298="",C298=""),"", J298+K298+L298)</f>
        <v/>
      </c>
      <c r="N298" s="6">
        <f>IF(OR(A298="",C298=""),"", M298/60)</f>
        <v/>
      </c>
      <c r="O298" s="6">
        <f>IF(OR(A298="",C298=""),"", N298*(IF(XLOOKUP('Job Control'!$B$3, INPUT_JobSettings!$A:$A, INPUT_JobSettings!$F:$F, "")&lt;&gt;"", XLOOKUP('Job Control'!$B$3, INPUT_JobSettings!$A:$A, INPUT_JobSettings!$F:$F, ""), Summary!$B$4)))</f>
        <v/>
      </c>
      <c r="P298" s="6">
        <f>IF(OR(A298="",C298=""),"", 0)</f>
        <v/>
      </c>
      <c r="Q298" s="6">
        <f>IF(OR(A298="",C298=""),"", (O298+P298)*(IF(XLOOKUP('Job Control'!$B$3, INPUT_JobSettings!$A:$A, INPUT_JobSettings!$G:$G, "")&lt;&gt;"", XLOOKUP('Job Control'!$B$3, INPUT_JobSettings!$A:$A, INPUT_JobSettings!$G:$G, ""), Summary!$B$5)))</f>
        <v/>
      </c>
    </row>
    <row r="299">
      <c r="A299" s="8" t="n"/>
      <c r="B299" s="8" t="n"/>
      <c r="C299" s="8" t="n"/>
      <c r="D299" s="8" t="n"/>
      <c r="E299" s="8" t="n"/>
      <c r="F299" s="8" t="n"/>
      <c r="G299" s="8" t="n"/>
      <c r="H299" s="8" t="n"/>
      <c r="I299" s="6">
        <f>IF(OR(A299="",C299=""),"", XLOOKUP(C299, Constants!$A:$A, Constants!$C:$C, ""))</f>
        <v/>
      </c>
      <c r="J299" s="6">
        <f>IF(OR(A299="",C299=""),"", D299 * (IF(G299="", 1, XLOOKUP(G299, Constants!$E$10:$E$30, Constants!$F$10:$F$30, 1))) * XLOOKUP(C299, Constants!$A:$A, Constants!$D:$D, 0))</f>
        <v/>
      </c>
      <c r="K299" s="6">
        <f>IF(OR(A299="",C299=""),"", D299 * F299 * XLOOKUP(C299, Constants!$A:$A, Constants!$E:$E, 0))</f>
        <v/>
      </c>
      <c r="L299" s="6">
        <f>IF(OR(A299="",C299=""),"", IF(E299="None",0, D299 * IF(E299="Full",1,XLOOKUP("PrimerSpotFactor",Constants!$A$20:$A$40,Constants!$B$20:$B$40,0.35)) * XLOOKUP(C299, Constants!$A:$A, Constants!$F:$F, 0)))</f>
        <v/>
      </c>
      <c r="M299" s="6">
        <f>IF(OR(A299="",C299=""),"", J299+K299+L299)</f>
        <v/>
      </c>
      <c r="N299" s="6">
        <f>IF(OR(A299="",C299=""),"", M299/60)</f>
        <v/>
      </c>
      <c r="O299" s="6">
        <f>IF(OR(A299="",C299=""),"", N299*(IF(XLOOKUP('Job Control'!$B$3, INPUT_JobSettings!$A:$A, INPUT_JobSettings!$F:$F, "")&lt;&gt;"", XLOOKUP('Job Control'!$B$3, INPUT_JobSettings!$A:$A, INPUT_JobSettings!$F:$F, ""), Summary!$B$4)))</f>
        <v/>
      </c>
      <c r="P299" s="6">
        <f>IF(OR(A299="",C299=""),"", 0)</f>
        <v/>
      </c>
      <c r="Q299" s="6">
        <f>IF(OR(A299="",C299=""),"", (O299+P299)*(IF(XLOOKUP('Job Control'!$B$3, INPUT_JobSettings!$A:$A, INPUT_JobSettings!$G:$G, "")&lt;&gt;"", XLOOKUP('Job Control'!$B$3, INPUT_JobSettings!$A:$A, INPUT_JobSettings!$G:$G, ""), Summary!$B$5)))</f>
        <v/>
      </c>
    </row>
    <row r="300">
      <c r="A300" s="8" t="n"/>
      <c r="B300" s="8" t="n"/>
      <c r="C300" s="8" t="n"/>
      <c r="D300" s="8" t="n"/>
      <c r="E300" s="8" t="n"/>
      <c r="F300" s="8" t="n"/>
      <c r="G300" s="8" t="n"/>
      <c r="H300" s="8" t="n"/>
      <c r="I300" s="6">
        <f>IF(OR(A300="",C300=""),"", XLOOKUP(C300, Constants!$A:$A, Constants!$C:$C, ""))</f>
        <v/>
      </c>
      <c r="J300" s="6">
        <f>IF(OR(A300="",C300=""),"", D300 * (IF(G300="", 1, XLOOKUP(G300, Constants!$E$10:$E$30, Constants!$F$10:$F$30, 1))) * XLOOKUP(C300, Constants!$A:$A, Constants!$D:$D, 0))</f>
        <v/>
      </c>
      <c r="K300" s="6">
        <f>IF(OR(A300="",C300=""),"", D300 * F300 * XLOOKUP(C300, Constants!$A:$A, Constants!$E:$E, 0))</f>
        <v/>
      </c>
      <c r="L300" s="6">
        <f>IF(OR(A300="",C300=""),"", IF(E300="None",0, D300 * IF(E300="Full",1,XLOOKUP("PrimerSpotFactor",Constants!$A$20:$A$40,Constants!$B$20:$B$40,0.35)) * XLOOKUP(C300, Constants!$A:$A, Constants!$F:$F, 0)))</f>
        <v/>
      </c>
      <c r="M300" s="6">
        <f>IF(OR(A300="",C300=""),"", J300+K300+L300)</f>
        <v/>
      </c>
      <c r="N300" s="6">
        <f>IF(OR(A300="",C300=""),"", M300/60)</f>
        <v/>
      </c>
      <c r="O300" s="6">
        <f>IF(OR(A300="",C300=""),"", N300*(IF(XLOOKUP('Job Control'!$B$3, INPUT_JobSettings!$A:$A, INPUT_JobSettings!$F:$F, "")&lt;&gt;"", XLOOKUP('Job Control'!$B$3, INPUT_JobSettings!$A:$A, INPUT_JobSettings!$F:$F, ""), Summary!$B$4)))</f>
        <v/>
      </c>
      <c r="P300" s="6">
        <f>IF(OR(A300="",C300=""),"", 0)</f>
        <v/>
      </c>
      <c r="Q300" s="6">
        <f>IF(OR(A300="",C300=""),"", (O300+P300)*(IF(XLOOKUP('Job Control'!$B$3, INPUT_JobSettings!$A:$A, INPUT_JobSettings!$G:$G, "")&lt;&gt;"", XLOOKUP('Job Control'!$B$3, INPUT_JobSettings!$A:$A, INPUT_JobSettings!$G:$G, ""), Summary!$B$5)))</f>
        <v/>
      </c>
    </row>
    <row r="301">
      <c r="A301" s="8" t="n"/>
      <c r="B301" s="8" t="n"/>
      <c r="C301" s="8" t="n"/>
      <c r="D301" s="8" t="n"/>
      <c r="E301" s="8" t="n"/>
      <c r="F301" s="8" t="n"/>
      <c r="G301" s="8" t="n"/>
      <c r="H301" s="8" t="n"/>
      <c r="I301" s="6">
        <f>IF(OR(A301="",C301=""),"", XLOOKUP(C301, Constants!$A:$A, Constants!$C:$C, ""))</f>
        <v/>
      </c>
      <c r="J301" s="6">
        <f>IF(OR(A301="",C301=""),"", D301 * (IF(G301="", 1, XLOOKUP(G301, Constants!$E$10:$E$30, Constants!$F$10:$F$30, 1))) * XLOOKUP(C301, Constants!$A:$A, Constants!$D:$D, 0))</f>
        <v/>
      </c>
      <c r="K301" s="6">
        <f>IF(OR(A301="",C301=""),"", D301 * F301 * XLOOKUP(C301, Constants!$A:$A, Constants!$E:$E, 0))</f>
        <v/>
      </c>
      <c r="L301" s="6">
        <f>IF(OR(A301="",C301=""),"", IF(E301="None",0, D301 * IF(E301="Full",1,XLOOKUP("PrimerSpotFactor",Constants!$A$20:$A$40,Constants!$B$20:$B$40,0.35)) * XLOOKUP(C301, Constants!$A:$A, Constants!$F:$F, 0)))</f>
        <v/>
      </c>
      <c r="M301" s="6">
        <f>IF(OR(A301="",C301=""),"", J301+K301+L301)</f>
        <v/>
      </c>
      <c r="N301" s="6">
        <f>IF(OR(A301="",C301=""),"", M301/60)</f>
        <v/>
      </c>
      <c r="O301" s="6">
        <f>IF(OR(A301="",C301=""),"", N301*(IF(XLOOKUP('Job Control'!$B$3, INPUT_JobSettings!$A:$A, INPUT_JobSettings!$F:$F, "")&lt;&gt;"", XLOOKUP('Job Control'!$B$3, INPUT_JobSettings!$A:$A, INPUT_JobSettings!$F:$F, ""), Summary!$B$4)))</f>
        <v/>
      </c>
      <c r="P301" s="6">
        <f>IF(OR(A301="",C301=""),"", 0)</f>
        <v/>
      </c>
      <c r="Q301" s="6">
        <f>IF(OR(A301="",C301=""),"", (O301+P301)*(IF(XLOOKUP('Job Control'!$B$3, INPUT_JobSettings!$A:$A, INPUT_JobSettings!$G:$G, "")&lt;&gt;"", XLOOKUP('Job Control'!$B$3, INPUT_JobSettings!$A:$A, INPUT_JobSettings!$G:$G, ""), Summary!$B$5)))</f>
        <v/>
      </c>
    </row>
    <row r="302">
      <c r="A302" s="8" t="n"/>
      <c r="B302" s="8" t="n"/>
      <c r="C302" s="8" t="n"/>
      <c r="D302" s="8" t="n"/>
      <c r="E302" s="8" t="n"/>
      <c r="F302" s="8" t="n"/>
      <c r="G302" s="8" t="n"/>
      <c r="H302" s="8" t="n"/>
      <c r="I302" s="6">
        <f>IF(OR(A302="",C302=""),"", XLOOKUP(C302, Constants!$A:$A, Constants!$C:$C, ""))</f>
        <v/>
      </c>
      <c r="J302" s="6">
        <f>IF(OR(A302="",C302=""),"", D302 * (IF(G302="", 1, XLOOKUP(G302, Constants!$E$10:$E$30, Constants!$F$10:$F$30, 1))) * XLOOKUP(C302, Constants!$A:$A, Constants!$D:$D, 0))</f>
        <v/>
      </c>
      <c r="K302" s="6">
        <f>IF(OR(A302="",C302=""),"", D302 * F302 * XLOOKUP(C302, Constants!$A:$A, Constants!$E:$E, 0))</f>
        <v/>
      </c>
      <c r="L302" s="6">
        <f>IF(OR(A302="",C302=""),"", IF(E302="None",0, D302 * IF(E302="Full",1,XLOOKUP("PrimerSpotFactor",Constants!$A$20:$A$40,Constants!$B$20:$B$40,0.35)) * XLOOKUP(C302, Constants!$A:$A, Constants!$F:$F, 0)))</f>
        <v/>
      </c>
      <c r="M302" s="6">
        <f>IF(OR(A302="",C302=""),"", J302+K302+L302)</f>
        <v/>
      </c>
      <c r="N302" s="6">
        <f>IF(OR(A302="",C302=""),"", M302/60)</f>
        <v/>
      </c>
      <c r="O302" s="6">
        <f>IF(OR(A302="",C302=""),"", N302*(IF(XLOOKUP('Job Control'!$B$3, INPUT_JobSettings!$A:$A, INPUT_JobSettings!$F:$F, "")&lt;&gt;"", XLOOKUP('Job Control'!$B$3, INPUT_JobSettings!$A:$A, INPUT_JobSettings!$F:$F, ""), Summary!$B$4)))</f>
        <v/>
      </c>
      <c r="P302" s="6">
        <f>IF(OR(A302="",C302=""),"", 0)</f>
        <v/>
      </c>
      <c r="Q302" s="6">
        <f>IF(OR(A302="",C302=""),"", (O302+P302)*(IF(XLOOKUP('Job Control'!$B$3, INPUT_JobSettings!$A:$A, INPUT_JobSettings!$G:$G, "")&lt;&gt;"", XLOOKUP('Job Control'!$B$3, INPUT_JobSettings!$A:$A, INPUT_JobSettings!$G:$G, ""), Summary!$B$5)))</f>
        <v/>
      </c>
    </row>
    <row r="303">
      <c r="A303" s="8" t="n"/>
      <c r="B303" s="8" t="n"/>
      <c r="C303" s="8" t="n"/>
      <c r="D303" s="8" t="n"/>
      <c r="E303" s="8" t="n"/>
      <c r="F303" s="8" t="n"/>
      <c r="G303" s="8" t="n"/>
      <c r="H303" s="8" t="n"/>
      <c r="I303" s="6">
        <f>IF(OR(A303="",C303=""),"", XLOOKUP(C303, Constants!$A:$A, Constants!$C:$C, ""))</f>
        <v/>
      </c>
      <c r="J303" s="6">
        <f>IF(OR(A303="",C303=""),"", D303 * (IF(G303="", 1, XLOOKUP(G303, Constants!$E$10:$E$30, Constants!$F$10:$F$30, 1))) * XLOOKUP(C303, Constants!$A:$A, Constants!$D:$D, 0))</f>
        <v/>
      </c>
      <c r="K303" s="6">
        <f>IF(OR(A303="",C303=""),"", D303 * F303 * XLOOKUP(C303, Constants!$A:$A, Constants!$E:$E, 0))</f>
        <v/>
      </c>
      <c r="L303" s="6">
        <f>IF(OR(A303="",C303=""),"", IF(E303="None",0, D303 * IF(E303="Full",1,XLOOKUP("PrimerSpotFactor",Constants!$A$20:$A$40,Constants!$B$20:$B$40,0.35)) * XLOOKUP(C303, Constants!$A:$A, Constants!$F:$F, 0)))</f>
        <v/>
      </c>
      <c r="M303" s="6">
        <f>IF(OR(A303="",C303=""),"", J303+K303+L303)</f>
        <v/>
      </c>
      <c r="N303" s="6">
        <f>IF(OR(A303="",C303=""),"", M303/60)</f>
        <v/>
      </c>
      <c r="O303" s="6">
        <f>IF(OR(A303="",C303=""),"", N303*(IF(XLOOKUP('Job Control'!$B$3, INPUT_JobSettings!$A:$A, INPUT_JobSettings!$F:$F, "")&lt;&gt;"", XLOOKUP('Job Control'!$B$3, INPUT_JobSettings!$A:$A, INPUT_JobSettings!$F:$F, ""), Summary!$B$4)))</f>
        <v/>
      </c>
      <c r="P303" s="6">
        <f>IF(OR(A303="",C303=""),"", 0)</f>
        <v/>
      </c>
      <c r="Q303" s="6">
        <f>IF(OR(A303="",C303=""),"", (O303+P303)*(IF(XLOOKUP('Job Control'!$B$3, INPUT_JobSettings!$A:$A, INPUT_JobSettings!$G:$G, "")&lt;&gt;"", XLOOKUP('Job Control'!$B$3, INPUT_JobSettings!$A:$A, INPUT_JobSettings!$G:$G, ""), Summary!$B$5)))</f>
        <v/>
      </c>
    </row>
    <row r="304">
      <c r="A304" s="8" t="n"/>
      <c r="B304" s="8" t="n"/>
      <c r="C304" s="8" t="n"/>
      <c r="D304" s="8" t="n"/>
      <c r="E304" s="8" t="n"/>
      <c r="F304" s="8" t="n"/>
      <c r="G304" s="8" t="n"/>
      <c r="H304" s="8" t="n"/>
      <c r="I304" s="6">
        <f>IF(OR(A304="",C304=""),"", XLOOKUP(C304, Constants!$A:$A, Constants!$C:$C, ""))</f>
        <v/>
      </c>
      <c r="J304" s="6">
        <f>IF(OR(A304="",C304=""),"", D304 * (IF(G304="", 1, XLOOKUP(G304, Constants!$E$10:$E$30, Constants!$F$10:$F$30, 1))) * XLOOKUP(C304, Constants!$A:$A, Constants!$D:$D, 0))</f>
        <v/>
      </c>
      <c r="K304" s="6">
        <f>IF(OR(A304="",C304=""),"", D304 * F304 * XLOOKUP(C304, Constants!$A:$A, Constants!$E:$E, 0))</f>
        <v/>
      </c>
      <c r="L304" s="6">
        <f>IF(OR(A304="",C304=""),"", IF(E304="None",0, D304 * IF(E304="Full",1,XLOOKUP("PrimerSpotFactor",Constants!$A$20:$A$40,Constants!$B$20:$B$40,0.35)) * XLOOKUP(C304, Constants!$A:$A, Constants!$F:$F, 0)))</f>
        <v/>
      </c>
      <c r="M304" s="6">
        <f>IF(OR(A304="",C304=""),"", J304+K304+L304)</f>
        <v/>
      </c>
      <c r="N304" s="6">
        <f>IF(OR(A304="",C304=""),"", M304/60)</f>
        <v/>
      </c>
      <c r="O304" s="6">
        <f>IF(OR(A304="",C304=""),"", N304*(IF(XLOOKUP('Job Control'!$B$3, INPUT_JobSettings!$A:$A, INPUT_JobSettings!$F:$F, "")&lt;&gt;"", XLOOKUP('Job Control'!$B$3, INPUT_JobSettings!$A:$A, INPUT_JobSettings!$F:$F, ""), Summary!$B$4)))</f>
        <v/>
      </c>
      <c r="P304" s="6">
        <f>IF(OR(A304="",C304=""),"", 0)</f>
        <v/>
      </c>
      <c r="Q304" s="6">
        <f>IF(OR(A304="",C304=""),"", (O304+P304)*(IF(XLOOKUP('Job Control'!$B$3, INPUT_JobSettings!$A:$A, INPUT_JobSettings!$G:$G, "")&lt;&gt;"", XLOOKUP('Job Control'!$B$3, INPUT_JobSettings!$A:$A, INPUT_JobSettings!$G:$G, ""), Summary!$B$5)))</f>
        <v/>
      </c>
    </row>
    <row r="305">
      <c r="A305" s="8" t="n"/>
      <c r="B305" s="8" t="n"/>
      <c r="C305" s="8" t="n"/>
      <c r="D305" s="8" t="n"/>
      <c r="E305" s="8" t="n"/>
      <c r="F305" s="8" t="n"/>
      <c r="G305" s="8" t="n"/>
      <c r="H305" s="8" t="n"/>
      <c r="I305" s="6">
        <f>IF(OR(A305="",C305=""),"", XLOOKUP(C305, Constants!$A:$A, Constants!$C:$C, ""))</f>
        <v/>
      </c>
      <c r="J305" s="6">
        <f>IF(OR(A305="",C305=""),"", D305 * (IF(G305="", 1, XLOOKUP(G305, Constants!$E$10:$E$30, Constants!$F$10:$F$30, 1))) * XLOOKUP(C305, Constants!$A:$A, Constants!$D:$D, 0))</f>
        <v/>
      </c>
      <c r="K305" s="6">
        <f>IF(OR(A305="",C305=""),"", D305 * F305 * XLOOKUP(C305, Constants!$A:$A, Constants!$E:$E, 0))</f>
        <v/>
      </c>
      <c r="L305" s="6">
        <f>IF(OR(A305="",C305=""),"", IF(E305="None",0, D305 * IF(E305="Full",1,XLOOKUP("PrimerSpotFactor",Constants!$A$20:$A$40,Constants!$B$20:$B$40,0.35)) * XLOOKUP(C305, Constants!$A:$A, Constants!$F:$F, 0)))</f>
        <v/>
      </c>
      <c r="M305" s="6">
        <f>IF(OR(A305="",C305=""),"", J305+K305+L305)</f>
        <v/>
      </c>
      <c r="N305" s="6">
        <f>IF(OR(A305="",C305=""),"", M305/60)</f>
        <v/>
      </c>
      <c r="O305" s="6">
        <f>IF(OR(A305="",C305=""),"", N305*(IF(XLOOKUP('Job Control'!$B$3, INPUT_JobSettings!$A:$A, INPUT_JobSettings!$F:$F, "")&lt;&gt;"", XLOOKUP('Job Control'!$B$3, INPUT_JobSettings!$A:$A, INPUT_JobSettings!$F:$F, ""), Summary!$B$4)))</f>
        <v/>
      </c>
      <c r="P305" s="6">
        <f>IF(OR(A305="",C305=""),"", 0)</f>
        <v/>
      </c>
      <c r="Q305" s="6">
        <f>IF(OR(A305="",C305=""),"", (O305+P305)*(IF(XLOOKUP('Job Control'!$B$3, INPUT_JobSettings!$A:$A, INPUT_JobSettings!$G:$G, "")&lt;&gt;"", XLOOKUP('Job Control'!$B$3, INPUT_JobSettings!$A:$A, INPUT_JobSettings!$G:$G, ""), Summary!$B$5)))</f>
        <v/>
      </c>
    </row>
  </sheetData>
  <mergeCells count="2">
    <mergeCell ref="A3:Q3"/>
    <mergeCell ref="A1:Q1"/>
  </mergeCells>
  <dataValidations count="3">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showDropDown="0" showInputMessage="0" showErrorMessage="0" allowBlank="1" type="list">
      <formula1>=Constants!$A$140:$A$300</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showDropDown="0" showInputMessage="0" showErrorMessage="0" allowBlank="1" type="list">
      <formula1>"None,Spot,Full"</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showDropDown="0" showInputMessage="0" showErrorMessage="0" allowBlank="1" type="list">
      <formula1>=Constants!$E$10:$E$30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3"/>
  <sheetViews>
    <sheetView workbookViewId="0">
      <selection activeCell="A1" sqref="A1"/>
    </sheetView>
  </sheetViews>
  <sheetFormatPr baseColWidth="8" defaultRowHeight="15"/>
  <cols>
    <col hidden="1" width="10" customWidth="1" min="1" max="1"/>
    <col width="10" customWidth="1" min="2" max="2"/>
    <col width="20" customWidth="1" min="3" max="3"/>
    <col width="6" customWidth="1" min="4" max="4"/>
    <col width="14" customWidth="1" min="5" max="5"/>
    <col width="16" customWidth="1" min="6" max="6"/>
  </cols>
  <sheetData>
    <row r="1">
      <c r="A1" s="1" t="inlineStr">
        <is>
          <t>INPUT_OPENINGS (counts drive cut-in mins + casing LF)</t>
        </is>
      </c>
    </row>
    <row r="2">
      <c r="B2" s="12" t="inlineStr">
        <is>
          <t>App-first mode: JobID column (A) is hidden; the app will fill JobID automatically.</t>
        </is>
      </c>
    </row>
    <row r="3">
      <c r="A3" s="5" t="inlineStr">
        <is>
          <t>JobID</t>
        </is>
      </c>
      <c r="B3" s="5" t="inlineStr">
        <is>
          <t>RoomID</t>
        </is>
      </c>
      <c r="C3" s="5" t="inlineStr">
        <is>
          <t>OpeningType</t>
        </is>
      </c>
      <c r="D3" s="5" t="inlineStr">
        <is>
          <t>Qty</t>
        </is>
      </c>
      <c r="E3" s="5" t="inlineStr">
        <is>
          <t>Category (calc)</t>
        </is>
      </c>
      <c r="F3" s="5" t="inlineStr">
        <is>
          <t>CutInMins_each (calc)</t>
        </is>
      </c>
    </row>
    <row r="4">
      <c r="A4" s="8" t="n"/>
      <c r="B4" s="8" t="n"/>
      <c r="C4" s="8" t="n"/>
      <c r="D4" s="8" t="n"/>
      <c r="E4" s="6">
        <f>IF(C4="","",XLOOKUP(C4,Constants!$A$30:$A$200,Constants!$B$30:$B$200,"",0))</f>
        <v/>
      </c>
      <c r="F4" s="6">
        <f>IF(C4="","",XLOOKUP(C4,Constants!$A$30:$A$200,Constants!$F$30:$F$200,"",0))</f>
        <v/>
      </c>
    </row>
    <row r="5">
      <c r="A5" s="8" t="n"/>
      <c r="B5" s="8" t="n"/>
      <c r="C5" s="8" t="n"/>
      <c r="D5" s="8" t="n"/>
      <c r="E5" s="6">
        <f>IF(C5="","",XLOOKUP(C5,Constants!$A$30:$A$200,Constants!$B$30:$B$200,"",0))</f>
        <v/>
      </c>
      <c r="F5" s="6">
        <f>IF(C5="","",XLOOKUP(C5,Constants!$A$30:$A$200,Constants!$F$30:$F$200,"",0))</f>
        <v/>
      </c>
    </row>
    <row r="6">
      <c r="A6" s="8" t="n"/>
      <c r="B6" s="8" t="n"/>
      <c r="C6" s="8" t="n"/>
      <c r="D6" s="8" t="n"/>
      <c r="E6" s="6">
        <f>IF(C6="","",XLOOKUP(C6,Constants!$A$30:$A$200,Constants!$B$30:$B$200,"",0))</f>
        <v/>
      </c>
      <c r="F6" s="6">
        <f>IF(C6="","",XLOOKUP(C6,Constants!$A$30:$A$200,Constants!$F$30:$F$200,"",0))</f>
        <v/>
      </c>
    </row>
    <row r="7">
      <c r="A7" s="8" t="n"/>
      <c r="B7" s="8" t="n"/>
      <c r="C7" s="8" t="n"/>
      <c r="D7" s="8" t="n"/>
      <c r="E7" s="6">
        <f>IF(C7="","",XLOOKUP(C7,Constants!$A$30:$A$200,Constants!$B$30:$B$200,"",0))</f>
        <v/>
      </c>
      <c r="F7" s="6">
        <f>IF(C7="","",XLOOKUP(C7,Constants!$A$30:$A$200,Constants!$F$30:$F$200,"",0))</f>
        <v/>
      </c>
    </row>
    <row r="8">
      <c r="A8" s="8" t="n"/>
      <c r="B8" s="8" t="n"/>
      <c r="C8" s="8" t="n"/>
      <c r="D8" s="8" t="n"/>
      <c r="E8" s="6">
        <f>IF(C8="","",XLOOKUP(C8,Constants!$A$30:$A$200,Constants!$B$30:$B$200,"",0))</f>
        <v/>
      </c>
      <c r="F8" s="6">
        <f>IF(C8="","",XLOOKUP(C8,Constants!$A$30:$A$200,Constants!$F$30:$F$200,"",0))</f>
        <v/>
      </c>
    </row>
    <row r="9">
      <c r="A9" s="8" t="n"/>
      <c r="B9" s="8" t="n"/>
      <c r="C9" s="8" t="n"/>
      <c r="D9" s="8" t="n"/>
      <c r="E9" s="6">
        <f>IF(C9="","",XLOOKUP(C9,Constants!$A$30:$A$200,Constants!$B$30:$B$200,"",0))</f>
        <v/>
      </c>
      <c r="F9" s="6">
        <f>IF(C9="","",XLOOKUP(C9,Constants!$A$30:$A$200,Constants!$F$30:$F$200,"",0))</f>
        <v/>
      </c>
    </row>
    <row r="10">
      <c r="A10" s="8" t="n"/>
      <c r="B10" s="8" t="n"/>
      <c r="C10" s="8" t="n"/>
      <c r="D10" s="8" t="n"/>
      <c r="E10" s="6">
        <f>IF(C10="","",XLOOKUP(C10,Constants!$A$30:$A$200,Constants!$B$30:$B$200,"",0))</f>
        <v/>
      </c>
      <c r="F10" s="6">
        <f>IF(C10="","",XLOOKUP(C10,Constants!$A$30:$A$200,Constants!$F$30:$F$200,"",0))</f>
        <v/>
      </c>
    </row>
    <row r="11">
      <c r="A11" s="8" t="n"/>
      <c r="B11" s="8" t="n"/>
      <c r="C11" s="8" t="n"/>
      <c r="D11" s="8" t="n"/>
      <c r="E11" s="6">
        <f>IF(C11="","",XLOOKUP(C11,Constants!$A$30:$A$200,Constants!$B$30:$B$200,"",0))</f>
        <v/>
      </c>
      <c r="F11" s="6">
        <f>IF(C11="","",XLOOKUP(C11,Constants!$A$30:$A$200,Constants!$F$30:$F$200,"",0))</f>
        <v/>
      </c>
    </row>
    <row r="12">
      <c r="A12" s="8" t="n"/>
      <c r="B12" s="8" t="n"/>
      <c r="C12" s="8" t="n"/>
      <c r="D12" s="8" t="n"/>
      <c r="E12" s="6">
        <f>IF(C12="","",XLOOKUP(C12,Constants!$A$30:$A$200,Constants!$B$30:$B$200,"",0))</f>
        <v/>
      </c>
      <c r="F12" s="6">
        <f>IF(C12="","",XLOOKUP(C12,Constants!$A$30:$A$200,Constants!$F$30:$F$200,"",0))</f>
        <v/>
      </c>
    </row>
    <row r="13">
      <c r="A13" s="8" t="n"/>
      <c r="B13" s="8" t="n"/>
      <c r="C13" s="8" t="n"/>
      <c r="D13" s="8" t="n"/>
      <c r="E13" s="6">
        <f>IF(C13="","",XLOOKUP(C13,Constants!$A$30:$A$200,Constants!$B$30:$B$200,"",0))</f>
        <v/>
      </c>
      <c r="F13" s="6">
        <f>IF(C13="","",XLOOKUP(C13,Constants!$A$30:$A$200,Constants!$F$30:$F$200,"",0))</f>
        <v/>
      </c>
    </row>
    <row r="14">
      <c r="A14" s="8" t="n"/>
      <c r="B14" s="8" t="n"/>
      <c r="C14" s="8" t="n"/>
      <c r="D14" s="8" t="n"/>
      <c r="E14" s="6">
        <f>IF(C14="","",XLOOKUP(C14,Constants!$A$30:$A$200,Constants!$B$30:$B$200,"",0))</f>
        <v/>
      </c>
      <c r="F14" s="6">
        <f>IF(C14="","",XLOOKUP(C14,Constants!$A$30:$A$200,Constants!$F$30:$F$200,"",0))</f>
        <v/>
      </c>
    </row>
    <row r="15">
      <c r="A15" s="8" t="n"/>
      <c r="B15" s="8" t="n"/>
      <c r="C15" s="8" t="n"/>
      <c r="D15" s="8" t="n"/>
      <c r="E15" s="6">
        <f>IF(C15="","",XLOOKUP(C15,Constants!$A$30:$A$200,Constants!$B$30:$B$200,"",0))</f>
        <v/>
      </c>
      <c r="F15" s="6">
        <f>IF(C15="","",XLOOKUP(C15,Constants!$A$30:$A$200,Constants!$F$30:$F$200,"",0))</f>
        <v/>
      </c>
    </row>
    <row r="16">
      <c r="A16" s="8" t="n"/>
      <c r="B16" s="8" t="n"/>
      <c r="C16" s="8" t="n"/>
      <c r="D16" s="8" t="n"/>
      <c r="E16" s="6">
        <f>IF(C16="","",XLOOKUP(C16,Constants!$A$30:$A$200,Constants!$B$30:$B$200,"",0))</f>
        <v/>
      </c>
      <c r="F16" s="6">
        <f>IF(C16="","",XLOOKUP(C16,Constants!$A$30:$A$200,Constants!$F$30:$F$200,"",0))</f>
        <v/>
      </c>
    </row>
    <row r="17">
      <c r="A17" s="8" t="n"/>
      <c r="B17" s="8" t="n"/>
      <c r="C17" s="8" t="n"/>
      <c r="D17" s="8" t="n"/>
      <c r="E17" s="6">
        <f>IF(C17="","",XLOOKUP(C17,Constants!$A$30:$A$200,Constants!$B$30:$B$200,"",0))</f>
        <v/>
      </c>
      <c r="F17" s="6">
        <f>IF(C17="","",XLOOKUP(C17,Constants!$A$30:$A$200,Constants!$F$30:$F$200,"",0))</f>
        <v/>
      </c>
    </row>
    <row r="18">
      <c r="A18" s="8" t="n"/>
      <c r="B18" s="8" t="n"/>
      <c r="C18" s="8" t="n"/>
      <c r="D18" s="8" t="n"/>
      <c r="E18" s="6">
        <f>IF(C18="","",XLOOKUP(C18,Constants!$A$30:$A$200,Constants!$B$30:$B$200,"",0))</f>
        <v/>
      </c>
      <c r="F18" s="6">
        <f>IF(C18="","",XLOOKUP(C18,Constants!$A$30:$A$200,Constants!$F$30:$F$200,"",0))</f>
        <v/>
      </c>
    </row>
    <row r="19">
      <c r="A19" s="8" t="n"/>
      <c r="B19" s="8" t="n"/>
      <c r="C19" s="8" t="n"/>
      <c r="D19" s="8" t="n"/>
      <c r="E19" s="6">
        <f>IF(C19="","",XLOOKUP(C19,Constants!$A$30:$A$200,Constants!$B$30:$B$200,"",0))</f>
        <v/>
      </c>
      <c r="F19" s="6">
        <f>IF(C19="","",XLOOKUP(C19,Constants!$A$30:$A$200,Constants!$F$30:$F$200,"",0))</f>
        <v/>
      </c>
    </row>
    <row r="20">
      <c r="A20" s="8" t="n"/>
      <c r="B20" s="8" t="n"/>
      <c r="C20" s="8" t="n"/>
      <c r="D20" s="8" t="n"/>
      <c r="E20" s="6">
        <f>IF(C20="","",XLOOKUP(C20,Constants!$A$30:$A$200,Constants!$B$30:$B$200,"",0))</f>
        <v/>
      </c>
      <c r="F20" s="6">
        <f>IF(C20="","",XLOOKUP(C20,Constants!$A$30:$A$200,Constants!$F$30:$F$200,"",0))</f>
        <v/>
      </c>
    </row>
    <row r="21">
      <c r="A21" s="8" t="n"/>
      <c r="B21" s="8" t="n"/>
      <c r="C21" s="8" t="n"/>
      <c r="D21" s="8" t="n"/>
      <c r="E21" s="6">
        <f>IF(C21="","",XLOOKUP(C21,Constants!$A$30:$A$200,Constants!$B$30:$B$200,"",0))</f>
        <v/>
      </c>
      <c r="F21" s="6">
        <f>IF(C21="","",XLOOKUP(C21,Constants!$A$30:$A$200,Constants!$F$30:$F$200,"",0))</f>
        <v/>
      </c>
    </row>
    <row r="22">
      <c r="A22" s="8" t="n"/>
      <c r="B22" s="8" t="n"/>
      <c r="C22" s="8" t="n"/>
      <c r="D22" s="8" t="n"/>
      <c r="E22" s="6">
        <f>IF(C22="","",XLOOKUP(C22,Constants!$A$30:$A$200,Constants!$B$30:$B$200,"",0))</f>
        <v/>
      </c>
      <c r="F22" s="6">
        <f>IF(C22="","",XLOOKUP(C22,Constants!$A$30:$A$200,Constants!$F$30:$F$200,"",0))</f>
        <v/>
      </c>
    </row>
    <row r="23">
      <c r="A23" s="8" t="n"/>
      <c r="B23" s="8" t="n"/>
      <c r="C23" s="8" t="n"/>
      <c r="D23" s="8" t="n"/>
      <c r="E23" s="6">
        <f>IF(C23="","",XLOOKUP(C23,Constants!$A$30:$A$200,Constants!$B$30:$B$200,"",0))</f>
        <v/>
      </c>
      <c r="F23" s="6">
        <f>IF(C23="","",XLOOKUP(C23,Constants!$A$30:$A$200,Constants!$F$30:$F$200,"",0))</f>
        <v/>
      </c>
    </row>
    <row r="24">
      <c r="A24" s="8" t="n"/>
      <c r="B24" s="8" t="n"/>
      <c r="C24" s="8" t="n"/>
      <c r="D24" s="8" t="n"/>
      <c r="E24" s="6">
        <f>IF(C24="","",XLOOKUP(C24,Constants!$A$30:$A$200,Constants!$B$30:$B$200,"",0))</f>
        <v/>
      </c>
      <c r="F24" s="6">
        <f>IF(C24="","",XLOOKUP(C24,Constants!$A$30:$A$200,Constants!$F$30:$F$200,"",0))</f>
        <v/>
      </c>
    </row>
    <row r="25">
      <c r="A25" s="8" t="n"/>
      <c r="B25" s="8" t="n"/>
      <c r="C25" s="8" t="n"/>
      <c r="D25" s="8" t="n"/>
      <c r="E25" s="6">
        <f>IF(C25="","",XLOOKUP(C25,Constants!$A$30:$A$200,Constants!$B$30:$B$200,"",0))</f>
        <v/>
      </c>
      <c r="F25" s="6">
        <f>IF(C25="","",XLOOKUP(C25,Constants!$A$30:$A$200,Constants!$F$30:$F$200,"",0))</f>
        <v/>
      </c>
    </row>
    <row r="26">
      <c r="A26" s="8" t="n"/>
      <c r="B26" s="8" t="n"/>
      <c r="C26" s="8" t="n"/>
      <c r="D26" s="8" t="n"/>
      <c r="E26" s="6">
        <f>IF(C26="","",XLOOKUP(C26,Constants!$A$30:$A$200,Constants!$B$30:$B$200,"",0))</f>
        <v/>
      </c>
      <c r="F26" s="6">
        <f>IF(C26="","",XLOOKUP(C26,Constants!$A$30:$A$200,Constants!$F$30:$F$200,"",0))</f>
        <v/>
      </c>
    </row>
    <row r="27">
      <c r="A27" s="8" t="n"/>
      <c r="B27" s="8" t="n"/>
      <c r="C27" s="8" t="n"/>
      <c r="D27" s="8" t="n"/>
      <c r="E27" s="6">
        <f>IF(C27="","",XLOOKUP(C27,Constants!$A$30:$A$200,Constants!$B$30:$B$200,"",0))</f>
        <v/>
      </c>
      <c r="F27" s="6">
        <f>IF(C27="","",XLOOKUP(C27,Constants!$A$30:$A$200,Constants!$F$30:$F$200,"",0))</f>
        <v/>
      </c>
    </row>
    <row r="28">
      <c r="A28" s="8" t="n"/>
      <c r="B28" s="8" t="n"/>
      <c r="C28" s="8" t="n"/>
      <c r="D28" s="8" t="n"/>
      <c r="E28" s="6">
        <f>IF(C28="","",XLOOKUP(C28,Constants!$A$30:$A$200,Constants!$B$30:$B$200,"",0))</f>
        <v/>
      </c>
      <c r="F28" s="6">
        <f>IF(C28="","",XLOOKUP(C28,Constants!$A$30:$A$200,Constants!$F$30:$F$200,"",0))</f>
        <v/>
      </c>
    </row>
    <row r="29">
      <c r="A29" s="8" t="n"/>
      <c r="B29" s="8" t="n"/>
      <c r="C29" s="8" t="n"/>
      <c r="D29" s="8" t="n"/>
      <c r="E29" s="6">
        <f>IF(C29="","",XLOOKUP(C29,Constants!$A$30:$A$200,Constants!$B$30:$B$200,"",0))</f>
        <v/>
      </c>
      <c r="F29" s="6">
        <f>IF(C29="","",XLOOKUP(C29,Constants!$A$30:$A$200,Constants!$F$30:$F$200,"",0))</f>
        <v/>
      </c>
    </row>
    <row r="30">
      <c r="A30" s="8" t="n"/>
      <c r="B30" s="8" t="n"/>
      <c r="C30" s="8" t="n"/>
      <c r="D30" s="8" t="n"/>
      <c r="E30" s="6">
        <f>IF(C30="","",XLOOKUP(C30,Constants!$A$30:$A$200,Constants!$B$30:$B$200,"",0))</f>
        <v/>
      </c>
      <c r="F30" s="6">
        <f>IF(C30="","",XLOOKUP(C30,Constants!$A$30:$A$200,Constants!$F$30:$F$200,"",0))</f>
        <v/>
      </c>
    </row>
    <row r="31">
      <c r="A31" s="8" t="n"/>
      <c r="B31" s="8" t="n"/>
      <c r="C31" s="8" t="n"/>
      <c r="D31" s="8" t="n"/>
      <c r="E31" s="6">
        <f>IF(C31="","",XLOOKUP(C31,Constants!$A$30:$A$200,Constants!$B$30:$B$200,"",0))</f>
        <v/>
      </c>
      <c r="F31" s="6">
        <f>IF(C31="","",XLOOKUP(C31,Constants!$A$30:$A$200,Constants!$F$30:$F$200,"",0))</f>
        <v/>
      </c>
    </row>
    <row r="32">
      <c r="A32" s="8" t="n"/>
      <c r="B32" s="8" t="n"/>
      <c r="C32" s="8" t="n"/>
      <c r="D32" s="8" t="n"/>
      <c r="E32" s="6">
        <f>IF(C32="","",XLOOKUP(C32,Constants!$A$30:$A$200,Constants!$B$30:$B$200,"",0))</f>
        <v/>
      </c>
      <c r="F32" s="6">
        <f>IF(C32="","",XLOOKUP(C32,Constants!$A$30:$A$200,Constants!$F$30:$F$200,"",0))</f>
        <v/>
      </c>
    </row>
    <row r="33">
      <c r="A33" s="8" t="n"/>
      <c r="B33" s="8" t="n"/>
      <c r="C33" s="8" t="n"/>
      <c r="D33" s="8" t="n"/>
      <c r="E33" s="6">
        <f>IF(C33="","",XLOOKUP(C33,Constants!$A$30:$A$200,Constants!$B$30:$B$200,"",0))</f>
        <v/>
      </c>
      <c r="F33" s="6">
        <f>IF(C33="","",XLOOKUP(C33,Constants!$A$30:$A$200,Constants!$F$30:$F$200,"",0))</f>
        <v/>
      </c>
    </row>
    <row r="34">
      <c r="A34" s="8" t="n"/>
      <c r="B34" s="8" t="n"/>
      <c r="C34" s="8" t="n"/>
      <c r="D34" s="8" t="n"/>
      <c r="E34" s="6">
        <f>IF(C34="","",XLOOKUP(C34,Constants!$A$30:$A$200,Constants!$B$30:$B$200,"",0))</f>
        <v/>
      </c>
      <c r="F34" s="6">
        <f>IF(C34="","",XLOOKUP(C34,Constants!$A$30:$A$200,Constants!$F$30:$F$200,"",0))</f>
        <v/>
      </c>
    </row>
    <row r="35">
      <c r="A35" s="8" t="n"/>
      <c r="B35" s="8" t="n"/>
      <c r="C35" s="8" t="n"/>
      <c r="D35" s="8" t="n"/>
      <c r="E35" s="6">
        <f>IF(C35="","",XLOOKUP(C35,Constants!$A$30:$A$200,Constants!$B$30:$B$200,"",0))</f>
        <v/>
      </c>
      <c r="F35" s="6">
        <f>IF(C35="","",XLOOKUP(C35,Constants!$A$30:$A$200,Constants!$F$30:$F$200,"",0))</f>
        <v/>
      </c>
    </row>
    <row r="36">
      <c r="A36" s="8" t="n"/>
      <c r="B36" s="8" t="n"/>
      <c r="C36" s="8" t="n"/>
      <c r="D36" s="8" t="n"/>
      <c r="E36" s="6">
        <f>IF(C36="","",XLOOKUP(C36,Constants!$A$30:$A$200,Constants!$B$30:$B$200,"",0))</f>
        <v/>
      </c>
      <c r="F36" s="6">
        <f>IF(C36="","",XLOOKUP(C36,Constants!$A$30:$A$200,Constants!$F$30:$F$200,"",0))</f>
        <v/>
      </c>
    </row>
    <row r="37">
      <c r="A37" s="8" t="n"/>
      <c r="B37" s="8" t="n"/>
      <c r="C37" s="8" t="n"/>
      <c r="D37" s="8" t="n"/>
      <c r="E37" s="6">
        <f>IF(C37="","",XLOOKUP(C37,Constants!$A$30:$A$200,Constants!$B$30:$B$200,"",0))</f>
        <v/>
      </c>
      <c r="F37" s="6">
        <f>IF(C37="","",XLOOKUP(C37,Constants!$A$30:$A$200,Constants!$F$30:$F$200,"",0))</f>
        <v/>
      </c>
    </row>
    <row r="38">
      <c r="A38" s="8" t="n"/>
      <c r="B38" s="8" t="n"/>
      <c r="C38" s="8" t="n"/>
      <c r="D38" s="8" t="n"/>
      <c r="E38" s="6">
        <f>IF(C38="","",XLOOKUP(C38,Constants!$A$30:$A$200,Constants!$B$30:$B$200,"",0))</f>
        <v/>
      </c>
      <c r="F38" s="6">
        <f>IF(C38="","",XLOOKUP(C38,Constants!$A$30:$A$200,Constants!$F$30:$F$200,"",0))</f>
        <v/>
      </c>
    </row>
    <row r="39">
      <c r="A39" s="8" t="n"/>
      <c r="B39" s="8" t="n"/>
      <c r="C39" s="8" t="n"/>
      <c r="D39" s="8" t="n"/>
      <c r="E39" s="6">
        <f>IF(C39="","",XLOOKUP(C39,Constants!$A$30:$A$200,Constants!$B$30:$B$200,"",0))</f>
        <v/>
      </c>
      <c r="F39" s="6">
        <f>IF(C39="","",XLOOKUP(C39,Constants!$A$30:$A$200,Constants!$F$30:$F$200,"",0))</f>
        <v/>
      </c>
    </row>
    <row r="40">
      <c r="A40" s="8" t="n"/>
      <c r="B40" s="8" t="n"/>
      <c r="C40" s="8" t="n"/>
      <c r="D40" s="8" t="n"/>
      <c r="E40" s="6">
        <f>IF(C40="","",XLOOKUP(C40,Constants!$A$30:$A$200,Constants!$B$30:$B$200,"",0))</f>
        <v/>
      </c>
      <c r="F40" s="6">
        <f>IF(C40="","",XLOOKUP(C40,Constants!$A$30:$A$200,Constants!$F$30:$F$200,"",0))</f>
        <v/>
      </c>
    </row>
    <row r="41">
      <c r="A41" s="8" t="n"/>
      <c r="B41" s="8" t="n"/>
      <c r="C41" s="8" t="n"/>
      <c r="D41" s="8" t="n"/>
      <c r="E41" s="6">
        <f>IF(C41="","",XLOOKUP(C41,Constants!$A$30:$A$200,Constants!$B$30:$B$200,"",0))</f>
        <v/>
      </c>
      <c r="F41" s="6">
        <f>IF(C41="","",XLOOKUP(C41,Constants!$A$30:$A$200,Constants!$F$30:$F$200,"",0))</f>
        <v/>
      </c>
    </row>
    <row r="42">
      <c r="A42" s="8" t="n"/>
      <c r="B42" s="8" t="n"/>
      <c r="C42" s="8" t="n"/>
      <c r="D42" s="8" t="n"/>
      <c r="E42" s="6">
        <f>IF(C42="","",XLOOKUP(C42,Constants!$A$30:$A$200,Constants!$B$30:$B$200,"",0))</f>
        <v/>
      </c>
      <c r="F42" s="6">
        <f>IF(C42="","",XLOOKUP(C42,Constants!$A$30:$A$200,Constants!$F$30:$F$200,"",0))</f>
        <v/>
      </c>
    </row>
    <row r="43">
      <c r="A43" s="8" t="n"/>
      <c r="B43" s="8" t="n"/>
      <c r="C43" s="8" t="n"/>
      <c r="D43" s="8" t="n"/>
      <c r="E43" s="6">
        <f>IF(C43="","",XLOOKUP(C43,Constants!$A$30:$A$200,Constants!$B$30:$B$200,"",0))</f>
        <v/>
      </c>
      <c r="F43" s="6">
        <f>IF(C43="","",XLOOKUP(C43,Constants!$A$30:$A$200,Constants!$F$30:$F$200,"",0))</f>
        <v/>
      </c>
    </row>
    <row r="44">
      <c r="A44" s="8" t="n"/>
      <c r="B44" s="8" t="n"/>
      <c r="C44" s="8" t="n"/>
      <c r="D44" s="8" t="n"/>
      <c r="E44" s="6">
        <f>IF(C44="","",XLOOKUP(C44,Constants!$A$30:$A$200,Constants!$B$30:$B$200,"",0))</f>
        <v/>
      </c>
      <c r="F44" s="6">
        <f>IF(C44="","",XLOOKUP(C44,Constants!$A$30:$A$200,Constants!$F$30:$F$200,"",0))</f>
        <v/>
      </c>
    </row>
    <row r="45">
      <c r="A45" s="8" t="n"/>
      <c r="B45" s="8" t="n"/>
      <c r="C45" s="8" t="n"/>
      <c r="D45" s="8" t="n"/>
      <c r="E45" s="6">
        <f>IF(C45="","",XLOOKUP(C45,Constants!$A$30:$A$200,Constants!$B$30:$B$200,"",0))</f>
        <v/>
      </c>
      <c r="F45" s="6">
        <f>IF(C45="","",XLOOKUP(C45,Constants!$A$30:$A$200,Constants!$F$30:$F$200,"",0))</f>
        <v/>
      </c>
    </row>
    <row r="46">
      <c r="A46" s="8" t="n"/>
      <c r="B46" s="8" t="n"/>
      <c r="C46" s="8" t="n"/>
      <c r="D46" s="8" t="n"/>
      <c r="E46" s="6">
        <f>IF(C46="","",XLOOKUP(C46,Constants!$A$30:$A$200,Constants!$B$30:$B$200,"",0))</f>
        <v/>
      </c>
      <c r="F46" s="6">
        <f>IF(C46="","",XLOOKUP(C46,Constants!$A$30:$A$200,Constants!$F$30:$F$200,"",0))</f>
        <v/>
      </c>
    </row>
    <row r="47">
      <c r="A47" s="8" t="n"/>
      <c r="B47" s="8" t="n"/>
      <c r="C47" s="8" t="n"/>
      <c r="D47" s="8" t="n"/>
      <c r="E47" s="6">
        <f>IF(C47="","",XLOOKUP(C47,Constants!$A$30:$A$200,Constants!$B$30:$B$200,"",0))</f>
        <v/>
      </c>
      <c r="F47" s="6">
        <f>IF(C47="","",XLOOKUP(C47,Constants!$A$30:$A$200,Constants!$F$30:$F$200,"",0))</f>
        <v/>
      </c>
    </row>
    <row r="48">
      <c r="A48" s="8" t="n"/>
      <c r="B48" s="8" t="n"/>
      <c r="C48" s="8" t="n"/>
      <c r="D48" s="8" t="n"/>
      <c r="E48" s="6">
        <f>IF(C48="","",XLOOKUP(C48,Constants!$A$30:$A$200,Constants!$B$30:$B$200,"",0))</f>
        <v/>
      </c>
      <c r="F48" s="6">
        <f>IF(C48="","",XLOOKUP(C48,Constants!$A$30:$A$200,Constants!$F$30:$F$200,"",0))</f>
        <v/>
      </c>
    </row>
    <row r="49">
      <c r="A49" s="8" t="n"/>
      <c r="B49" s="8" t="n"/>
      <c r="C49" s="8" t="n"/>
      <c r="D49" s="8" t="n"/>
      <c r="E49" s="6">
        <f>IF(C49="","",XLOOKUP(C49,Constants!$A$30:$A$200,Constants!$B$30:$B$200,"",0))</f>
        <v/>
      </c>
      <c r="F49" s="6">
        <f>IF(C49="","",XLOOKUP(C49,Constants!$A$30:$A$200,Constants!$F$30:$F$200,"",0))</f>
        <v/>
      </c>
    </row>
    <row r="50">
      <c r="A50" s="8" t="n"/>
      <c r="B50" s="8" t="n"/>
      <c r="C50" s="8" t="n"/>
      <c r="D50" s="8" t="n"/>
      <c r="E50" s="6">
        <f>IF(C50="","",XLOOKUP(C50,Constants!$A$30:$A$200,Constants!$B$30:$B$200,"",0))</f>
        <v/>
      </c>
      <c r="F50" s="6">
        <f>IF(C50="","",XLOOKUP(C50,Constants!$A$30:$A$200,Constants!$F$30:$F$200,"",0))</f>
        <v/>
      </c>
    </row>
    <row r="51">
      <c r="A51" s="8" t="n"/>
      <c r="B51" s="8" t="n"/>
      <c r="C51" s="8" t="n"/>
      <c r="D51" s="8" t="n"/>
      <c r="E51" s="6">
        <f>IF(C51="","",XLOOKUP(C51,Constants!$A$30:$A$200,Constants!$B$30:$B$200,"",0))</f>
        <v/>
      </c>
      <c r="F51" s="6">
        <f>IF(C51="","",XLOOKUP(C51,Constants!$A$30:$A$200,Constants!$F$30:$F$200,"",0))</f>
        <v/>
      </c>
    </row>
    <row r="52">
      <c r="A52" s="8" t="n"/>
      <c r="B52" s="8" t="n"/>
      <c r="C52" s="8" t="n"/>
      <c r="D52" s="8" t="n"/>
      <c r="E52" s="6">
        <f>IF(C52="","",XLOOKUP(C52,Constants!$A$30:$A$200,Constants!$B$30:$B$200,"",0))</f>
        <v/>
      </c>
      <c r="F52" s="6">
        <f>IF(C52="","",XLOOKUP(C52,Constants!$A$30:$A$200,Constants!$F$30:$F$200,"",0))</f>
        <v/>
      </c>
    </row>
    <row r="53">
      <c r="A53" s="8" t="n"/>
      <c r="B53" s="8" t="n"/>
      <c r="C53" s="8" t="n"/>
      <c r="D53" s="8" t="n"/>
      <c r="E53" s="6">
        <f>IF(C53="","",XLOOKUP(C53,Constants!$A$30:$A$200,Constants!$B$30:$B$200,"",0))</f>
        <v/>
      </c>
      <c r="F53" s="6">
        <f>IF(C53="","",XLOOKUP(C53,Constants!$A$30:$A$200,Constants!$F$30:$F$200,"",0))</f>
        <v/>
      </c>
    </row>
    <row r="54">
      <c r="A54" s="8" t="n"/>
      <c r="B54" s="8" t="n"/>
      <c r="C54" s="8" t="n"/>
      <c r="D54" s="8" t="n"/>
      <c r="E54" s="6">
        <f>IF(C54="","",XLOOKUP(C54,Constants!$A$30:$A$200,Constants!$B$30:$B$200,"",0))</f>
        <v/>
      </c>
      <c r="F54" s="6">
        <f>IF(C54="","",XLOOKUP(C54,Constants!$A$30:$A$200,Constants!$F$30:$F$200,"",0))</f>
        <v/>
      </c>
    </row>
    <row r="55">
      <c r="A55" s="8" t="n"/>
      <c r="B55" s="8" t="n"/>
      <c r="C55" s="8" t="n"/>
      <c r="D55" s="8" t="n"/>
      <c r="E55" s="6">
        <f>IF(C55="","",XLOOKUP(C55,Constants!$A$30:$A$200,Constants!$B$30:$B$200,"",0))</f>
        <v/>
      </c>
      <c r="F55" s="6">
        <f>IF(C55="","",XLOOKUP(C55,Constants!$A$30:$A$200,Constants!$F$30:$F$200,"",0))</f>
        <v/>
      </c>
    </row>
    <row r="56">
      <c r="A56" s="8" t="n"/>
      <c r="B56" s="8" t="n"/>
      <c r="C56" s="8" t="n"/>
      <c r="D56" s="8" t="n"/>
      <c r="E56" s="6">
        <f>IF(C56="","",XLOOKUP(C56,Constants!$A$30:$A$200,Constants!$B$30:$B$200,"",0))</f>
        <v/>
      </c>
      <c r="F56" s="6">
        <f>IF(C56="","",XLOOKUP(C56,Constants!$A$30:$A$200,Constants!$F$30:$F$200,"",0))</f>
        <v/>
      </c>
    </row>
    <row r="57">
      <c r="A57" s="8" t="n"/>
      <c r="B57" s="8" t="n"/>
      <c r="C57" s="8" t="n"/>
      <c r="D57" s="8" t="n"/>
      <c r="E57" s="6">
        <f>IF(C57="","",XLOOKUP(C57,Constants!$A$30:$A$200,Constants!$B$30:$B$200,"",0))</f>
        <v/>
      </c>
      <c r="F57" s="6">
        <f>IF(C57="","",XLOOKUP(C57,Constants!$A$30:$A$200,Constants!$F$30:$F$200,"",0))</f>
        <v/>
      </c>
    </row>
    <row r="58">
      <c r="A58" s="8" t="n"/>
      <c r="B58" s="8" t="n"/>
      <c r="C58" s="8" t="n"/>
      <c r="D58" s="8" t="n"/>
      <c r="E58" s="6">
        <f>IF(C58="","",XLOOKUP(C58,Constants!$A$30:$A$200,Constants!$B$30:$B$200,"",0))</f>
        <v/>
      </c>
      <c r="F58" s="6">
        <f>IF(C58="","",XLOOKUP(C58,Constants!$A$30:$A$200,Constants!$F$30:$F$200,"",0))</f>
        <v/>
      </c>
    </row>
    <row r="59">
      <c r="A59" s="8" t="n"/>
      <c r="B59" s="8" t="n"/>
      <c r="C59" s="8" t="n"/>
      <c r="D59" s="8" t="n"/>
      <c r="E59" s="6">
        <f>IF(C59="","",XLOOKUP(C59,Constants!$A$30:$A$200,Constants!$B$30:$B$200,"",0))</f>
        <v/>
      </c>
      <c r="F59" s="6">
        <f>IF(C59="","",XLOOKUP(C59,Constants!$A$30:$A$200,Constants!$F$30:$F$200,"",0))</f>
        <v/>
      </c>
    </row>
    <row r="60">
      <c r="A60" s="8" t="n"/>
      <c r="B60" s="8" t="n"/>
      <c r="C60" s="8" t="n"/>
      <c r="D60" s="8" t="n"/>
      <c r="E60" s="6">
        <f>IF(C60="","",XLOOKUP(C60,Constants!$A$30:$A$200,Constants!$B$30:$B$200,"",0))</f>
        <v/>
      </c>
      <c r="F60" s="6">
        <f>IF(C60="","",XLOOKUP(C60,Constants!$A$30:$A$200,Constants!$F$30:$F$200,"",0))</f>
        <v/>
      </c>
    </row>
    <row r="61">
      <c r="A61" s="8" t="n"/>
      <c r="B61" s="8" t="n"/>
      <c r="C61" s="8" t="n"/>
      <c r="D61" s="8" t="n"/>
      <c r="E61" s="6">
        <f>IF(C61="","",XLOOKUP(C61,Constants!$A$30:$A$200,Constants!$B$30:$B$200,"",0))</f>
        <v/>
      </c>
      <c r="F61" s="6">
        <f>IF(C61="","",XLOOKUP(C61,Constants!$A$30:$A$200,Constants!$F$30:$F$200,"",0))</f>
        <v/>
      </c>
    </row>
    <row r="62">
      <c r="A62" s="8" t="n"/>
      <c r="B62" s="8" t="n"/>
      <c r="C62" s="8" t="n"/>
      <c r="D62" s="8" t="n"/>
      <c r="E62" s="6">
        <f>IF(C62="","",XLOOKUP(C62,Constants!$A$30:$A$200,Constants!$B$30:$B$200,"",0))</f>
        <v/>
      </c>
      <c r="F62" s="6">
        <f>IF(C62="","",XLOOKUP(C62,Constants!$A$30:$A$200,Constants!$F$30:$F$200,"",0))</f>
        <v/>
      </c>
    </row>
    <row r="63">
      <c r="A63" s="8" t="n"/>
      <c r="B63" s="8" t="n"/>
      <c r="C63" s="8" t="n"/>
      <c r="D63" s="8" t="n"/>
      <c r="E63" s="6">
        <f>IF(C63="","",XLOOKUP(C63,Constants!$A$30:$A$200,Constants!$B$30:$B$200,"",0))</f>
        <v/>
      </c>
      <c r="F63" s="6">
        <f>IF(C63="","",XLOOKUP(C63,Constants!$A$30:$A$200,Constants!$F$30:$F$200,"",0))</f>
        <v/>
      </c>
    </row>
    <row r="64">
      <c r="A64" s="8" t="n"/>
      <c r="B64" s="8" t="n"/>
      <c r="C64" s="8" t="n"/>
      <c r="D64" s="8" t="n"/>
      <c r="E64" s="6">
        <f>IF(C64="","",XLOOKUP(C64,Constants!$A$30:$A$200,Constants!$B$30:$B$200,"",0))</f>
        <v/>
      </c>
      <c r="F64" s="6">
        <f>IF(C64="","",XLOOKUP(C64,Constants!$A$30:$A$200,Constants!$F$30:$F$200,"",0))</f>
        <v/>
      </c>
    </row>
    <row r="65">
      <c r="A65" s="8" t="n"/>
      <c r="B65" s="8" t="n"/>
      <c r="C65" s="8" t="n"/>
      <c r="D65" s="8" t="n"/>
      <c r="E65" s="6">
        <f>IF(C65="","",XLOOKUP(C65,Constants!$A$30:$A$200,Constants!$B$30:$B$200,"",0))</f>
        <v/>
      </c>
      <c r="F65" s="6">
        <f>IF(C65="","",XLOOKUP(C65,Constants!$A$30:$A$200,Constants!$F$30:$F$200,"",0))</f>
        <v/>
      </c>
    </row>
    <row r="66">
      <c r="A66" s="8" t="n"/>
      <c r="B66" s="8" t="n"/>
      <c r="C66" s="8" t="n"/>
      <c r="D66" s="8" t="n"/>
      <c r="E66" s="6">
        <f>IF(C66="","",XLOOKUP(C66,Constants!$A$30:$A$200,Constants!$B$30:$B$200,"",0))</f>
        <v/>
      </c>
      <c r="F66" s="6">
        <f>IF(C66="","",XLOOKUP(C66,Constants!$A$30:$A$200,Constants!$F$30:$F$200,"",0))</f>
        <v/>
      </c>
    </row>
    <row r="67">
      <c r="A67" s="8" t="n"/>
      <c r="B67" s="8" t="n"/>
      <c r="C67" s="8" t="n"/>
      <c r="D67" s="8" t="n"/>
      <c r="E67" s="6">
        <f>IF(C67="","",XLOOKUP(C67,Constants!$A$30:$A$200,Constants!$B$30:$B$200,"",0))</f>
        <v/>
      </c>
      <c r="F67" s="6">
        <f>IF(C67="","",XLOOKUP(C67,Constants!$A$30:$A$200,Constants!$F$30:$F$200,"",0))</f>
        <v/>
      </c>
    </row>
    <row r="68">
      <c r="A68" s="8" t="n"/>
      <c r="B68" s="8" t="n"/>
      <c r="C68" s="8" t="n"/>
      <c r="D68" s="8" t="n"/>
      <c r="E68" s="6">
        <f>IF(C68="","",XLOOKUP(C68,Constants!$A$30:$A$200,Constants!$B$30:$B$200,"",0))</f>
        <v/>
      </c>
      <c r="F68" s="6">
        <f>IF(C68="","",XLOOKUP(C68,Constants!$A$30:$A$200,Constants!$F$30:$F$200,"",0))</f>
        <v/>
      </c>
    </row>
    <row r="69">
      <c r="A69" s="8" t="n"/>
      <c r="B69" s="8" t="n"/>
      <c r="C69" s="8" t="n"/>
      <c r="D69" s="8" t="n"/>
      <c r="E69" s="6">
        <f>IF(C69="","",XLOOKUP(C69,Constants!$A$30:$A$200,Constants!$B$30:$B$200,"",0))</f>
        <v/>
      </c>
      <c r="F69" s="6">
        <f>IF(C69="","",XLOOKUP(C69,Constants!$A$30:$A$200,Constants!$F$30:$F$200,"",0))</f>
        <v/>
      </c>
    </row>
    <row r="70">
      <c r="A70" s="8" t="n"/>
      <c r="B70" s="8" t="n"/>
      <c r="C70" s="8" t="n"/>
      <c r="D70" s="8" t="n"/>
      <c r="E70" s="6">
        <f>IF(C70="","",XLOOKUP(C70,Constants!$A$30:$A$200,Constants!$B$30:$B$200,"",0))</f>
        <v/>
      </c>
      <c r="F70" s="6">
        <f>IF(C70="","",XLOOKUP(C70,Constants!$A$30:$A$200,Constants!$F$30:$F$200,"",0))</f>
        <v/>
      </c>
    </row>
    <row r="71">
      <c r="A71" s="8" t="n"/>
      <c r="B71" s="8" t="n"/>
      <c r="C71" s="8" t="n"/>
      <c r="D71" s="8" t="n"/>
      <c r="E71" s="6">
        <f>IF(C71="","",XLOOKUP(C71,Constants!$A$30:$A$200,Constants!$B$30:$B$200,"",0))</f>
        <v/>
      </c>
      <c r="F71" s="6">
        <f>IF(C71="","",XLOOKUP(C71,Constants!$A$30:$A$200,Constants!$F$30:$F$200,"",0))</f>
        <v/>
      </c>
    </row>
    <row r="72">
      <c r="A72" s="8" t="n"/>
      <c r="B72" s="8" t="n"/>
      <c r="C72" s="8" t="n"/>
      <c r="D72" s="8" t="n"/>
      <c r="E72" s="6">
        <f>IF(C72="","",XLOOKUP(C72,Constants!$A$30:$A$200,Constants!$B$30:$B$200,"",0))</f>
        <v/>
      </c>
      <c r="F72" s="6">
        <f>IF(C72="","",XLOOKUP(C72,Constants!$A$30:$A$200,Constants!$F$30:$F$200,"",0))</f>
        <v/>
      </c>
    </row>
    <row r="73">
      <c r="A73" s="8" t="n"/>
      <c r="B73" s="8" t="n"/>
      <c r="C73" s="8" t="n"/>
      <c r="D73" s="8" t="n"/>
      <c r="E73" s="6">
        <f>IF(C73="","",XLOOKUP(C73,Constants!$A$30:$A$200,Constants!$B$30:$B$200,"",0))</f>
        <v/>
      </c>
      <c r="F73" s="6">
        <f>IF(C73="","",XLOOKUP(C73,Constants!$A$30:$A$200,Constants!$F$30:$F$200,"",0))</f>
        <v/>
      </c>
    </row>
    <row r="74">
      <c r="A74" s="8" t="n"/>
      <c r="B74" s="8" t="n"/>
      <c r="C74" s="8" t="n"/>
      <c r="D74" s="8" t="n"/>
      <c r="E74" s="6">
        <f>IF(C74="","",XLOOKUP(C74,Constants!$A$30:$A$200,Constants!$B$30:$B$200,"",0))</f>
        <v/>
      </c>
      <c r="F74" s="6">
        <f>IF(C74="","",XLOOKUP(C74,Constants!$A$30:$A$200,Constants!$F$30:$F$200,"",0))</f>
        <v/>
      </c>
    </row>
    <row r="75">
      <c r="A75" s="8" t="n"/>
      <c r="B75" s="8" t="n"/>
      <c r="C75" s="8" t="n"/>
      <c r="D75" s="8" t="n"/>
      <c r="E75" s="6">
        <f>IF(C75="","",XLOOKUP(C75,Constants!$A$30:$A$200,Constants!$B$30:$B$200,"",0))</f>
        <v/>
      </c>
      <c r="F75" s="6">
        <f>IF(C75="","",XLOOKUP(C75,Constants!$A$30:$A$200,Constants!$F$30:$F$200,"",0))</f>
        <v/>
      </c>
    </row>
    <row r="76">
      <c r="A76" s="8" t="n"/>
      <c r="B76" s="8" t="n"/>
      <c r="C76" s="8" t="n"/>
      <c r="D76" s="8" t="n"/>
      <c r="E76" s="6">
        <f>IF(C76="","",XLOOKUP(C76,Constants!$A$30:$A$200,Constants!$B$30:$B$200,"",0))</f>
        <v/>
      </c>
      <c r="F76" s="6">
        <f>IF(C76="","",XLOOKUP(C76,Constants!$A$30:$A$200,Constants!$F$30:$F$200,"",0))</f>
        <v/>
      </c>
    </row>
    <row r="77">
      <c r="A77" s="8" t="n"/>
      <c r="B77" s="8" t="n"/>
      <c r="C77" s="8" t="n"/>
      <c r="D77" s="8" t="n"/>
      <c r="E77" s="6">
        <f>IF(C77="","",XLOOKUP(C77,Constants!$A$30:$A$200,Constants!$B$30:$B$200,"",0))</f>
        <v/>
      </c>
      <c r="F77" s="6">
        <f>IF(C77="","",XLOOKUP(C77,Constants!$A$30:$A$200,Constants!$F$30:$F$200,"",0))</f>
        <v/>
      </c>
    </row>
    <row r="78">
      <c r="A78" s="8" t="n"/>
      <c r="B78" s="8" t="n"/>
      <c r="C78" s="8" t="n"/>
      <c r="D78" s="8" t="n"/>
      <c r="E78" s="6">
        <f>IF(C78="","",XLOOKUP(C78,Constants!$A$30:$A$200,Constants!$B$30:$B$200,"",0))</f>
        <v/>
      </c>
      <c r="F78" s="6">
        <f>IF(C78="","",XLOOKUP(C78,Constants!$A$30:$A$200,Constants!$F$30:$F$200,"",0))</f>
        <v/>
      </c>
    </row>
    <row r="79">
      <c r="A79" s="8" t="n"/>
      <c r="B79" s="8" t="n"/>
      <c r="C79" s="8" t="n"/>
      <c r="D79" s="8" t="n"/>
      <c r="E79" s="6">
        <f>IF(C79="","",XLOOKUP(C79,Constants!$A$30:$A$200,Constants!$B$30:$B$200,"",0))</f>
        <v/>
      </c>
      <c r="F79" s="6">
        <f>IF(C79="","",XLOOKUP(C79,Constants!$A$30:$A$200,Constants!$F$30:$F$200,"",0))</f>
        <v/>
      </c>
    </row>
    <row r="80">
      <c r="A80" s="8" t="n"/>
      <c r="B80" s="8" t="n"/>
      <c r="C80" s="8" t="n"/>
      <c r="D80" s="8" t="n"/>
      <c r="E80" s="6">
        <f>IF(C80="","",XLOOKUP(C80,Constants!$A$30:$A$200,Constants!$B$30:$B$200,"",0))</f>
        <v/>
      </c>
      <c r="F80" s="6">
        <f>IF(C80="","",XLOOKUP(C80,Constants!$A$30:$A$200,Constants!$F$30:$F$200,"",0))</f>
        <v/>
      </c>
    </row>
    <row r="81">
      <c r="A81" s="8" t="n"/>
      <c r="B81" s="8" t="n"/>
      <c r="C81" s="8" t="n"/>
      <c r="D81" s="8" t="n"/>
      <c r="E81" s="6">
        <f>IF(C81="","",XLOOKUP(C81,Constants!$A$30:$A$200,Constants!$B$30:$B$200,"",0))</f>
        <v/>
      </c>
      <c r="F81" s="6">
        <f>IF(C81="","",XLOOKUP(C81,Constants!$A$30:$A$200,Constants!$F$30:$F$200,"",0))</f>
        <v/>
      </c>
    </row>
    <row r="82">
      <c r="A82" s="8" t="n"/>
      <c r="B82" s="8" t="n"/>
      <c r="C82" s="8" t="n"/>
      <c r="D82" s="8" t="n"/>
      <c r="E82" s="6">
        <f>IF(C82="","",XLOOKUP(C82,Constants!$A$30:$A$200,Constants!$B$30:$B$200,"",0))</f>
        <v/>
      </c>
      <c r="F82" s="6">
        <f>IF(C82="","",XLOOKUP(C82,Constants!$A$30:$A$200,Constants!$F$30:$F$200,"",0))</f>
        <v/>
      </c>
    </row>
    <row r="83">
      <c r="A83" s="8" t="n"/>
      <c r="B83" s="8" t="n"/>
      <c r="C83" s="8" t="n"/>
      <c r="D83" s="8" t="n"/>
      <c r="E83" s="6">
        <f>IF(C83="","",XLOOKUP(C83,Constants!$A$30:$A$200,Constants!$B$30:$B$200,"",0))</f>
        <v/>
      </c>
      <c r="F83" s="6">
        <f>IF(C83="","",XLOOKUP(C83,Constants!$A$30:$A$200,Constants!$F$30:$F$200,"",0))</f>
        <v/>
      </c>
    </row>
    <row r="84">
      <c r="A84" s="8" t="n"/>
      <c r="B84" s="8" t="n"/>
      <c r="C84" s="8" t="n"/>
      <c r="D84" s="8" t="n"/>
      <c r="E84" s="6">
        <f>IF(C84="","",XLOOKUP(C84,Constants!$A$30:$A$200,Constants!$B$30:$B$200,"",0))</f>
        <v/>
      </c>
      <c r="F84" s="6">
        <f>IF(C84="","",XLOOKUP(C84,Constants!$A$30:$A$200,Constants!$F$30:$F$200,"",0))</f>
        <v/>
      </c>
    </row>
    <row r="85">
      <c r="A85" s="8" t="n"/>
      <c r="B85" s="8" t="n"/>
      <c r="C85" s="8" t="n"/>
      <c r="D85" s="8" t="n"/>
      <c r="E85" s="6">
        <f>IF(C85="","",XLOOKUP(C85,Constants!$A$30:$A$200,Constants!$B$30:$B$200,"",0))</f>
        <v/>
      </c>
      <c r="F85" s="6">
        <f>IF(C85="","",XLOOKUP(C85,Constants!$A$30:$A$200,Constants!$F$30:$F$200,"",0))</f>
        <v/>
      </c>
    </row>
    <row r="86">
      <c r="A86" s="8" t="n"/>
      <c r="B86" s="8" t="n"/>
      <c r="C86" s="8" t="n"/>
      <c r="D86" s="8" t="n"/>
      <c r="E86" s="6">
        <f>IF(C86="","",XLOOKUP(C86,Constants!$A$30:$A$200,Constants!$B$30:$B$200,"",0))</f>
        <v/>
      </c>
      <c r="F86" s="6">
        <f>IF(C86="","",XLOOKUP(C86,Constants!$A$30:$A$200,Constants!$F$30:$F$200,"",0))</f>
        <v/>
      </c>
    </row>
    <row r="87">
      <c r="A87" s="8" t="n"/>
      <c r="B87" s="8" t="n"/>
      <c r="C87" s="8" t="n"/>
      <c r="D87" s="8" t="n"/>
      <c r="E87" s="6">
        <f>IF(C87="","",XLOOKUP(C87,Constants!$A$30:$A$200,Constants!$B$30:$B$200,"",0))</f>
        <v/>
      </c>
      <c r="F87" s="6">
        <f>IF(C87="","",XLOOKUP(C87,Constants!$A$30:$A$200,Constants!$F$30:$F$200,"",0))</f>
        <v/>
      </c>
    </row>
    <row r="88">
      <c r="A88" s="8" t="n"/>
      <c r="B88" s="8" t="n"/>
      <c r="C88" s="8" t="n"/>
      <c r="D88" s="8" t="n"/>
      <c r="E88" s="6">
        <f>IF(C88="","",XLOOKUP(C88,Constants!$A$30:$A$200,Constants!$B$30:$B$200,"",0))</f>
        <v/>
      </c>
      <c r="F88" s="6">
        <f>IF(C88="","",XLOOKUP(C88,Constants!$A$30:$A$200,Constants!$F$30:$F$200,"",0))</f>
        <v/>
      </c>
    </row>
    <row r="89">
      <c r="A89" s="8" t="n"/>
      <c r="B89" s="8" t="n"/>
      <c r="C89" s="8" t="n"/>
      <c r="D89" s="8" t="n"/>
      <c r="E89" s="6">
        <f>IF(C89="","",XLOOKUP(C89,Constants!$A$30:$A$200,Constants!$B$30:$B$200,"",0))</f>
        <v/>
      </c>
      <c r="F89" s="6">
        <f>IF(C89="","",XLOOKUP(C89,Constants!$A$30:$A$200,Constants!$F$30:$F$200,"",0))</f>
        <v/>
      </c>
    </row>
    <row r="90">
      <c r="A90" s="8" t="n"/>
      <c r="B90" s="8" t="n"/>
      <c r="C90" s="8" t="n"/>
      <c r="D90" s="8" t="n"/>
      <c r="E90" s="6">
        <f>IF(C90="","",XLOOKUP(C90,Constants!$A$30:$A$200,Constants!$B$30:$B$200,"",0))</f>
        <v/>
      </c>
      <c r="F90" s="6">
        <f>IF(C90="","",XLOOKUP(C90,Constants!$A$30:$A$200,Constants!$F$30:$F$200,"",0))</f>
        <v/>
      </c>
    </row>
    <row r="91">
      <c r="A91" s="8" t="n"/>
      <c r="B91" s="8" t="n"/>
      <c r="C91" s="8" t="n"/>
      <c r="D91" s="8" t="n"/>
      <c r="E91" s="6">
        <f>IF(C91="","",XLOOKUP(C91,Constants!$A$30:$A$200,Constants!$B$30:$B$200,"",0))</f>
        <v/>
      </c>
      <c r="F91" s="6">
        <f>IF(C91="","",XLOOKUP(C91,Constants!$A$30:$A$200,Constants!$F$30:$F$200,"",0))</f>
        <v/>
      </c>
    </row>
    <row r="92">
      <c r="A92" s="8" t="n"/>
      <c r="B92" s="8" t="n"/>
      <c r="C92" s="8" t="n"/>
      <c r="D92" s="8" t="n"/>
      <c r="E92" s="6">
        <f>IF(C92="","",XLOOKUP(C92,Constants!$A$30:$A$200,Constants!$B$30:$B$200,"",0))</f>
        <v/>
      </c>
      <c r="F92" s="6">
        <f>IF(C92="","",XLOOKUP(C92,Constants!$A$30:$A$200,Constants!$F$30:$F$200,"",0))</f>
        <v/>
      </c>
    </row>
    <row r="93">
      <c r="A93" s="8" t="n"/>
      <c r="B93" s="8" t="n"/>
      <c r="C93" s="8" t="n"/>
      <c r="D93" s="8" t="n"/>
      <c r="E93" s="6">
        <f>IF(C93="","",XLOOKUP(C93,Constants!$A$30:$A$200,Constants!$B$30:$B$200,"",0))</f>
        <v/>
      </c>
      <c r="F93" s="6">
        <f>IF(C93="","",XLOOKUP(C93,Constants!$A$30:$A$200,Constants!$F$30:$F$200,"",0))</f>
        <v/>
      </c>
    </row>
    <row r="94">
      <c r="A94" s="8" t="n"/>
      <c r="B94" s="8" t="n"/>
      <c r="C94" s="8" t="n"/>
      <c r="D94" s="8" t="n"/>
      <c r="E94" s="6">
        <f>IF(C94="","",XLOOKUP(C94,Constants!$A$30:$A$200,Constants!$B$30:$B$200,"",0))</f>
        <v/>
      </c>
      <c r="F94" s="6">
        <f>IF(C94="","",XLOOKUP(C94,Constants!$A$30:$A$200,Constants!$F$30:$F$200,"",0))</f>
        <v/>
      </c>
    </row>
    <row r="95">
      <c r="A95" s="8" t="n"/>
      <c r="B95" s="8" t="n"/>
      <c r="C95" s="8" t="n"/>
      <c r="D95" s="8" t="n"/>
      <c r="E95" s="6">
        <f>IF(C95="","",XLOOKUP(C95,Constants!$A$30:$A$200,Constants!$B$30:$B$200,"",0))</f>
        <v/>
      </c>
      <c r="F95" s="6">
        <f>IF(C95="","",XLOOKUP(C95,Constants!$A$30:$A$200,Constants!$F$30:$F$200,"",0))</f>
        <v/>
      </c>
    </row>
    <row r="96">
      <c r="A96" s="8" t="n"/>
      <c r="B96" s="8" t="n"/>
      <c r="C96" s="8" t="n"/>
      <c r="D96" s="8" t="n"/>
      <c r="E96" s="6">
        <f>IF(C96="","",XLOOKUP(C96,Constants!$A$30:$A$200,Constants!$B$30:$B$200,"",0))</f>
        <v/>
      </c>
      <c r="F96" s="6">
        <f>IF(C96="","",XLOOKUP(C96,Constants!$A$30:$A$200,Constants!$F$30:$F$200,"",0))</f>
        <v/>
      </c>
    </row>
    <row r="97">
      <c r="A97" s="8" t="n"/>
      <c r="B97" s="8" t="n"/>
      <c r="C97" s="8" t="n"/>
      <c r="D97" s="8" t="n"/>
      <c r="E97" s="6">
        <f>IF(C97="","",XLOOKUP(C97,Constants!$A$30:$A$200,Constants!$B$30:$B$200,"",0))</f>
        <v/>
      </c>
      <c r="F97" s="6">
        <f>IF(C97="","",XLOOKUP(C97,Constants!$A$30:$A$200,Constants!$F$30:$F$200,"",0))</f>
        <v/>
      </c>
    </row>
    <row r="98">
      <c r="A98" s="8" t="n"/>
      <c r="B98" s="8" t="n"/>
      <c r="C98" s="8" t="n"/>
      <c r="D98" s="8" t="n"/>
      <c r="E98" s="6">
        <f>IF(C98="","",XLOOKUP(C98,Constants!$A$30:$A$200,Constants!$B$30:$B$200,"",0))</f>
        <v/>
      </c>
      <c r="F98" s="6">
        <f>IF(C98="","",XLOOKUP(C98,Constants!$A$30:$A$200,Constants!$F$30:$F$200,"",0))</f>
        <v/>
      </c>
    </row>
    <row r="99">
      <c r="A99" s="8" t="n"/>
      <c r="B99" s="8" t="n"/>
      <c r="C99" s="8" t="n"/>
      <c r="D99" s="8" t="n"/>
      <c r="E99" s="6">
        <f>IF(C99="","",XLOOKUP(C99,Constants!$A$30:$A$200,Constants!$B$30:$B$200,"",0))</f>
        <v/>
      </c>
      <c r="F99" s="6">
        <f>IF(C99="","",XLOOKUP(C99,Constants!$A$30:$A$200,Constants!$F$30:$F$200,"",0))</f>
        <v/>
      </c>
    </row>
    <row r="100">
      <c r="A100" s="8" t="n"/>
      <c r="B100" s="8" t="n"/>
      <c r="C100" s="8" t="n"/>
      <c r="D100" s="8" t="n"/>
      <c r="E100" s="6">
        <f>IF(C100="","",XLOOKUP(C100,Constants!$A$30:$A$200,Constants!$B$30:$B$200,"",0))</f>
        <v/>
      </c>
      <c r="F100" s="6">
        <f>IF(C100="","",XLOOKUP(C100,Constants!$A$30:$A$200,Constants!$F$30:$F$200,"",0))</f>
        <v/>
      </c>
    </row>
    <row r="101">
      <c r="A101" s="8" t="n"/>
      <c r="B101" s="8" t="n"/>
      <c r="C101" s="8" t="n"/>
      <c r="D101" s="8" t="n"/>
      <c r="E101" s="6">
        <f>IF(C101="","",XLOOKUP(C101,Constants!$A$30:$A$200,Constants!$B$30:$B$200,"",0))</f>
        <v/>
      </c>
      <c r="F101" s="6">
        <f>IF(C101="","",XLOOKUP(C101,Constants!$A$30:$A$200,Constants!$F$30:$F$200,"",0))</f>
        <v/>
      </c>
    </row>
    <row r="102">
      <c r="A102" s="8" t="n"/>
      <c r="B102" s="8" t="n"/>
      <c r="C102" s="8" t="n"/>
      <c r="D102" s="8" t="n"/>
      <c r="E102" s="6">
        <f>IF(C102="","",XLOOKUP(C102,Constants!$A$30:$A$200,Constants!$B$30:$B$200,"",0))</f>
        <v/>
      </c>
      <c r="F102" s="6">
        <f>IF(C102="","",XLOOKUP(C102,Constants!$A$30:$A$200,Constants!$F$30:$F$200,"",0))</f>
        <v/>
      </c>
    </row>
    <row r="103">
      <c r="A103" s="8" t="n"/>
      <c r="B103" s="8" t="n"/>
      <c r="C103" s="8" t="n"/>
      <c r="D103" s="8" t="n"/>
      <c r="E103" s="6">
        <f>IF(C103="","",XLOOKUP(C103,Constants!$A$30:$A$200,Constants!$B$30:$B$200,"",0))</f>
        <v/>
      </c>
      <c r="F103" s="6">
        <f>IF(C103="","",XLOOKUP(C103,Constants!$A$30:$A$200,Constants!$F$30:$F$200,"",0))</f>
        <v/>
      </c>
    </row>
    <row r="104">
      <c r="A104" s="8" t="n"/>
      <c r="B104" s="8" t="n"/>
      <c r="C104" s="8" t="n"/>
      <c r="D104" s="8" t="n"/>
      <c r="E104" s="6">
        <f>IF(C104="","",XLOOKUP(C104,Constants!$A$30:$A$200,Constants!$B$30:$B$200,"",0))</f>
        <v/>
      </c>
      <c r="F104" s="6">
        <f>IF(C104="","",XLOOKUP(C104,Constants!$A$30:$A$200,Constants!$F$30:$F$200,"",0))</f>
        <v/>
      </c>
    </row>
    <row r="105">
      <c r="A105" s="8" t="n"/>
      <c r="B105" s="8" t="n"/>
      <c r="C105" s="8" t="n"/>
      <c r="D105" s="8" t="n"/>
      <c r="E105" s="6">
        <f>IF(C105="","",XLOOKUP(C105,Constants!$A$30:$A$200,Constants!$B$30:$B$200,"",0))</f>
        <v/>
      </c>
      <c r="F105" s="6">
        <f>IF(C105="","",XLOOKUP(C105,Constants!$A$30:$A$200,Constants!$F$30:$F$200,"",0))</f>
        <v/>
      </c>
    </row>
    <row r="106">
      <c r="A106" s="8" t="n"/>
      <c r="B106" s="8" t="n"/>
      <c r="C106" s="8" t="n"/>
      <c r="D106" s="8" t="n"/>
      <c r="E106" s="6">
        <f>IF(C106="","",XLOOKUP(C106,Constants!$A$30:$A$200,Constants!$B$30:$B$200,"",0))</f>
        <v/>
      </c>
      <c r="F106" s="6">
        <f>IF(C106="","",XLOOKUP(C106,Constants!$A$30:$A$200,Constants!$F$30:$F$200,"",0))</f>
        <v/>
      </c>
    </row>
    <row r="107">
      <c r="A107" s="8" t="n"/>
      <c r="B107" s="8" t="n"/>
      <c r="C107" s="8" t="n"/>
      <c r="D107" s="8" t="n"/>
      <c r="E107" s="6">
        <f>IF(C107="","",XLOOKUP(C107,Constants!$A$30:$A$200,Constants!$B$30:$B$200,"",0))</f>
        <v/>
      </c>
      <c r="F107" s="6">
        <f>IF(C107="","",XLOOKUP(C107,Constants!$A$30:$A$200,Constants!$F$30:$F$200,"",0))</f>
        <v/>
      </c>
    </row>
    <row r="108">
      <c r="A108" s="8" t="n"/>
      <c r="B108" s="8" t="n"/>
      <c r="C108" s="8" t="n"/>
      <c r="D108" s="8" t="n"/>
      <c r="E108" s="6">
        <f>IF(C108="","",XLOOKUP(C108,Constants!$A$30:$A$200,Constants!$B$30:$B$200,"",0))</f>
        <v/>
      </c>
      <c r="F108" s="6">
        <f>IF(C108="","",XLOOKUP(C108,Constants!$A$30:$A$200,Constants!$F$30:$F$200,"",0))</f>
        <v/>
      </c>
    </row>
    <row r="109">
      <c r="A109" s="8" t="n"/>
      <c r="B109" s="8" t="n"/>
      <c r="C109" s="8" t="n"/>
      <c r="D109" s="8" t="n"/>
      <c r="E109" s="6">
        <f>IF(C109="","",XLOOKUP(C109,Constants!$A$30:$A$200,Constants!$B$30:$B$200,"",0))</f>
        <v/>
      </c>
      <c r="F109" s="6">
        <f>IF(C109="","",XLOOKUP(C109,Constants!$A$30:$A$200,Constants!$F$30:$F$200,"",0))</f>
        <v/>
      </c>
    </row>
    <row r="110">
      <c r="A110" s="8" t="n"/>
      <c r="B110" s="8" t="n"/>
      <c r="C110" s="8" t="n"/>
      <c r="D110" s="8" t="n"/>
      <c r="E110" s="6">
        <f>IF(C110="","",XLOOKUP(C110,Constants!$A$30:$A$200,Constants!$B$30:$B$200,"",0))</f>
        <v/>
      </c>
      <c r="F110" s="6">
        <f>IF(C110="","",XLOOKUP(C110,Constants!$A$30:$A$200,Constants!$F$30:$F$200,"",0))</f>
        <v/>
      </c>
    </row>
    <row r="111">
      <c r="A111" s="8" t="n"/>
      <c r="B111" s="8" t="n"/>
      <c r="C111" s="8" t="n"/>
      <c r="D111" s="8" t="n"/>
      <c r="E111" s="6">
        <f>IF(C111="","",XLOOKUP(C111,Constants!$A$30:$A$200,Constants!$B$30:$B$200,"",0))</f>
        <v/>
      </c>
      <c r="F111" s="6">
        <f>IF(C111="","",XLOOKUP(C111,Constants!$A$30:$A$200,Constants!$F$30:$F$200,"",0))</f>
        <v/>
      </c>
    </row>
    <row r="112">
      <c r="A112" s="8" t="n"/>
      <c r="B112" s="8" t="n"/>
      <c r="C112" s="8" t="n"/>
      <c r="D112" s="8" t="n"/>
      <c r="E112" s="6">
        <f>IF(C112="","",XLOOKUP(C112,Constants!$A$30:$A$200,Constants!$B$30:$B$200,"",0))</f>
        <v/>
      </c>
      <c r="F112" s="6">
        <f>IF(C112="","",XLOOKUP(C112,Constants!$A$30:$A$200,Constants!$F$30:$F$200,"",0))</f>
        <v/>
      </c>
    </row>
    <row r="113">
      <c r="A113" s="8" t="n"/>
      <c r="B113" s="8" t="n"/>
      <c r="C113" s="8" t="n"/>
      <c r="D113" s="8" t="n"/>
      <c r="E113" s="6">
        <f>IF(C113="","",XLOOKUP(C113,Constants!$A$30:$A$200,Constants!$B$30:$B$200,"",0))</f>
        <v/>
      </c>
      <c r="F113" s="6">
        <f>IF(C113="","",XLOOKUP(C113,Constants!$A$30:$A$200,Constants!$F$30:$F$200,"",0))</f>
        <v/>
      </c>
    </row>
    <row r="114">
      <c r="A114" s="8" t="n"/>
      <c r="B114" s="8" t="n"/>
      <c r="C114" s="8" t="n"/>
      <c r="D114" s="8" t="n"/>
      <c r="E114" s="6">
        <f>IF(C114="","",XLOOKUP(C114,Constants!$A$30:$A$200,Constants!$B$30:$B$200,"",0))</f>
        <v/>
      </c>
      <c r="F114" s="6">
        <f>IF(C114="","",XLOOKUP(C114,Constants!$A$30:$A$200,Constants!$F$30:$F$200,"",0))</f>
        <v/>
      </c>
    </row>
    <row r="115">
      <c r="A115" s="8" t="n"/>
      <c r="B115" s="8" t="n"/>
      <c r="C115" s="8" t="n"/>
      <c r="D115" s="8" t="n"/>
      <c r="E115" s="6">
        <f>IF(C115="","",XLOOKUP(C115,Constants!$A$30:$A$200,Constants!$B$30:$B$200,"",0))</f>
        <v/>
      </c>
      <c r="F115" s="6">
        <f>IF(C115="","",XLOOKUP(C115,Constants!$A$30:$A$200,Constants!$F$30:$F$200,"",0))</f>
        <v/>
      </c>
    </row>
    <row r="116">
      <c r="A116" s="8" t="n"/>
      <c r="B116" s="8" t="n"/>
      <c r="C116" s="8" t="n"/>
      <c r="D116" s="8" t="n"/>
      <c r="E116" s="6">
        <f>IF(C116="","",XLOOKUP(C116,Constants!$A$30:$A$200,Constants!$B$30:$B$200,"",0))</f>
        <v/>
      </c>
      <c r="F116" s="6">
        <f>IF(C116="","",XLOOKUP(C116,Constants!$A$30:$A$200,Constants!$F$30:$F$200,"",0))</f>
        <v/>
      </c>
    </row>
    <row r="117">
      <c r="A117" s="8" t="n"/>
      <c r="B117" s="8" t="n"/>
      <c r="C117" s="8" t="n"/>
      <c r="D117" s="8" t="n"/>
      <c r="E117" s="6">
        <f>IF(C117="","",XLOOKUP(C117,Constants!$A$30:$A$200,Constants!$B$30:$B$200,"",0))</f>
        <v/>
      </c>
      <c r="F117" s="6">
        <f>IF(C117="","",XLOOKUP(C117,Constants!$A$30:$A$200,Constants!$F$30:$F$200,"",0))</f>
        <v/>
      </c>
    </row>
    <row r="118">
      <c r="A118" s="8" t="n"/>
      <c r="B118" s="8" t="n"/>
      <c r="C118" s="8" t="n"/>
      <c r="D118" s="8" t="n"/>
      <c r="E118" s="6">
        <f>IF(C118="","",XLOOKUP(C118,Constants!$A$30:$A$200,Constants!$B$30:$B$200,"",0))</f>
        <v/>
      </c>
      <c r="F118" s="6">
        <f>IF(C118="","",XLOOKUP(C118,Constants!$A$30:$A$200,Constants!$F$30:$F$200,"",0))</f>
        <v/>
      </c>
    </row>
    <row r="119">
      <c r="A119" s="8" t="n"/>
      <c r="B119" s="8" t="n"/>
      <c r="C119" s="8" t="n"/>
      <c r="D119" s="8" t="n"/>
      <c r="E119" s="6">
        <f>IF(C119="","",XLOOKUP(C119,Constants!$A$30:$A$200,Constants!$B$30:$B$200,"",0))</f>
        <v/>
      </c>
      <c r="F119" s="6">
        <f>IF(C119="","",XLOOKUP(C119,Constants!$A$30:$A$200,Constants!$F$30:$F$200,"",0))</f>
        <v/>
      </c>
    </row>
    <row r="120">
      <c r="A120" s="8" t="n"/>
      <c r="B120" s="8" t="n"/>
      <c r="C120" s="8" t="n"/>
      <c r="D120" s="8" t="n"/>
      <c r="E120" s="6">
        <f>IF(C120="","",XLOOKUP(C120,Constants!$A$30:$A$200,Constants!$B$30:$B$200,"",0))</f>
        <v/>
      </c>
      <c r="F120" s="6">
        <f>IF(C120="","",XLOOKUP(C120,Constants!$A$30:$A$200,Constants!$F$30:$F$200,"",0))</f>
        <v/>
      </c>
    </row>
    <row r="121">
      <c r="A121" s="8" t="n"/>
      <c r="B121" s="8" t="n"/>
      <c r="C121" s="8" t="n"/>
      <c r="D121" s="8" t="n"/>
      <c r="E121" s="6">
        <f>IF(C121="","",XLOOKUP(C121,Constants!$A$30:$A$200,Constants!$B$30:$B$200,"",0))</f>
        <v/>
      </c>
      <c r="F121" s="6">
        <f>IF(C121="","",XLOOKUP(C121,Constants!$A$30:$A$200,Constants!$F$30:$F$200,"",0))</f>
        <v/>
      </c>
    </row>
    <row r="122">
      <c r="A122" s="8" t="n"/>
      <c r="B122" s="8" t="n"/>
      <c r="C122" s="8" t="n"/>
      <c r="D122" s="8" t="n"/>
      <c r="E122" s="6">
        <f>IF(C122="","",XLOOKUP(C122,Constants!$A$30:$A$200,Constants!$B$30:$B$200,"",0))</f>
        <v/>
      </c>
      <c r="F122" s="6">
        <f>IF(C122="","",XLOOKUP(C122,Constants!$A$30:$A$200,Constants!$F$30:$F$200,"",0))</f>
        <v/>
      </c>
    </row>
    <row r="123">
      <c r="A123" s="8" t="n"/>
      <c r="B123" s="8" t="n"/>
      <c r="C123" s="8" t="n"/>
      <c r="D123" s="8" t="n"/>
      <c r="E123" s="6">
        <f>IF(C123="","",XLOOKUP(C123,Constants!$A$30:$A$200,Constants!$B$30:$B$200,"",0))</f>
        <v/>
      </c>
      <c r="F123" s="6">
        <f>IF(C123="","",XLOOKUP(C123,Constants!$A$30:$A$200,Constants!$F$30:$F$200,"",0))</f>
        <v/>
      </c>
    </row>
    <row r="124">
      <c r="A124" s="8" t="n"/>
      <c r="B124" s="8" t="n"/>
      <c r="C124" s="8" t="n"/>
      <c r="D124" s="8" t="n"/>
      <c r="E124" s="6">
        <f>IF(C124="","",XLOOKUP(C124,Constants!$A$30:$A$200,Constants!$B$30:$B$200,"",0))</f>
        <v/>
      </c>
      <c r="F124" s="6">
        <f>IF(C124="","",XLOOKUP(C124,Constants!$A$30:$A$200,Constants!$F$30:$F$200,"",0))</f>
        <v/>
      </c>
    </row>
    <row r="125">
      <c r="A125" s="8" t="n"/>
      <c r="B125" s="8" t="n"/>
      <c r="C125" s="8" t="n"/>
      <c r="D125" s="8" t="n"/>
      <c r="E125" s="6">
        <f>IF(C125="","",XLOOKUP(C125,Constants!$A$30:$A$200,Constants!$B$30:$B$200,"",0))</f>
        <v/>
      </c>
      <c r="F125" s="6">
        <f>IF(C125="","",XLOOKUP(C125,Constants!$A$30:$A$200,Constants!$F$30:$F$200,"",0))</f>
        <v/>
      </c>
    </row>
    <row r="126">
      <c r="A126" s="8" t="n"/>
      <c r="B126" s="8" t="n"/>
      <c r="C126" s="8" t="n"/>
      <c r="D126" s="8" t="n"/>
      <c r="E126" s="6">
        <f>IF(C126="","",XLOOKUP(C126,Constants!$A$30:$A$200,Constants!$B$30:$B$200,"",0))</f>
        <v/>
      </c>
      <c r="F126" s="6">
        <f>IF(C126="","",XLOOKUP(C126,Constants!$A$30:$A$200,Constants!$F$30:$F$200,"",0))</f>
        <v/>
      </c>
    </row>
    <row r="127">
      <c r="A127" s="8" t="n"/>
      <c r="B127" s="8" t="n"/>
      <c r="C127" s="8" t="n"/>
      <c r="D127" s="8" t="n"/>
      <c r="E127" s="6">
        <f>IF(C127="","",XLOOKUP(C127,Constants!$A$30:$A$200,Constants!$B$30:$B$200,"",0))</f>
        <v/>
      </c>
      <c r="F127" s="6">
        <f>IF(C127="","",XLOOKUP(C127,Constants!$A$30:$A$200,Constants!$F$30:$F$200,"",0))</f>
        <v/>
      </c>
    </row>
    <row r="128">
      <c r="A128" s="8" t="n"/>
      <c r="B128" s="8" t="n"/>
      <c r="C128" s="8" t="n"/>
      <c r="D128" s="8" t="n"/>
      <c r="E128" s="6">
        <f>IF(C128="","",XLOOKUP(C128,Constants!$A$30:$A$200,Constants!$B$30:$B$200,"",0))</f>
        <v/>
      </c>
      <c r="F128" s="6">
        <f>IF(C128="","",XLOOKUP(C128,Constants!$A$30:$A$200,Constants!$F$30:$F$200,"",0))</f>
        <v/>
      </c>
    </row>
    <row r="129">
      <c r="A129" s="8" t="n"/>
      <c r="B129" s="8" t="n"/>
      <c r="C129" s="8" t="n"/>
      <c r="D129" s="8" t="n"/>
      <c r="E129" s="6">
        <f>IF(C129="","",XLOOKUP(C129,Constants!$A$30:$A$200,Constants!$B$30:$B$200,"",0))</f>
        <v/>
      </c>
      <c r="F129" s="6">
        <f>IF(C129="","",XLOOKUP(C129,Constants!$A$30:$A$200,Constants!$F$30:$F$200,"",0))</f>
        <v/>
      </c>
    </row>
    <row r="130">
      <c r="A130" s="8" t="n"/>
      <c r="B130" s="8" t="n"/>
      <c r="C130" s="8" t="n"/>
      <c r="D130" s="8" t="n"/>
      <c r="E130" s="6">
        <f>IF(C130="","",XLOOKUP(C130,Constants!$A$30:$A$200,Constants!$B$30:$B$200,"",0))</f>
        <v/>
      </c>
      <c r="F130" s="6">
        <f>IF(C130="","",XLOOKUP(C130,Constants!$A$30:$A$200,Constants!$F$30:$F$200,"",0))</f>
        <v/>
      </c>
    </row>
    <row r="131">
      <c r="A131" s="8" t="n"/>
      <c r="B131" s="8" t="n"/>
      <c r="C131" s="8" t="n"/>
      <c r="D131" s="8" t="n"/>
      <c r="E131" s="6">
        <f>IF(C131="","",XLOOKUP(C131,Constants!$A$30:$A$200,Constants!$B$30:$B$200,"",0))</f>
        <v/>
      </c>
      <c r="F131" s="6">
        <f>IF(C131="","",XLOOKUP(C131,Constants!$A$30:$A$200,Constants!$F$30:$F$200,"",0))</f>
        <v/>
      </c>
    </row>
    <row r="132">
      <c r="A132" s="8" t="n"/>
      <c r="B132" s="8" t="n"/>
      <c r="C132" s="8" t="n"/>
      <c r="D132" s="8" t="n"/>
      <c r="E132" s="6">
        <f>IF(C132="","",XLOOKUP(C132,Constants!$A$30:$A$200,Constants!$B$30:$B$200,"",0))</f>
        <v/>
      </c>
      <c r="F132" s="6">
        <f>IF(C132="","",XLOOKUP(C132,Constants!$A$30:$A$200,Constants!$F$30:$F$200,"",0))</f>
        <v/>
      </c>
    </row>
    <row r="133">
      <c r="A133" s="8" t="n"/>
      <c r="B133" s="8" t="n"/>
      <c r="C133" s="8" t="n"/>
      <c r="D133" s="8" t="n"/>
      <c r="E133" s="6">
        <f>IF(C133="","",XLOOKUP(C133,Constants!$A$30:$A$200,Constants!$B$30:$B$200,"",0))</f>
        <v/>
      </c>
      <c r="F133" s="6">
        <f>IF(C133="","",XLOOKUP(C133,Constants!$A$30:$A$200,Constants!$F$30:$F$200,"",0))</f>
        <v/>
      </c>
    </row>
    <row r="134">
      <c r="A134" s="8" t="n"/>
      <c r="B134" s="8" t="n"/>
      <c r="C134" s="8" t="n"/>
      <c r="D134" s="8" t="n"/>
      <c r="E134" s="6">
        <f>IF(C134="","",XLOOKUP(C134,Constants!$A$30:$A$200,Constants!$B$30:$B$200,"",0))</f>
        <v/>
      </c>
      <c r="F134" s="6">
        <f>IF(C134="","",XLOOKUP(C134,Constants!$A$30:$A$200,Constants!$F$30:$F$200,"",0))</f>
        <v/>
      </c>
    </row>
    <row r="135">
      <c r="A135" s="8" t="n"/>
      <c r="B135" s="8" t="n"/>
      <c r="C135" s="8" t="n"/>
      <c r="D135" s="8" t="n"/>
      <c r="E135" s="6">
        <f>IF(C135="","",XLOOKUP(C135,Constants!$A$30:$A$200,Constants!$B$30:$B$200,"",0))</f>
        <v/>
      </c>
      <c r="F135" s="6">
        <f>IF(C135="","",XLOOKUP(C135,Constants!$A$30:$A$200,Constants!$F$30:$F$200,"",0))</f>
        <v/>
      </c>
    </row>
    <row r="136">
      <c r="A136" s="8" t="n"/>
      <c r="B136" s="8" t="n"/>
      <c r="C136" s="8" t="n"/>
      <c r="D136" s="8" t="n"/>
      <c r="E136" s="6">
        <f>IF(C136="","",XLOOKUP(C136,Constants!$A$30:$A$200,Constants!$B$30:$B$200,"",0))</f>
        <v/>
      </c>
      <c r="F136" s="6">
        <f>IF(C136="","",XLOOKUP(C136,Constants!$A$30:$A$200,Constants!$F$30:$F$200,"",0))</f>
        <v/>
      </c>
    </row>
    <row r="137">
      <c r="A137" s="8" t="n"/>
      <c r="B137" s="8" t="n"/>
      <c r="C137" s="8" t="n"/>
      <c r="D137" s="8" t="n"/>
      <c r="E137" s="6">
        <f>IF(C137="","",XLOOKUP(C137,Constants!$A$30:$A$200,Constants!$B$30:$B$200,"",0))</f>
        <v/>
      </c>
      <c r="F137" s="6">
        <f>IF(C137="","",XLOOKUP(C137,Constants!$A$30:$A$200,Constants!$F$30:$F$200,"",0))</f>
        <v/>
      </c>
    </row>
    <row r="138">
      <c r="A138" s="8" t="n"/>
      <c r="B138" s="8" t="n"/>
      <c r="C138" s="8" t="n"/>
      <c r="D138" s="8" t="n"/>
      <c r="E138" s="6">
        <f>IF(C138="","",XLOOKUP(C138,Constants!$A$30:$A$200,Constants!$B$30:$B$200,"",0))</f>
        <v/>
      </c>
      <c r="F138" s="6">
        <f>IF(C138="","",XLOOKUP(C138,Constants!$A$30:$A$200,Constants!$F$30:$F$200,"",0))</f>
        <v/>
      </c>
    </row>
    <row r="139">
      <c r="A139" s="8" t="n"/>
      <c r="B139" s="8" t="n"/>
      <c r="C139" s="8" t="n"/>
      <c r="D139" s="8" t="n"/>
      <c r="E139" s="6">
        <f>IF(C139="","",XLOOKUP(C139,Constants!$A$30:$A$200,Constants!$B$30:$B$200,"",0))</f>
        <v/>
      </c>
      <c r="F139" s="6">
        <f>IF(C139="","",XLOOKUP(C139,Constants!$A$30:$A$200,Constants!$F$30:$F$200,"",0))</f>
        <v/>
      </c>
    </row>
    <row r="140">
      <c r="A140" s="8" t="n"/>
      <c r="B140" s="8" t="n"/>
      <c r="C140" s="8" t="n"/>
      <c r="D140" s="8" t="n"/>
      <c r="E140" s="6">
        <f>IF(C140="","",XLOOKUP(C140,Constants!$A$30:$A$200,Constants!$B$30:$B$200,"",0))</f>
        <v/>
      </c>
      <c r="F140" s="6">
        <f>IF(C140="","",XLOOKUP(C140,Constants!$A$30:$A$200,Constants!$F$30:$F$200,"",0))</f>
        <v/>
      </c>
    </row>
    <row r="141">
      <c r="A141" s="8" t="n"/>
      <c r="B141" s="8" t="n"/>
      <c r="C141" s="8" t="n"/>
      <c r="D141" s="8" t="n"/>
      <c r="E141" s="6">
        <f>IF(C141="","",XLOOKUP(C141,Constants!$A$30:$A$200,Constants!$B$30:$B$200,"",0))</f>
        <v/>
      </c>
      <c r="F141" s="6">
        <f>IF(C141="","",XLOOKUP(C141,Constants!$A$30:$A$200,Constants!$F$30:$F$200,"",0))</f>
        <v/>
      </c>
    </row>
    <row r="142">
      <c r="A142" s="8" t="n"/>
      <c r="B142" s="8" t="n"/>
      <c r="C142" s="8" t="n"/>
      <c r="D142" s="8" t="n"/>
      <c r="E142" s="6">
        <f>IF(C142="","",XLOOKUP(C142,Constants!$A$30:$A$200,Constants!$B$30:$B$200,"",0))</f>
        <v/>
      </c>
      <c r="F142" s="6">
        <f>IF(C142="","",XLOOKUP(C142,Constants!$A$30:$A$200,Constants!$F$30:$F$200,"",0))</f>
        <v/>
      </c>
    </row>
    <row r="143">
      <c r="A143" s="8" t="n"/>
      <c r="B143" s="8" t="n"/>
      <c r="C143" s="8" t="n"/>
      <c r="D143" s="8" t="n"/>
      <c r="E143" s="6">
        <f>IF(C143="","",XLOOKUP(C143,Constants!$A$30:$A$200,Constants!$B$30:$B$200,"",0))</f>
        <v/>
      </c>
      <c r="F143" s="6">
        <f>IF(C143="","",XLOOKUP(C143,Constants!$A$30:$A$200,Constants!$F$30:$F$200,"",0))</f>
        <v/>
      </c>
    </row>
    <row r="144">
      <c r="A144" s="8" t="n"/>
      <c r="B144" s="8" t="n"/>
      <c r="C144" s="8" t="n"/>
      <c r="D144" s="8" t="n"/>
      <c r="E144" s="6">
        <f>IF(C144="","",XLOOKUP(C144,Constants!$A$30:$A$200,Constants!$B$30:$B$200,"",0))</f>
        <v/>
      </c>
      <c r="F144" s="6">
        <f>IF(C144="","",XLOOKUP(C144,Constants!$A$30:$A$200,Constants!$F$30:$F$200,"",0))</f>
        <v/>
      </c>
    </row>
    <row r="145">
      <c r="A145" s="8" t="n"/>
      <c r="B145" s="8" t="n"/>
      <c r="C145" s="8" t="n"/>
      <c r="D145" s="8" t="n"/>
      <c r="E145" s="6">
        <f>IF(C145="","",XLOOKUP(C145,Constants!$A$30:$A$200,Constants!$B$30:$B$200,"",0))</f>
        <v/>
      </c>
      <c r="F145" s="6">
        <f>IF(C145="","",XLOOKUP(C145,Constants!$A$30:$A$200,Constants!$F$30:$F$200,"",0))</f>
        <v/>
      </c>
    </row>
    <row r="146">
      <c r="A146" s="8" t="n"/>
      <c r="B146" s="8" t="n"/>
      <c r="C146" s="8" t="n"/>
      <c r="D146" s="8" t="n"/>
      <c r="E146" s="6">
        <f>IF(C146="","",XLOOKUP(C146,Constants!$A$30:$A$200,Constants!$B$30:$B$200,"",0))</f>
        <v/>
      </c>
      <c r="F146" s="6">
        <f>IF(C146="","",XLOOKUP(C146,Constants!$A$30:$A$200,Constants!$F$30:$F$200,"",0))</f>
        <v/>
      </c>
    </row>
    <row r="147">
      <c r="A147" s="8" t="n"/>
      <c r="B147" s="8" t="n"/>
      <c r="C147" s="8" t="n"/>
      <c r="D147" s="8" t="n"/>
      <c r="E147" s="6">
        <f>IF(C147="","",XLOOKUP(C147,Constants!$A$30:$A$200,Constants!$B$30:$B$200,"",0))</f>
        <v/>
      </c>
      <c r="F147" s="6">
        <f>IF(C147="","",XLOOKUP(C147,Constants!$A$30:$A$200,Constants!$F$30:$F$200,"",0))</f>
        <v/>
      </c>
    </row>
    <row r="148">
      <c r="A148" s="8" t="n"/>
      <c r="B148" s="8" t="n"/>
      <c r="C148" s="8" t="n"/>
      <c r="D148" s="8" t="n"/>
      <c r="E148" s="6">
        <f>IF(C148="","",XLOOKUP(C148,Constants!$A$30:$A$200,Constants!$B$30:$B$200,"",0))</f>
        <v/>
      </c>
      <c r="F148" s="6">
        <f>IF(C148="","",XLOOKUP(C148,Constants!$A$30:$A$200,Constants!$F$30:$F$200,"",0))</f>
        <v/>
      </c>
    </row>
    <row r="149">
      <c r="A149" s="8" t="n"/>
      <c r="B149" s="8" t="n"/>
      <c r="C149" s="8" t="n"/>
      <c r="D149" s="8" t="n"/>
      <c r="E149" s="6">
        <f>IF(C149="","",XLOOKUP(C149,Constants!$A$30:$A$200,Constants!$B$30:$B$200,"",0))</f>
        <v/>
      </c>
      <c r="F149" s="6">
        <f>IF(C149="","",XLOOKUP(C149,Constants!$A$30:$A$200,Constants!$F$30:$F$200,"",0))</f>
        <v/>
      </c>
    </row>
    <row r="150">
      <c r="A150" s="8" t="n"/>
      <c r="B150" s="8" t="n"/>
      <c r="C150" s="8" t="n"/>
      <c r="D150" s="8" t="n"/>
      <c r="E150" s="6">
        <f>IF(C150="","",XLOOKUP(C150,Constants!$A$30:$A$200,Constants!$B$30:$B$200,"",0))</f>
        <v/>
      </c>
      <c r="F150" s="6">
        <f>IF(C150="","",XLOOKUP(C150,Constants!$A$30:$A$200,Constants!$F$30:$F$200,"",0))</f>
        <v/>
      </c>
    </row>
    <row r="151">
      <c r="A151" s="8" t="n"/>
      <c r="B151" s="8" t="n"/>
      <c r="C151" s="8" t="n"/>
      <c r="D151" s="8" t="n"/>
      <c r="E151" s="6">
        <f>IF(C151="","",XLOOKUP(C151,Constants!$A$30:$A$200,Constants!$B$30:$B$200,"",0))</f>
        <v/>
      </c>
      <c r="F151" s="6">
        <f>IF(C151="","",XLOOKUP(C151,Constants!$A$30:$A$200,Constants!$F$30:$F$200,"",0))</f>
        <v/>
      </c>
    </row>
    <row r="152">
      <c r="A152" s="8" t="n"/>
      <c r="B152" s="8" t="n"/>
      <c r="C152" s="8" t="n"/>
      <c r="D152" s="8" t="n"/>
      <c r="E152" s="6">
        <f>IF(C152="","",XLOOKUP(C152,Constants!$A$30:$A$200,Constants!$B$30:$B$200,"",0))</f>
        <v/>
      </c>
      <c r="F152" s="6">
        <f>IF(C152="","",XLOOKUP(C152,Constants!$A$30:$A$200,Constants!$F$30:$F$200,"",0))</f>
        <v/>
      </c>
    </row>
    <row r="153">
      <c r="A153" s="8" t="n"/>
      <c r="B153" s="8" t="n"/>
      <c r="C153" s="8" t="n"/>
      <c r="D153" s="8" t="n"/>
      <c r="E153" s="6">
        <f>IF(C153="","",XLOOKUP(C153,Constants!$A$30:$A$200,Constants!$B$30:$B$200,"",0))</f>
        <v/>
      </c>
      <c r="F153" s="6">
        <f>IF(C153="","",XLOOKUP(C153,Constants!$A$30:$A$200,Constants!$F$30:$F$200,"",0))</f>
        <v/>
      </c>
    </row>
    <row r="154">
      <c r="A154" s="8" t="n"/>
      <c r="B154" s="8" t="n"/>
      <c r="C154" s="8" t="n"/>
      <c r="D154" s="8" t="n"/>
      <c r="E154" s="6">
        <f>IF(C154="","",XLOOKUP(C154,Constants!$A$30:$A$200,Constants!$B$30:$B$200,"",0))</f>
        <v/>
      </c>
      <c r="F154" s="6">
        <f>IF(C154="","",XLOOKUP(C154,Constants!$A$30:$A$200,Constants!$F$30:$F$200,"",0))</f>
        <v/>
      </c>
    </row>
    <row r="155">
      <c r="A155" s="8" t="n"/>
      <c r="B155" s="8" t="n"/>
      <c r="C155" s="8" t="n"/>
      <c r="D155" s="8" t="n"/>
      <c r="E155" s="6">
        <f>IF(C155="","",XLOOKUP(C155,Constants!$A$30:$A$200,Constants!$B$30:$B$200,"",0))</f>
        <v/>
      </c>
      <c r="F155" s="6">
        <f>IF(C155="","",XLOOKUP(C155,Constants!$A$30:$A$200,Constants!$F$30:$F$200,"",0))</f>
        <v/>
      </c>
    </row>
    <row r="156">
      <c r="A156" s="8" t="n"/>
      <c r="B156" s="8" t="n"/>
      <c r="C156" s="8" t="n"/>
      <c r="D156" s="8" t="n"/>
      <c r="E156" s="6">
        <f>IF(C156="","",XLOOKUP(C156,Constants!$A$30:$A$200,Constants!$B$30:$B$200,"",0))</f>
        <v/>
      </c>
      <c r="F156" s="6">
        <f>IF(C156="","",XLOOKUP(C156,Constants!$A$30:$A$200,Constants!$F$30:$F$200,"",0))</f>
        <v/>
      </c>
    </row>
    <row r="157">
      <c r="A157" s="8" t="n"/>
      <c r="B157" s="8" t="n"/>
      <c r="C157" s="8" t="n"/>
      <c r="D157" s="8" t="n"/>
      <c r="E157" s="6">
        <f>IF(C157="","",XLOOKUP(C157,Constants!$A$30:$A$200,Constants!$B$30:$B$200,"",0))</f>
        <v/>
      </c>
      <c r="F157" s="6">
        <f>IF(C157="","",XLOOKUP(C157,Constants!$A$30:$A$200,Constants!$F$30:$F$200,"",0))</f>
        <v/>
      </c>
    </row>
    <row r="158">
      <c r="A158" s="8" t="n"/>
      <c r="B158" s="8" t="n"/>
      <c r="C158" s="8" t="n"/>
      <c r="D158" s="8" t="n"/>
      <c r="E158" s="6">
        <f>IF(C158="","",XLOOKUP(C158,Constants!$A$30:$A$200,Constants!$B$30:$B$200,"",0))</f>
        <v/>
      </c>
      <c r="F158" s="6">
        <f>IF(C158="","",XLOOKUP(C158,Constants!$A$30:$A$200,Constants!$F$30:$F$200,"",0))</f>
        <v/>
      </c>
    </row>
    <row r="159">
      <c r="A159" s="8" t="n"/>
      <c r="B159" s="8" t="n"/>
      <c r="C159" s="8" t="n"/>
      <c r="D159" s="8" t="n"/>
      <c r="E159" s="6">
        <f>IF(C159="","",XLOOKUP(C159,Constants!$A$30:$A$200,Constants!$B$30:$B$200,"",0))</f>
        <v/>
      </c>
      <c r="F159" s="6">
        <f>IF(C159="","",XLOOKUP(C159,Constants!$A$30:$A$200,Constants!$F$30:$F$200,"",0))</f>
        <v/>
      </c>
    </row>
    <row r="160">
      <c r="A160" s="8" t="n"/>
      <c r="B160" s="8" t="n"/>
      <c r="C160" s="8" t="n"/>
      <c r="D160" s="8" t="n"/>
      <c r="E160" s="6">
        <f>IF(C160="","",XLOOKUP(C160,Constants!$A$30:$A$200,Constants!$B$30:$B$200,"",0))</f>
        <v/>
      </c>
      <c r="F160" s="6">
        <f>IF(C160="","",XLOOKUP(C160,Constants!$A$30:$A$200,Constants!$F$30:$F$200,"",0))</f>
        <v/>
      </c>
    </row>
    <row r="161">
      <c r="A161" s="8" t="n"/>
      <c r="B161" s="8" t="n"/>
      <c r="C161" s="8" t="n"/>
      <c r="D161" s="8" t="n"/>
      <c r="E161" s="6">
        <f>IF(C161="","",XLOOKUP(C161,Constants!$A$30:$A$200,Constants!$B$30:$B$200,"",0))</f>
        <v/>
      </c>
      <c r="F161" s="6">
        <f>IF(C161="","",XLOOKUP(C161,Constants!$A$30:$A$200,Constants!$F$30:$F$200,"",0))</f>
        <v/>
      </c>
    </row>
    <row r="162">
      <c r="A162" s="8" t="n"/>
      <c r="B162" s="8" t="n"/>
      <c r="C162" s="8" t="n"/>
      <c r="D162" s="8" t="n"/>
      <c r="E162" s="6">
        <f>IF(C162="","",XLOOKUP(C162,Constants!$A$30:$A$200,Constants!$B$30:$B$200,"",0))</f>
        <v/>
      </c>
      <c r="F162" s="6">
        <f>IF(C162="","",XLOOKUP(C162,Constants!$A$30:$A$200,Constants!$F$30:$F$200,"",0))</f>
        <v/>
      </c>
    </row>
    <row r="163">
      <c r="A163" s="8" t="n"/>
      <c r="B163" s="8" t="n"/>
      <c r="C163" s="8" t="n"/>
      <c r="D163" s="8" t="n"/>
      <c r="E163" s="6">
        <f>IF(C163="","",XLOOKUP(C163,Constants!$A$30:$A$200,Constants!$B$30:$B$200,"",0))</f>
        <v/>
      </c>
      <c r="F163" s="6">
        <f>IF(C163="","",XLOOKUP(C163,Constants!$A$30:$A$200,Constants!$F$30:$F$200,"",0))</f>
        <v/>
      </c>
    </row>
    <row r="164">
      <c r="A164" s="8" t="n"/>
      <c r="B164" s="8" t="n"/>
      <c r="C164" s="8" t="n"/>
      <c r="D164" s="8" t="n"/>
      <c r="E164" s="6">
        <f>IF(C164="","",XLOOKUP(C164,Constants!$A$30:$A$200,Constants!$B$30:$B$200,"",0))</f>
        <v/>
      </c>
      <c r="F164" s="6">
        <f>IF(C164="","",XLOOKUP(C164,Constants!$A$30:$A$200,Constants!$F$30:$F$200,"",0))</f>
        <v/>
      </c>
    </row>
    <row r="165">
      <c r="A165" s="8" t="n"/>
      <c r="B165" s="8" t="n"/>
      <c r="C165" s="8" t="n"/>
      <c r="D165" s="8" t="n"/>
      <c r="E165" s="6">
        <f>IF(C165="","",XLOOKUP(C165,Constants!$A$30:$A$200,Constants!$B$30:$B$200,"",0))</f>
        <v/>
      </c>
      <c r="F165" s="6">
        <f>IF(C165="","",XLOOKUP(C165,Constants!$A$30:$A$200,Constants!$F$30:$F$200,"",0))</f>
        <v/>
      </c>
    </row>
    <row r="166">
      <c r="A166" s="8" t="n"/>
      <c r="B166" s="8" t="n"/>
      <c r="C166" s="8" t="n"/>
      <c r="D166" s="8" t="n"/>
      <c r="E166" s="6">
        <f>IF(C166="","",XLOOKUP(C166,Constants!$A$30:$A$200,Constants!$B$30:$B$200,"",0))</f>
        <v/>
      </c>
      <c r="F166" s="6">
        <f>IF(C166="","",XLOOKUP(C166,Constants!$A$30:$A$200,Constants!$F$30:$F$200,"",0))</f>
        <v/>
      </c>
    </row>
    <row r="167">
      <c r="A167" s="8" t="n"/>
      <c r="B167" s="8" t="n"/>
      <c r="C167" s="8" t="n"/>
      <c r="D167" s="8" t="n"/>
      <c r="E167" s="6">
        <f>IF(C167="","",XLOOKUP(C167,Constants!$A$30:$A$200,Constants!$B$30:$B$200,"",0))</f>
        <v/>
      </c>
      <c r="F167" s="6">
        <f>IF(C167="","",XLOOKUP(C167,Constants!$A$30:$A$200,Constants!$F$30:$F$200,"",0))</f>
        <v/>
      </c>
    </row>
    <row r="168">
      <c r="A168" s="8" t="n"/>
      <c r="B168" s="8" t="n"/>
      <c r="C168" s="8" t="n"/>
      <c r="D168" s="8" t="n"/>
      <c r="E168" s="6">
        <f>IF(C168="","",XLOOKUP(C168,Constants!$A$30:$A$200,Constants!$B$30:$B$200,"",0))</f>
        <v/>
      </c>
      <c r="F168" s="6">
        <f>IF(C168="","",XLOOKUP(C168,Constants!$A$30:$A$200,Constants!$F$30:$F$200,"",0))</f>
        <v/>
      </c>
    </row>
    <row r="169">
      <c r="A169" s="8" t="n"/>
      <c r="B169" s="8" t="n"/>
      <c r="C169" s="8" t="n"/>
      <c r="D169" s="8" t="n"/>
      <c r="E169" s="6">
        <f>IF(C169="","",XLOOKUP(C169,Constants!$A$30:$A$200,Constants!$B$30:$B$200,"",0))</f>
        <v/>
      </c>
      <c r="F169" s="6">
        <f>IF(C169="","",XLOOKUP(C169,Constants!$A$30:$A$200,Constants!$F$30:$F$200,"",0))</f>
        <v/>
      </c>
    </row>
    <row r="170">
      <c r="A170" s="8" t="n"/>
      <c r="B170" s="8" t="n"/>
      <c r="C170" s="8" t="n"/>
      <c r="D170" s="8" t="n"/>
      <c r="E170" s="6">
        <f>IF(C170="","",XLOOKUP(C170,Constants!$A$30:$A$200,Constants!$B$30:$B$200,"",0))</f>
        <v/>
      </c>
      <c r="F170" s="6">
        <f>IF(C170="","",XLOOKUP(C170,Constants!$A$30:$A$200,Constants!$F$30:$F$200,"",0))</f>
        <v/>
      </c>
    </row>
    <row r="171">
      <c r="A171" s="8" t="n"/>
      <c r="B171" s="8" t="n"/>
      <c r="C171" s="8" t="n"/>
      <c r="D171" s="8" t="n"/>
      <c r="E171" s="6">
        <f>IF(C171="","",XLOOKUP(C171,Constants!$A$30:$A$200,Constants!$B$30:$B$200,"",0))</f>
        <v/>
      </c>
      <c r="F171" s="6">
        <f>IF(C171="","",XLOOKUP(C171,Constants!$A$30:$A$200,Constants!$F$30:$F$200,"",0))</f>
        <v/>
      </c>
    </row>
    <row r="172">
      <c r="A172" s="8" t="n"/>
      <c r="B172" s="8" t="n"/>
      <c r="C172" s="8" t="n"/>
      <c r="D172" s="8" t="n"/>
      <c r="E172" s="6">
        <f>IF(C172="","",XLOOKUP(C172,Constants!$A$30:$A$200,Constants!$B$30:$B$200,"",0))</f>
        <v/>
      </c>
      <c r="F172" s="6">
        <f>IF(C172="","",XLOOKUP(C172,Constants!$A$30:$A$200,Constants!$F$30:$F$200,"",0))</f>
        <v/>
      </c>
    </row>
    <row r="173">
      <c r="A173" s="8" t="n"/>
      <c r="B173" s="8" t="n"/>
      <c r="C173" s="8" t="n"/>
      <c r="D173" s="8" t="n"/>
      <c r="E173" s="6">
        <f>IF(C173="","",XLOOKUP(C173,Constants!$A$30:$A$200,Constants!$B$30:$B$200,"",0))</f>
        <v/>
      </c>
      <c r="F173" s="6">
        <f>IF(C173="","",XLOOKUP(C173,Constants!$A$30:$A$200,Constants!$F$30:$F$200,"",0))</f>
        <v/>
      </c>
    </row>
    <row r="174">
      <c r="A174" s="8" t="n"/>
      <c r="B174" s="8" t="n"/>
      <c r="C174" s="8" t="n"/>
      <c r="D174" s="8" t="n"/>
      <c r="E174" s="6">
        <f>IF(C174="","",XLOOKUP(C174,Constants!$A$30:$A$200,Constants!$B$30:$B$200,"",0))</f>
        <v/>
      </c>
      <c r="F174" s="6">
        <f>IF(C174="","",XLOOKUP(C174,Constants!$A$30:$A$200,Constants!$F$30:$F$200,"",0))</f>
        <v/>
      </c>
    </row>
    <row r="175">
      <c r="A175" s="8" t="n"/>
      <c r="B175" s="8" t="n"/>
      <c r="C175" s="8" t="n"/>
      <c r="D175" s="8" t="n"/>
      <c r="E175" s="6">
        <f>IF(C175="","",XLOOKUP(C175,Constants!$A$30:$A$200,Constants!$B$30:$B$200,"",0))</f>
        <v/>
      </c>
      <c r="F175" s="6">
        <f>IF(C175="","",XLOOKUP(C175,Constants!$A$30:$A$200,Constants!$F$30:$F$200,"",0))</f>
        <v/>
      </c>
    </row>
    <row r="176">
      <c r="A176" s="8" t="n"/>
      <c r="B176" s="8" t="n"/>
      <c r="C176" s="8" t="n"/>
      <c r="D176" s="8" t="n"/>
      <c r="E176" s="6">
        <f>IF(C176="","",XLOOKUP(C176,Constants!$A$30:$A$200,Constants!$B$30:$B$200,"",0))</f>
        <v/>
      </c>
      <c r="F176" s="6">
        <f>IF(C176="","",XLOOKUP(C176,Constants!$A$30:$A$200,Constants!$F$30:$F$200,"",0))</f>
        <v/>
      </c>
    </row>
    <row r="177">
      <c r="A177" s="8" t="n"/>
      <c r="B177" s="8" t="n"/>
      <c r="C177" s="8" t="n"/>
      <c r="D177" s="8" t="n"/>
      <c r="E177" s="6">
        <f>IF(C177="","",XLOOKUP(C177,Constants!$A$30:$A$200,Constants!$B$30:$B$200,"",0))</f>
        <v/>
      </c>
      <c r="F177" s="6">
        <f>IF(C177="","",XLOOKUP(C177,Constants!$A$30:$A$200,Constants!$F$30:$F$200,"",0))</f>
        <v/>
      </c>
    </row>
    <row r="178">
      <c r="A178" s="8" t="n"/>
      <c r="B178" s="8" t="n"/>
      <c r="C178" s="8" t="n"/>
      <c r="D178" s="8" t="n"/>
      <c r="E178" s="6">
        <f>IF(C178="","",XLOOKUP(C178,Constants!$A$30:$A$200,Constants!$B$30:$B$200,"",0))</f>
        <v/>
      </c>
      <c r="F178" s="6">
        <f>IF(C178="","",XLOOKUP(C178,Constants!$A$30:$A$200,Constants!$F$30:$F$200,"",0))</f>
        <v/>
      </c>
    </row>
    <row r="179">
      <c r="A179" s="8" t="n"/>
      <c r="B179" s="8" t="n"/>
      <c r="C179" s="8" t="n"/>
      <c r="D179" s="8" t="n"/>
      <c r="E179" s="6">
        <f>IF(C179="","",XLOOKUP(C179,Constants!$A$30:$A$200,Constants!$B$30:$B$200,"",0))</f>
        <v/>
      </c>
      <c r="F179" s="6">
        <f>IF(C179="","",XLOOKUP(C179,Constants!$A$30:$A$200,Constants!$F$30:$F$200,"",0))</f>
        <v/>
      </c>
    </row>
    <row r="180">
      <c r="A180" s="8" t="n"/>
      <c r="B180" s="8" t="n"/>
      <c r="C180" s="8" t="n"/>
      <c r="D180" s="8" t="n"/>
      <c r="E180" s="6">
        <f>IF(C180="","",XLOOKUP(C180,Constants!$A$30:$A$200,Constants!$B$30:$B$200,"",0))</f>
        <v/>
      </c>
      <c r="F180" s="6">
        <f>IF(C180="","",XLOOKUP(C180,Constants!$A$30:$A$200,Constants!$F$30:$F$200,"",0))</f>
        <v/>
      </c>
    </row>
    <row r="181">
      <c r="A181" s="8" t="n"/>
      <c r="B181" s="8" t="n"/>
      <c r="C181" s="8" t="n"/>
      <c r="D181" s="8" t="n"/>
      <c r="E181" s="6">
        <f>IF(C181="","",XLOOKUP(C181,Constants!$A$30:$A$200,Constants!$B$30:$B$200,"",0))</f>
        <v/>
      </c>
      <c r="F181" s="6">
        <f>IF(C181="","",XLOOKUP(C181,Constants!$A$30:$A$200,Constants!$F$30:$F$200,"",0))</f>
        <v/>
      </c>
    </row>
    <row r="182">
      <c r="A182" s="8" t="n"/>
      <c r="B182" s="8" t="n"/>
      <c r="C182" s="8" t="n"/>
      <c r="D182" s="8" t="n"/>
      <c r="E182" s="6">
        <f>IF(C182="","",XLOOKUP(C182,Constants!$A$30:$A$200,Constants!$B$30:$B$200,"",0))</f>
        <v/>
      </c>
      <c r="F182" s="6">
        <f>IF(C182="","",XLOOKUP(C182,Constants!$A$30:$A$200,Constants!$F$30:$F$200,"",0))</f>
        <v/>
      </c>
    </row>
    <row r="183">
      <c r="A183" s="8" t="n"/>
      <c r="B183" s="8" t="n"/>
      <c r="C183" s="8" t="n"/>
      <c r="D183" s="8" t="n"/>
      <c r="E183" s="6">
        <f>IF(C183="","",XLOOKUP(C183,Constants!$A$30:$A$200,Constants!$B$30:$B$200,"",0))</f>
        <v/>
      </c>
      <c r="F183" s="6">
        <f>IF(C183="","",XLOOKUP(C183,Constants!$A$30:$A$200,Constants!$F$30:$F$200,"",0))</f>
        <v/>
      </c>
    </row>
    <row r="184">
      <c r="A184" s="8" t="n"/>
      <c r="B184" s="8" t="n"/>
      <c r="C184" s="8" t="n"/>
      <c r="D184" s="8" t="n"/>
      <c r="E184" s="6">
        <f>IF(C184="","",XLOOKUP(C184,Constants!$A$30:$A$200,Constants!$B$30:$B$200,"",0))</f>
        <v/>
      </c>
      <c r="F184" s="6">
        <f>IF(C184="","",XLOOKUP(C184,Constants!$A$30:$A$200,Constants!$F$30:$F$200,"",0))</f>
        <v/>
      </c>
    </row>
    <row r="185">
      <c r="A185" s="8" t="n"/>
      <c r="B185" s="8" t="n"/>
      <c r="C185" s="8" t="n"/>
      <c r="D185" s="8" t="n"/>
      <c r="E185" s="6">
        <f>IF(C185="","",XLOOKUP(C185,Constants!$A$30:$A$200,Constants!$B$30:$B$200,"",0))</f>
        <v/>
      </c>
      <c r="F185" s="6">
        <f>IF(C185="","",XLOOKUP(C185,Constants!$A$30:$A$200,Constants!$F$30:$F$200,"",0))</f>
        <v/>
      </c>
    </row>
    <row r="186">
      <c r="A186" s="8" t="n"/>
      <c r="B186" s="8" t="n"/>
      <c r="C186" s="8" t="n"/>
      <c r="D186" s="8" t="n"/>
      <c r="E186" s="6">
        <f>IF(C186="","",XLOOKUP(C186,Constants!$A$30:$A$200,Constants!$B$30:$B$200,"",0))</f>
        <v/>
      </c>
      <c r="F186" s="6">
        <f>IF(C186="","",XLOOKUP(C186,Constants!$A$30:$A$200,Constants!$F$30:$F$200,"",0))</f>
        <v/>
      </c>
    </row>
    <row r="187">
      <c r="A187" s="8" t="n"/>
      <c r="B187" s="8" t="n"/>
      <c r="C187" s="8" t="n"/>
      <c r="D187" s="8" t="n"/>
      <c r="E187" s="6">
        <f>IF(C187="","",XLOOKUP(C187,Constants!$A$30:$A$200,Constants!$B$30:$B$200,"",0))</f>
        <v/>
      </c>
      <c r="F187" s="6">
        <f>IF(C187="","",XLOOKUP(C187,Constants!$A$30:$A$200,Constants!$F$30:$F$200,"",0))</f>
        <v/>
      </c>
    </row>
    <row r="188">
      <c r="A188" s="8" t="n"/>
      <c r="B188" s="8" t="n"/>
      <c r="C188" s="8" t="n"/>
      <c r="D188" s="8" t="n"/>
      <c r="E188" s="6">
        <f>IF(C188="","",XLOOKUP(C188,Constants!$A$30:$A$200,Constants!$B$30:$B$200,"",0))</f>
        <v/>
      </c>
      <c r="F188" s="6">
        <f>IF(C188="","",XLOOKUP(C188,Constants!$A$30:$A$200,Constants!$F$30:$F$200,"",0))</f>
        <v/>
      </c>
    </row>
    <row r="189">
      <c r="A189" s="8" t="n"/>
      <c r="B189" s="8" t="n"/>
      <c r="C189" s="8" t="n"/>
      <c r="D189" s="8" t="n"/>
      <c r="E189" s="6">
        <f>IF(C189="","",XLOOKUP(C189,Constants!$A$30:$A$200,Constants!$B$30:$B$200,"",0))</f>
        <v/>
      </c>
      <c r="F189" s="6">
        <f>IF(C189="","",XLOOKUP(C189,Constants!$A$30:$A$200,Constants!$F$30:$F$200,"",0))</f>
        <v/>
      </c>
    </row>
    <row r="190">
      <c r="A190" s="8" t="n"/>
      <c r="B190" s="8" t="n"/>
      <c r="C190" s="8" t="n"/>
      <c r="D190" s="8" t="n"/>
      <c r="E190" s="6">
        <f>IF(C190="","",XLOOKUP(C190,Constants!$A$30:$A$200,Constants!$B$30:$B$200,"",0))</f>
        <v/>
      </c>
      <c r="F190" s="6">
        <f>IF(C190="","",XLOOKUP(C190,Constants!$A$30:$A$200,Constants!$F$30:$F$200,"",0))</f>
        <v/>
      </c>
    </row>
    <row r="191">
      <c r="A191" s="8" t="n"/>
      <c r="B191" s="8" t="n"/>
      <c r="C191" s="8" t="n"/>
      <c r="D191" s="8" t="n"/>
      <c r="E191" s="6">
        <f>IF(C191="","",XLOOKUP(C191,Constants!$A$30:$A$200,Constants!$B$30:$B$200,"",0))</f>
        <v/>
      </c>
      <c r="F191" s="6">
        <f>IF(C191="","",XLOOKUP(C191,Constants!$A$30:$A$200,Constants!$F$30:$F$200,"",0))</f>
        <v/>
      </c>
    </row>
    <row r="192">
      <c r="A192" s="8" t="n"/>
      <c r="B192" s="8" t="n"/>
      <c r="C192" s="8" t="n"/>
      <c r="D192" s="8" t="n"/>
      <c r="E192" s="6">
        <f>IF(C192="","",XLOOKUP(C192,Constants!$A$30:$A$200,Constants!$B$30:$B$200,"",0))</f>
        <v/>
      </c>
      <c r="F192" s="6">
        <f>IF(C192="","",XLOOKUP(C192,Constants!$A$30:$A$200,Constants!$F$30:$F$200,"",0))</f>
        <v/>
      </c>
    </row>
    <row r="193">
      <c r="A193" s="8" t="n"/>
      <c r="B193" s="8" t="n"/>
      <c r="C193" s="8" t="n"/>
      <c r="D193" s="8" t="n"/>
      <c r="E193" s="6">
        <f>IF(C193="","",XLOOKUP(C193,Constants!$A$30:$A$200,Constants!$B$30:$B$200,"",0))</f>
        <v/>
      </c>
      <c r="F193" s="6">
        <f>IF(C193="","",XLOOKUP(C193,Constants!$A$30:$A$200,Constants!$F$30:$F$200,"",0))</f>
        <v/>
      </c>
    </row>
    <row r="194">
      <c r="A194" s="8" t="n"/>
      <c r="B194" s="8" t="n"/>
      <c r="C194" s="8" t="n"/>
      <c r="D194" s="8" t="n"/>
      <c r="E194" s="6">
        <f>IF(C194="","",XLOOKUP(C194,Constants!$A$30:$A$200,Constants!$B$30:$B$200,"",0))</f>
        <v/>
      </c>
      <c r="F194" s="6">
        <f>IF(C194="","",XLOOKUP(C194,Constants!$A$30:$A$200,Constants!$F$30:$F$200,"",0))</f>
        <v/>
      </c>
    </row>
    <row r="195">
      <c r="A195" s="8" t="n"/>
      <c r="B195" s="8" t="n"/>
      <c r="C195" s="8" t="n"/>
      <c r="D195" s="8" t="n"/>
      <c r="E195" s="6">
        <f>IF(C195="","",XLOOKUP(C195,Constants!$A$30:$A$200,Constants!$B$30:$B$200,"",0))</f>
        <v/>
      </c>
      <c r="F195" s="6">
        <f>IF(C195="","",XLOOKUP(C195,Constants!$A$30:$A$200,Constants!$F$30:$F$200,"",0))</f>
        <v/>
      </c>
    </row>
    <row r="196">
      <c r="A196" s="8" t="n"/>
      <c r="B196" s="8" t="n"/>
      <c r="C196" s="8" t="n"/>
      <c r="D196" s="8" t="n"/>
      <c r="E196" s="6">
        <f>IF(C196="","",XLOOKUP(C196,Constants!$A$30:$A$200,Constants!$B$30:$B$200,"",0))</f>
        <v/>
      </c>
      <c r="F196" s="6">
        <f>IF(C196="","",XLOOKUP(C196,Constants!$A$30:$A$200,Constants!$F$30:$F$200,"",0))</f>
        <v/>
      </c>
    </row>
    <row r="197">
      <c r="A197" s="8" t="n"/>
      <c r="B197" s="8" t="n"/>
      <c r="C197" s="8" t="n"/>
      <c r="D197" s="8" t="n"/>
      <c r="E197" s="6">
        <f>IF(C197="","",XLOOKUP(C197,Constants!$A$30:$A$200,Constants!$B$30:$B$200,"",0))</f>
        <v/>
      </c>
      <c r="F197" s="6">
        <f>IF(C197="","",XLOOKUP(C197,Constants!$A$30:$A$200,Constants!$F$30:$F$200,"",0))</f>
        <v/>
      </c>
    </row>
    <row r="198">
      <c r="A198" s="8" t="n"/>
      <c r="B198" s="8" t="n"/>
      <c r="C198" s="8" t="n"/>
      <c r="D198" s="8" t="n"/>
      <c r="E198" s="6">
        <f>IF(C198="","",XLOOKUP(C198,Constants!$A$30:$A$200,Constants!$B$30:$B$200,"",0))</f>
        <v/>
      </c>
      <c r="F198" s="6">
        <f>IF(C198="","",XLOOKUP(C198,Constants!$A$30:$A$200,Constants!$F$30:$F$200,"",0))</f>
        <v/>
      </c>
    </row>
    <row r="199">
      <c r="A199" s="8" t="n"/>
      <c r="B199" s="8" t="n"/>
      <c r="C199" s="8" t="n"/>
      <c r="D199" s="8" t="n"/>
      <c r="E199" s="6">
        <f>IF(C199="","",XLOOKUP(C199,Constants!$A$30:$A$200,Constants!$B$30:$B$200,"",0))</f>
        <v/>
      </c>
      <c r="F199" s="6">
        <f>IF(C199="","",XLOOKUP(C199,Constants!$A$30:$A$200,Constants!$F$30:$F$200,"",0))</f>
        <v/>
      </c>
    </row>
    <row r="200">
      <c r="A200" s="8" t="n"/>
      <c r="B200" s="8" t="n"/>
      <c r="C200" s="8" t="n"/>
      <c r="D200" s="8" t="n"/>
      <c r="E200" s="6">
        <f>IF(C200="","",XLOOKUP(C200,Constants!$A$30:$A$200,Constants!$B$30:$B$200,"",0))</f>
        <v/>
      </c>
      <c r="F200" s="6">
        <f>IF(C200="","",XLOOKUP(C200,Constants!$A$30:$A$200,Constants!$F$30:$F$200,"",0))</f>
        <v/>
      </c>
    </row>
    <row r="201">
      <c r="A201" s="8" t="n"/>
      <c r="B201" s="8" t="n"/>
      <c r="C201" s="8" t="n"/>
      <c r="D201" s="8" t="n"/>
      <c r="E201" s="6">
        <f>IF(C201="","",XLOOKUP(C201,Constants!$A$30:$A$200,Constants!$B$30:$B$200,"",0))</f>
        <v/>
      </c>
      <c r="F201" s="6">
        <f>IF(C201="","",XLOOKUP(C201,Constants!$A$30:$A$200,Constants!$F$30:$F$200,"",0))</f>
        <v/>
      </c>
    </row>
    <row r="202">
      <c r="A202" s="8" t="n"/>
      <c r="B202" s="8" t="n"/>
      <c r="C202" s="8" t="n"/>
      <c r="D202" s="8" t="n"/>
      <c r="E202" s="6">
        <f>IF(C202="","",XLOOKUP(C202,Constants!$A$30:$A$200,Constants!$B$30:$B$200,"",0))</f>
        <v/>
      </c>
      <c r="F202" s="6">
        <f>IF(C202="","",XLOOKUP(C202,Constants!$A$30:$A$200,Constants!$F$30:$F$200,"",0))</f>
        <v/>
      </c>
    </row>
    <row r="203">
      <c r="A203" s="8" t="n"/>
      <c r="B203" s="8" t="n"/>
      <c r="C203" s="8" t="n"/>
      <c r="D203" s="8" t="n"/>
      <c r="E203" s="6">
        <f>IF(C203="","",XLOOKUP(C203,Constants!$A$30:$A$200,Constants!$B$30:$B$200,"",0))</f>
        <v/>
      </c>
      <c r="F203" s="6">
        <f>IF(C203="","",XLOOKUP(C203,Constants!$A$30:$A$200,Constants!$F$30:$F$200,"",0))</f>
        <v/>
      </c>
    </row>
    <row r="204">
      <c r="A204" s="8" t="n"/>
      <c r="B204" s="8" t="n"/>
      <c r="C204" s="8" t="n"/>
      <c r="D204" s="8" t="n"/>
      <c r="E204" s="6">
        <f>IF(C204="","",XLOOKUP(C204,Constants!$A$30:$A$200,Constants!$B$30:$B$200,"",0))</f>
        <v/>
      </c>
      <c r="F204" s="6">
        <f>IF(C204="","",XLOOKUP(C204,Constants!$A$30:$A$200,Constants!$F$30:$F$200,"",0))</f>
        <v/>
      </c>
    </row>
    <row r="205">
      <c r="A205" s="8" t="n"/>
      <c r="B205" s="8" t="n"/>
      <c r="C205" s="8" t="n"/>
      <c r="D205" s="8" t="n"/>
      <c r="E205" s="6">
        <f>IF(C205="","",XLOOKUP(C205,Constants!$A$30:$A$200,Constants!$B$30:$B$200,"",0))</f>
        <v/>
      </c>
      <c r="F205" s="6">
        <f>IF(C205="","",XLOOKUP(C205,Constants!$A$30:$A$200,Constants!$F$30:$F$200,"",0))</f>
        <v/>
      </c>
    </row>
    <row r="206">
      <c r="A206" s="8" t="n"/>
      <c r="B206" s="8" t="n"/>
      <c r="C206" s="8" t="n"/>
      <c r="D206" s="8" t="n"/>
      <c r="E206" s="6">
        <f>IF(C206="","",XLOOKUP(C206,Constants!$A$30:$A$200,Constants!$B$30:$B$200,"",0))</f>
        <v/>
      </c>
      <c r="F206" s="6">
        <f>IF(C206="","",XLOOKUP(C206,Constants!$A$30:$A$200,Constants!$F$30:$F$200,"",0))</f>
        <v/>
      </c>
    </row>
    <row r="207">
      <c r="A207" s="8" t="n"/>
      <c r="B207" s="8" t="n"/>
      <c r="C207" s="8" t="n"/>
      <c r="D207" s="8" t="n"/>
      <c r="E207" s="6">
        <f>IF(C207="","",XLOOKUP(C207,Constants!$A$30:$A$200,Constants!$B$30:$B$200,"",0))</f>
        <v/>
      </c>
      <c r="F207" s="6">
        <f>IF(C207="","",XLOOKUP(C207,Constants!$A$30:$A$200,Constants!$F$30:$F$200,"",0))</f>
        <v/>
      </c>
    </row>
    <row r="208">
      <c r="A208" s="8" t="n"/>
      <c r="B208" s="8" t="n"/>
      <c r="C208" s="8" t="n"/>
      <c r="D208" s="8" t="n"/>
      <c r="E208" s="6">
        <f>IF(C208="","",XLOOKUP(C208,Constants!$A$30:$A$200,Constants!$B$30:$B$200,"",0))</f>
        <v/>
      </c>
      <c r="F208" s="6">
        <f>IF(C208="","",XLOOKUP(C208,Constants!$A$30:$A$200,Constants!$F$30:$F$200,"",0))</f>
        <v/>
      </c>
    </row>
    <row r="209">
      <c r="A209" s="8" t="n"/>
      <c r="B209" s="8" t="n"/>
      <c r="C209" s="8" t="n"/>
      <c r="D209" s="8" t="n"/>
      <c r="E209" s="6">
        <f>IF(C209="","",XLOOKUP(C209,Constants!$A$30:$A$200,Constants!$B$30:$B$200,"",0))</f>
        <v/>
      </c>
      <c r="F209" s="6">
        <f>IF(C209="","",XLOOKUP(C209,Constants!$A$30:$A$200,Constants!$F$30:$F$200,"",0))</f>
        <v/>
      </c>
    </row>
    <row r="210">
      <c r="A210" s="8" t="n"/>
      <c r="B210" s="8" t="n"/>
      <c r="C210" s="8" t="n"/>
      <c r="D210" s="8" t="n"/>
      <c r="E210" s="6">
        <f>IF(C210="","",XLOOKUP(C210,Constants!$A$30:$A$200,Constants!$B$30:$B$200,"",0))</f>
        <v/>
      </c>
      <c r="F210" s="6">
        <f>IF(C210="","",XLOOKUP(C210,Constants!$A$30:$A$200,Constants!$F$30:$F$200,"",0))</f>
        <v/>
      </c>
    </row>
    <row r="211">
      <c r="A211" s="8" t="n"/>
      <c r="B211" s="8" t="n"/>
      <c r="C211" s="8" t="n"/>
      <c r="D211" s="8" t="n"/>
      <c r="E211" s="6">
        <f>IF(C211="","",XLOOKUP(C211,Constants!$A$30:$A$200,Constants!$B$30:$B$200,"",0))</f>
        <v/>
      </c>
      <c r="F211" s="6">
        <f>IF(C211="","",XLOOKUP(C211,Constants!$A$30:$A$200,Constants!$F$30:$F$200,"",0))</f>
        <v/>
      </c>
    </row>
    <row r="212">
      <c r="A212" s="8" t="n"/>
      <c r="B212" s="8" t="n"/>
      <c r="C212" s="8" t="n"/>
      <c r="D212" s="8" t="n"/>
      <c r="E212" s="6">
        <f>IF(C212="","",XLOOKUP(C212,Constants!$A$30:$A$200,Constants!$B$30:$B$200,"",0))</f>
        <v/>
      </c>
      <c r="F212" s="6">
        <f>IF(C212="","",XLOOKUP(C212,Constants!$A$30:$A$200,Constants!$F$30:$F$200,"",0))</f>
        <v/>
      </c>
    </row>
    <row r="213">
      <c r="A213" s="8" t="n"/>
      <c r="B213" s="8" t="n"/>
      <c r="C213" s="8" t="n"/>
      <c r="D213" s="8" t="n"/>
      <c r="E213" s="6">
        <f>IF(C213="","",XLOOKUP(C213,Constants!$A$30:$A$200,Constants!$B$30:$B$200,"",0))</f>
        <v/>
      </c>
      <c r="F213" s="6">
        <f>IF(C213="","",XLOOKUP(C213,Constants!$A$30:$A$200,Constants!$F$30:$F$200,"",0))</f>
        <v/>
      </c>
    </row>
    <row r="214">
      <c r="A214" s="8" t="n"/>
      <c r="B214" s="8" t="n"/>
      <c r="C214" s="8" t="n"/>
      <c r="D214" s="8" t="n"/>
      <c r="E214" s="6">
        <f>IF(C214="","",XLOOKUP(C214,Constants!$A$30:$A$200,Constants!$B$30:$B$200,"",0))</f>
        <v/>
      </c>
      <c r="F214" s="6">
        <f>IF(C214="","",XLOOKUP(C214,Constants!$A$30:$A$200,Constants!$F$30:$F$200,"",0))</f>
        <v/>
      </c>
    </row>
    <row r="215">
      <c r="A215" s="8" t="n"/>
      <c r="B215" s="8" t="n"/>
      <c r="C215" s="8" t="n"/>
      <c r="D215" s="8" t="n"/>
      <c r="E215" s="6">
        <f>IF(C215="","",XLOOKUP(C215,Constants!$A$30:$A$200,Constants!$B$30:$B$200,"",0))</f>
        <v/>
      </c>
      <c r="F215" s="6">
        <f>IF(C215="","",XLOOKUP(C215,Constants!$A$30:$A$200,Constants!$F$30:$F$200,"",0))</f>
        <v/>
      </c>
    </row>
    <row r="216">
      <c r="A216" s="8" t="n"/>
      <c r="B216" s="8" t="n"/>
      <c r="C216" s="8" t="n"/>
      <c r="D216" s="8" t="n"/>
      <c r="E216" s="6">
        <f>IF(C216="","",XLOOKUP(C216,Constants!$A$30:$A$200,Constants!$B$30:$B$200,"",0))</f>
        <v/>
      </c>
      <c r="F216" s="6">
        <f>IF(C216="","",XLOOKUP(C216,Constants!$A$30:$A$200,Constants!$F$30:$F$200,"",0))</f>
        <v/>
      </c>
    </row>
    <row r="217">
      <c r="A217" s="8" t="n"/>
      <c r="B217" s="8" t="n"/>
      <c r="C217" s="8" t="n"/>
      <c r="D217" s="8" t="n"/>
      <c r="E217" s="6">
        <f>IF(C217="","",XLOOKUP(C217,Constants!$A$30:$A$200,Constants!$B$30:$B$200,"",0))</f>
        <v/>
      </c>
      <c r="F217" s="6">
        <f>IF(C217="","",XLOOKUP(C217,Constants!$A$30:$A$200,Constants!$F$30:$F$200,"",0))</f>
        <v/>
      </c>
    </row>
    <row r="218">
      <c r="A218" s="8" t="n"/>
      <c r="B218" s="8" t="n"/>
      <c r="C218" s="8" t="n"/>
      <c r="D218" s="8" t="n"/>
      <c r="E218" s="6">
        <f>IF(C218="","",XLOOKUP(C218,Constants!$A$30:$A$200,Constants!$B$30:$B$200,"",0))</f>
        <v/>
      </c>
      <c r="F218" s="6">
        <f>IF(C218="","",XLOOKUP(C218,Constants!$A$30:$A$200,Constants!$F$30:$F$200,"",0))</f>
        <v/>
      </c>
    </row>
    <row r="219">
      <c r="A219" s="8" t="n"/>
      <c r="B219" s="8" t="n"/>
      <c r="C219" s="8" t="n"/>
      <c r="D219" s="8" t="n"/>
      <c r="E219" s="6">
        <f>IF(C219="","",XLOOKUP(C219,Constants!$A$30:$A$200,Constants!$B$30:$B$200,"",0))</f>
        <v/>
      </c>
      <c r="F219" s="6">
        <f>IF(C219="","",XLOOKUP(C219,Constants!$A$30:$A$200,Constants!$F$30:$F$200,"",0))</f>
        <v/>
      </c>
    </row>
    <row r="220">
      <c r="A220" s="8" t="n"/>
      <c r="B220" s="8" t="n"/>
      <c r="C220" s="8" t="n"/>
      <c r="D220" s="8" t="n"/>
      <c r="E220" s="6">
        <f>IF(C220="","",XLOOKUP(C220,Constants!$A$30:$A$200,Constants!$B$30:$B$200,"",0))</f>
        <v/>
      </c>
      <c r="F220" s="6">
        <f>IF(C220="","",XLOOKUP(C220,Constants!$A$30:$A$200,Constants!$F$30:$F$200,"",0))</f>
        <v/>
      </c>
    </row>
    <row r="221">
      <c r="A221" s="8" t="n"/>
      <c r="B221" s="8" t="n"/>
      <c r="C221" s="8" t="n"/>
      <c r="D221" s="8" t="n"/>
      <c r="E221" s="6">
        <f>IF(C221="","",XLOOKUP(C221,Constants!$A$30:$A$200,Constants!$B$30:$B$200,"",0))</f>
        <v/>
      </c>
      <c r="F221" s="6">
        <f>IF(C221="","",XLOOKUP(C221,Constants!$A$30:$A$200,Constants!$F$30:$F$200,"",0))</f>
        <v/>
      </c>
    </row>
    <row r="222">
      <c r="A222" s="8" t="n"/>
      <c r="B222" s="8" t="n"/>
      <c r="C222" s="8" t="n"/>
      <c r="D222" s="8" t="n"/>
      <c r="E222" s="6">
        <f>IF(C222="","",XLOOKUP(C222,Constants!$A$30:$A$200,Constants!$B$30:$B$200,"",0))</f>
        <v/>
      </c>
      <c r="F222" s="6">
        <f>IF(C222="","",XLOOKUP(C222,Constants!$A$30:$A$200,Constants!$F$30:$F$200,"",0))</f>
        <v/>
      </c>
    </row>
    <row r="223">
      <c r="A223" s="8" t="n"/>
      <c r="B223" s="8" t="n"/>
      <c r="C223" s="8" t="n"/>
      <c r="D223" s="8" t="n"/>
      <c r="E223" s="6">
        <f>IF(C223="","",XLOOKUP(C223,Constants!$A$30:$A$200,Constants!$B$30:$B$200,"",0))</f>
        <v/>
      </c>
      <c r="F223" s="6">
        <f>IF(C223="","",XLOOKUP(C223,Constants!$A$30:$A$200,Constants!$F$30:$F$200,"",0))</f>
        <v/>
      </c>
    </row>
    <row r="224">
      <c r="A224" s="8" t="n"/>
      <c r="B224" s="8" t="n"/>
      <c r="C224" s="8" t="n"/>
      <c r="D224" s="8" t="n"/>
      <c r="E224" s="6">
        <f>IF(C224="","",XLOOKUP(C224,Constants!$A$30:$A$200,Constants!$B$30:$B$200,"",0))</f>
        <v/>
      </c>
      <c r="F224" s="6">
        <f>IF(C224="","",XLOOKUP(C224,Constants!$A$30:$A$200,Constants!$F$30:$F$200,"",0))</f>
        <v/>
      </c>
    </row>
    <row r="225">
      <c r="A225" s="8" t="n"/>
      <c r="B225" s="8" t="n"/>
      <c r="C225" s="8" t="n"/>
      <c r="D225" s="8" t="n"/>
      <c r="E225" s="6">
        <f>IF(C225="","",XLOOKUP(C225,Constants!$A$30:$A$200,Constants!$B$30:$B$200,"",0))</f>
        <v/>
      </c>
      <c r="F225" s="6">
        <f>IF(C225="","",XLOOKUP(C225,Constants!$A$30:$A$200,Constants!$F$30:$F$200,"",0))</f>
        <v/>
      </c>
    </row>
    <row r="226">
      <c r="A226" s="8" t="n"/>
      <c r="B226" s="8" t="n"/>
      <c r="C226" s="8" t="n"/>
      <c r="D226" s="8" t="n"/>
      <c r="E226" s="6">
        <f>IF(C226="","",XLOOKUP(C226,Constants!$A$30:$A$200,Constants!$B$30:$B$200,"",0))</f>
        <v/>
      </c>
      <c r="F226" s="6">
        <f>IF(C226="","",XLOOKUP(C226,Constants!$A$30:$A$200,Constants!$F$30:$F$200,"",0))</f>
        <v/>
      </c>
    </row>
    <row r="227">
      <c r="A227" s="8" t="n"/>
      <c r="B227" s="8" t="n"/>
      <c r="C227" s="8" t="n"/>
      <c r="D227" s="8" t="n"/>
      <c r="E227" s="6">
        <f>IF(C227="","",XLOOKUP(C227,Constants!$A$30:$A$200,Constants!$B$30:$B$200,"",0))</f>
        <v/>
      </c>
      <c r="F227" s="6">
        <f>IF(C227="","",XLOOKUP(C227,Constants!$A$30:$A$200,Constants!$F$30:$F$200,"",0))</f>
        <v/>
      </c>
    </row>
    <row r="228">
      <c r="A228" s="8" t="n"/>
      <c r="B228" s="8" t="n"/>
      <c r="C228" s="8" t="n"/>
      <c r="D228" s="8" t="n"/>
      <c r="E228" s="6">
        <f>IF(C228="","",XLOOKUP(C228,Constants!$A$30:$A$200,Constants!$B$30:$B$200,"",0))</f>
        <v/>
      </c>
      <c r="F228" s="6">
        <f>IF(C228="","",XLOOKUP(C228,Constants!$A$30:$A$200,Constants!$F$30:$F$200,"",0))</f>
        <v/>
      </c>
    </row>
    <row r="229">
      <c r="A229" s="8" t="n"/>
      <c r="B229" s="8" t="n"/>
      <c r="C229" s="8" t="n"/>
      <c r="D229" s="8" t="n"/>
      <c r="E229" s="6">
        <f>IF(C229="","",XLOOKUP(C229,Constants!$A$30:$A$200,Constants!$B$30:$B$200,"",0))</f>
        <v/>
      </c>
      <c r="F229" s="6">
        <f>IF(C229="","",XLOOKUP(C229,Constants!$A$30:$A$200,Constants!$F$30:$F$200,"",0))</f>
        <v/>
      </c>
    </row>
    <row r="230">
      <c r="A230" s="8" t="n"/>
      <c r="B230" s="8" t="n"/>
      <c r="C230" s="8" t="n"/>
      <c r="D230" s="8" t="n"/>
      <c r="E230" s="6">
        <f>IF(C230="","",XLOOKUP(C230,Constants!$A$30:$A$200,Constants!$B$30:$B$200,"",0))</f>
        <v/>
      </c>
      <c r="F230" s="6">
        <f>IF(C230="","",XLOOKUP(C230,Constants!$A$30:$A$200,Constants!$F$30:$F$200,"",0))</f>
        <v/>
      </c>
    </row>
    <row r="231">
      <c r="A231" s="8" t="n"/>
      <c r="B231" s="8" t="n"/>
      <c r="C231" s="8" t="n"/>
      <c r="D231" s="8" t="n"/>
      <c r="E231" s="6">
        <f>IF(C231="","",XLOOKUP(C231,Constants!$A$30:$A$200,Constants!$B$30:$B$200,"",0))</f>
        <v/>
      </c>
      <c r="F231" s="6">
        <f>IF(C231="","",XLOOKUP(C231,Constants!$A$30:$A$200,Constants!$F$30:$F$200,"",0))</f>
        <v/>
      </c>
    </row>
    <row r="232">
      <c r="A232" s="8" t="n"/>
      <c r="B232" s="8" t="n"/>
      <c r="C232" s="8" t="n"/>
      <c r="D232" s="8" t="n"/>
      <c r="E232" s="6">
        <f>IF(C232="","",XLOOKUP(C232,Constants!$A$30:$A$200,Constants!$B$30:$B$200,"",0))</f>
        <v/>
      </c>
      <c r="F232" s="6">
        <f>IF(C232="","",XLOOKUP(C232,Constants!$A$30:$A$200,Constants!$F$30:$F$200,"",0))</f>
        <v/>
      </c>
    </row>
    <row r="233">
      <c r="A233" s="8" t="n"/>
      <c r="B233" s="8" t="n"/>
      <c r="C233" s="8" t="n"/>
      <c r="D233" s="8" t="n"/>
      <c r="E233" s="6">
        <f>IF(C233="","",XLOOKUP(C233,Constants!$A$30:$A$200,Constants!$B$30:$B$200,"",0))</f>
        <v/>
      </c>
      <c r="F233" s="6">
        <f>IF(C233="","",XLOOKUP(C233,Constants!$A$30:$A$200,Constants!$F$30:$F$200,"",0))</f>
        <v/>
      </c>
    </row>
    <row r="234">
      <c r="A234" s="8" t="n"/>
      <c r="B234" s="8" t="n"/>
      <c r="C234" s="8" t="n"/>
      <c r="D234" s="8" t="n"/>
      <c r="E234" s="6">
        <f>IF(C234="","",XLOOKUP(C234,Constants!$A$30:$A$200,Constants!$B$30:$B$200,"",0))</f>
        <v/>
      </c>
      <c r="F234" s="6">
        <f>IF(C234="","",XLOOKUP(C234,Constants!$A$30:$A$200,Constants!$F$30:$F$200,"",0))</f>
        <v/>
      </c>
    </row>
    <row r="235">
      <c r="A235" s="8" t="n"/>
      <c r="B235" s="8" t="n"/>
      <c r="C235" s="8" t="n"/>
      <c r="D235" s="8" t="n"/>
      <c r="E235" s="6">
        <f>IF(C235="","",XLOOKUP(C235,Constants!$A$30:$A$200,Constants!$B$30:$B$200,"",0))</f>
        <v/>
      </c>
      <c r="F235" s="6">
        <f>IF(C235="","",XLOOKUP(C235,Constants!$A$30:$A$200,Constants!$F$30:$F$200,"",0))</f>
        <v/>
      </c>
    </row>
    <row r="236">
      <c r="A236" s="8" t="n"/>
      <c r="B236" s="8" t="n"/>
      <c r="C236" s="8" t="n"/>
      <c r="D236" s="8" t="n"/>
      <c r="E236" s="6">
        <f>IF(C236="","",XLOOKUP(C236,Constants!$A$30:$A$200,Constants!$B$30:$B$200,"",0))</f>
        <v/>
      </c>
      <c r="F236" s="6">
        <f>IF(C236="","",XLOOKUP(C236,Constants!$A$30:$A$200,Constants!$F$30:$F$200,"",0))</f>
        <v/>
      </c>
    </row>
    <row r="237">
      <c r="A237" s="8" t="n"/>
      <c r="B237" s="8" t="n"/>
      <c r="C237" s="8" t="n"/>
      <c r="D237" s="8" t="n"/>
      <c r="E237" s="6">
        <f>IF(C237="","",XLOOKUP(C237,Constants!$A$30:$A$200,Constants!$B$30:$B$200,"",0))</f>
        <v/>
      </c>
      <c r="F237" s="6">
        <f>IF(C237="","",XLOOKUP(C237,Constants!$A$30:$A$200,Constants!$F$30:$F$200,"",0))</f>
        <v/>
      </c>
    </row>
    <row r="238">
      <c r="A238" s="8" t="n"/>
      <c r="B238" s="8" t="n"/>
      <c r="C238" s="8" t="n"/>
      <c r="D238" s="8" t="n"/>
      <c r="E238" s="6">
        <f>IF(C238="","",XLOOKUP(C238,Constants!$A$30:$A$200,Constants!$B$30:$B$200,"",0))</f>
        <v/>
      </c>
      <c r="F238" s="6">
        <f>IF(C238="","",XLOOKUP(C238,Constants!$A$30:$A$200,Constants!$F$30:$F$200,"",0))</f>
        <v/>
      </c>
    </row>
    <row r="239">
      <c r="A239" s="8" t="n"/>
      <c r="B239" s="8" t="n"/>
      <c r="C239" s="8" t="n"/>
      <c r="D239" s="8" t="n"/>
      <c r="E239" s="6">
        <f>IF(C239="","",XLOOKUP(C239,Constants!$A$30:$A$200,Constants!$B$30:$B$200,"",0))</f>
        <v/>
      </c>
      <c r="F239" s="6">
        <f>IF(C239="","",XLOOKUP(C239,Constants!$A$30:$A$200,Constants!$F$30:$F$200,"",0))</f>
        <v/>
      </c>
    </row>
    <row r="240">
      <c r="A240" s="8" t="n"/>
      <c r="B240" s="8" t="n"/>
      <c r="C240" s="8" t="n"/>
      <c r="D240" s="8" t="n"/>
      <c r="E240" s="6">
        <f>IF(C240="","",XLOOKUP(C240,Constants!$A$30:$A$200,Constants!$B$30:$B$200,"",0))</f>
        <v/>
      </c>
      <c r="F240" s="6">
        <f>IF(C240="","",XLOOKUP(C240,Constants!$A$30:$A$200,Constants!$F$30:$F$200,"",0))</f>
        <v/>
      </c>
    </row>
    <row r="241">
      <c r="A241" s="8" t="n"/>
      <c r="B241" s="8" t="n"/>
      <c r="C241" s="8" t="n"/>
      <c r="D241" s="8" t="n"/>
      <c r="E241" s="6">
        <f>IF(C241="","",XLOOKUP(C241,Constants!$A$30:$A$200,Constants!$B$30:$B$200,"",0))</f>
        <v/>
      </c>
      <c r="F241" s="6">
        <f>IF(C241="","",XLOOKUP(C241,Constants!$A$30:$A$200,Constants!$F$30:$F$200,"",0))</f>
        <v/>
      </c>
    </row>
    <row r="242">
      <c r="A242" s="8" t="n"/>
      <c r="B242" s="8" t="n"/>
      <c r="C242" s="8" t="n"/>
      <c r="D242" s="8" t="n"/>
      <c r="E242" s="6">
        <f>IF(C242="","",XLOOKUP(C242,Constants!$A$30:$A$200,Constants!$B$30:$B$200,"",0))</f>
        <v/>
      </c>
      <c r="F242" s="6">
        <f>IF(C242="","",XLOOKUP(C242,Constants!$A$30:$A$200,Constants!$F$30:$F$200,"",0))</f>
        <v/>
      </c>
    </row>
    <row r="243">
      <c r="A243" s="8" t="n"/>
      <c r="B243" s="8" t="n"/>
      <c r="C243" s="8" t="n"/>
      <c r="D243" s="8" t="n"/>
      <c r="E243" s="6">
        <f>IF(C243="","",XLOOKUP(C243,Constants!$A$30:$A$200,Constants!$B$30:$B$200,"",0))</f>
        <v/>
      </c>
      <c r="F243" s="6">
        <f>IF(C243="","",XLOOKUP(C243,Constants!$A$30:$A$200,Constants!$F$30:$F$200,"",0))</f>
        <v/>
      </c>
    </row>
    <row r="244">
      <c r="A244" s="8" t="n"/>
      <c r="B244" s="8" t="n"/>
      <c r="C244" s="8" t="n"/>
      <c r="D244" s="8" t="n"/>
      <c r="E244" s="6">
        <f>IF(C244="","",XLOOKUP(C244,Constants!$A$30:$A$200,Constants!$B$30:$B$200,"",0))</f>
        <v/>
      </c>
      <c r="F244" s="6">
        <f>IF(C244="","",XLOOKUP(C244,Constants!$A$30:$A$200,Constants!$F$30:$F$200,"",0))</f>
        <v/>
      </c>
    </row>
    <row r="245">
      <c r="A245" s="8" t="n"/>
      <c r="B245" s="8" t="n"/>
      <c r="C245" s="8" t="n"/>
      <c r="D245" s="8" t="n"/>
      <c r="E245" s="6">
        <f>IF(C245="","",XLOOKUP(C245,Constants!$A$30:$A$200,Constants!$B$30:$B$200,"",0))</f>
        <v/>
      </c>
      <c r="F245" s="6">
        <f>IF(C245="","",XLOOKUP(C245,Constants!$A$30:$A$200,Constants!$F$30:$F$200,"",0))</f>
        <v/>
      </c>
    </row>
    <row r="246">
      <c r="A246" s="8" t="n"/>
      <c r="B246" s="8" t="n"/>
      <c r="C246" s="8" t="n"/>
      <c r="D246" s="8" t="n"/>
      <c r="E246" s="6">
        <f>IF(C246="","",XLOOKUP(C246,Constants!$A$30:$A$200,Constants!$B$30:$B$200,"",0))</f>
        <v/>
      </c>
      <c r="F246" s="6">
        <f>IF(C246="","",XLOOKUP(C246,Constants!$A$30:$A$200,Constants!$F$30:$F$200,"",0))</f>
        <v/>
      </c>
    </row>
    <row r="247">
      <c r="A247" s="8" t="n"/>
      <c r="B247" s="8" t="n"/>
      <c r="C247" s="8" t="n"/>
      <c r="D247" s="8" t="n"/>
      <c r="E247" s="6">
        <f>IF(C247="","",XLOOKUP(C247,Constants!$A$30:$A$200,Constants!$B$30:$B$200,"",0))</f>
        <v/>
      </c>
      <c r="F247" s="6">
        <f>IF(C247="","",XLOOKUP(C247,Constants!$A$30:$A$200,Constants!$F$30:$F$200,"",0))</f>
        <v/>
      </c>
    </row>
    <row r="248">
      <c r="A248" s="8" t="n"/>
      <c r="B248" s="8" t="n"/>
      <c r="C248" s="8" t="n"/>
      <c r="D248" s="8" t="n"/>
      <c r="E248" s="6">
        <f>IF(C248="","",XLOOKUP(C248,Constants!$A$30:$A$200,Constants!$B$30:$B$200,"",0))</f>
        <v/>
      </c>
      <c r="F248" s="6">
        <f>IF(C248="","",XLOOKUP(C248,Constants!$A$30:$A$200,Constants!$F$30:$F$200,"",0))</f>
        <v/>
      </c>
    </row>
    <row r="249">
      <c r="A249" s="8" t="n"/>
      <c r="B249" s="8" t="n"/>
      <c r="C249" s="8" t="n"/>
      <c r="D249" s="8" t="n"/>
      <c r="E249" s="6">
        <f>IF(C249="","",XLOOKUP(C249,Constants!$A$30:$A$200,Constants!$B$30:$B$200,"",0))</f>
        <v/>
      </c>
      <c r="F249" s="6">
        <f>IF(C249="","",XLOOKUP(C249,Constants!$A$30:$A$200,Constants!$F$30:$F$200,"",0))</f>
        <v/>
      </c>
    </row>
    <row r="250">
      <c r="A250" s="8" t="n"/>
      <c r="B250" s="8" t="n"/>
      <c r="C250" s="8" t="n"/>
      <c r="D250" s="8" t="n"/>
      <c r="E250" s="6">
        <f>IF(C250="","",XLOOKUP(C250,Constants!$A$30:$A$200,Constants!$B$30:$B$200,"",0))</f>
        <v/>
      </c>
      <c r="F250" s="6">
        <f>IF(C250="","",XLOOKUP(C250,Constants!$A$30:$A$200,Constants!$F$30:$F$200,"",0))</f>
        <v/>
      </c>
    </row>
    <row r="251">
      <c r="A251" s="8" t="n"/>
      <c r="B251" s="8" t="n"/>
      <c r="C251" s="8" t="n"/>
      <c r="D251" s="8" t="n"/>
      <c r="E251" s="6">
        <f>IF(C251="","",XLOOKUP(C251,Constants!$A$30:$A$200,Constants!$B$30:$B$200,"",0))</f>
        <v/>
      </c>
      <c r="F251" s="6">
        <f>IF(C251="","",XLOOKUP(C251,Constants!$A$30:$A$200,Constants!$F$30:$F$200,"",0))</f>
        <v/>
      </c>
    </row>
    <row r="252">
      <c r="A252" s="8" t="n"/>
      <c r="B252" s="8" t="n"/>
      <c r="C252" s="8" t="n"/>
      <c r="D252" s="8" t="n"/>
      <c r="E252" s="6">
        <f>IF(C252="","",XLOOKUP(C252,Constants!$A$30:$A$200,Constants!$B$30:$B$200,"",0))</f>
        <v/>
      </c>
      <c r="F252" s="6">
        <f>IF(C252="","",XLOOKUP(C252,Constants!$A$30:$A$200,Constants!$F$30:$F$200,"",0))</f>
        <v/>
      </c>
    </row>
    <row r="253">
      <c r="A253" s="8" t="n"/>
      <c r="B253" s="8" t="n"/>
      <c r="C253" s="8" t="n"/>
      <c r="D253" s="8" t="n"/>
      <c r="E253" s="6">
        <f>IF(C253="","",XLOOKUP(C253,Constants!$A$30:$A$200,Constants!$B$30:$B$200,"",0))</f>
        <v/>
      </c>
      <c r="F253" s="6">
        <f>IF(C253="","",XLOOKUP(C253,Constants!$A$30:$A$200,Constants!$F$30:$F$200,"",0))</f>
        <v/>
      </c>
    </row>
    <row r="254">
      <c r="A254" s="8" t="n"/>
      <c r="B254" s="8" t="n"/>
      <c r="C254" s="8" t="n"/>
      <c r="D254" s="8" t="n"/>
      <c r="E254" s="6">
        <f>IF(C254="","",XLOOKUP(C254,Constants!$A$30:$A$200,Constants!$B$30:$B$200,"",0))</f>
        <v/>
      </c>
      <c r="F254" s="6">
        <f>IF(C254="","",XLOOKUP(C254,Constants!$A$30:$A$200,Constants!$F$30:$F$200,"",0))</f>
        <v/>
      </c>
    </row>
    <row r="255">
      <c r="A255" s="8" t="n"/>
      <c r="B255" s="8" t="n"/>
      <c r="C255" s="8" t="n"/>
      <c r="D255" s="8" t="n"/>
      <c r="E255" s="6">
        <f>IF(C255="","",XLOOKUP(C255,Constants!$A$30:$A$200,Constants!$B$30:$B$200,"",0))</f>
        <v/>
      </c>
      <c r="F255" s="6">
        <f>IF(C255="","",XLOOKUP(C255,Constants!$A$30:$A$200,Constants!$F$30:$F$200,"",0))</f>
        <v/>
      </c>
    </row>
    <row r="256">
      <c r="A256" s="8" t="n"/>
      <c r="B256" s="8" t="n"/>
      <c r="C256" s="8" t="n"/>
      <c r="D256" s="8" t="n"/>
      <c r="E256" s="6">
        <f>IF(C256="","",XLOOKUP(C256,Constants!$A$30:$A$200,Constants!$B$30:$B$200,"",0))</f>
        <v/>
      </c>
      <c r="F256" s="6">
        <f>IF(C256="","",XLOOKUP(C256,Constants!$A$30:$A$200,Constants!$F$30:$F$200,"",0))</f>
        <v/>
      </c>
    </row>
    <row r="257">
      <c r="A257" s="8" t="n"/>
      <c r="B257" s="8" t="n"/>
      <c r="C257" s="8" t="n"/>
      <c r="D257" s="8" t="n"/>
      <c r="E257" s="6">
        <f>IF(C257="","",XLOOKUP(C257,Constants!$A$30:$A$200,Constants!$B$30:$B$200,"",0))</f>
        <v/>
      </c>
      <c r="F257" s="6">
        <f>IF(C257="","",XLOOKUP(C257,Constants!$A$30:$A$200,Constants!$F$30:$F$200,"",0))</f>
        <v/>
      </c>
    </row>
    <row r="258">
      <c r="A258" s="8" t="n"/>
      <c r="B258" s="8" t="n"/>
      <c r="C258" s="8" t="n"/>
      <c r="D258" s="8" t="n"/>
      <c r="E258" s="6">
        <f>IF(C258="","",XLOOKUP(C258,Constants!$A$30:$A$200,Constants!$B$30:$B$200,"",0))</f>
        <v/>
      </c>
      <c r="F258" s="6">
        <f>IF(C258="","",XLOOKUP(C258,Constants!$A$30:$A$200,Constants!$F$30:$F$200,"",0))</f>
        <v/>
      </c>
    </row>
    <row r="259">
      <c r="A259" s="8" t="n"/>
      <c r="B259" s="8" t="n"/>
      <c r="C259" s="8" t="n"/>
      <c r="D259" s="8" t="n"/>
      <c r="E259" s="6">
        <f>IF(C259="","",XLOOKUP(C259,Constants!$A$30:$A$200,Constants!$B$30:$B$200,"",0))</f>
        <v/>
      </c>
      <c r="F259" s="6">
        <f>IF(C259="","",XLOOKUP(C259,Constants!$A$30:$A$200,Constants!$F$30:$F$200,"",0))</f>
        <v/>
      </c>
    </row>
    <row r="260">
      <c r="A260" s="8" t="n"/>
      <c r="B260" s="8" t="n"/>
      <c r="C260" s="8" t="n"/>
      <c r="D260" s="8" t="n"/>
      <c r="E260" s="6">
        <f>IF(C260="","",XLOOKUP(C260,Constants!$A$30:$A$200,Constants!$B$30:$B$200,"",0))</f>
        <v/>
      </c>
      <c r="F260" s="6">
        <f>IF(C260="","",XLOOKUP(C260,Constants!$A$30:$A$200,Constants!$F$30:$F$200,"",0))</f>
        <v/>
      </c>
    </row>
    <row r="261">
      <c r="A261" s="8" t="n"/>
      <c r="B261" s="8" t="n"/>
      <c r="C261" s="8" t="n"/>
      <c r="D261" s="8" t="n"/>
      <c r="E261" s="6">
        <f>IF(C261="","",XLOOKUP(C261,Constants!$A$30:$A$200,Constants!$B$30:$B$200,"",0))</f>
        <v/>
      </c>
      <c r="F261" s="6">
        <f>IF(C261="","",XLOOKUP(C261,Constants!$A$30:$A$200,Constants!$F$30:$F$200,"",0))</f>
        <v/>
      </c>
    </row>
    <row r="262">
      <c r="A262" s="8" t="n"/>
      <c r="B262" s="8" t="n"/>
      <c r="C262" s="8" t="n"/>
      <c r="D262" s="8" t="n"/>
      <c r="E262" s="6">
        <f>IF(C262="","",XLOOKUP(C262,Constants!$A$30:$A$200,Constants!$B$30:$B$200,"",0))</f>
        <v/>
      </c>
      <c r="F262" s="6">
        <f>IF(C262="","",XLOOKUP(C262,Constants!$A$30:$A$200,Constants!$F$30:$F$200,"",0))</f>
        <v/>
      </c>
    </row>
    <row r="263">
      <c r="A263" s="8" t="n"/>
      <c r="B263" s="8" t="n"/>
      <c r="C263" s="8" t="n"/>
      <c r="D263" s="8" t="n"/>
      <c r="E263" s="6">
        <f>IF(C263="","",XLOOKUP(C263,Constants!$A$30:$A$200,Constants!$B$30:$B$200,"",0))</f>
        <v/>
      </c>
      <c r="F263" s="6">
        <f>IF(C263="","",XLOOKUP(C263,Constants!$A$30:$A$200,Constants!$F$30:$F$200,"",0))</f>
        <v/>
      </c>
    </row>
    <row r="264">
      <c r="A264" s="8" t="n"/>
      <c r="B264" s="8" t="n"/>
      <c r="C264" s="8" t="n"/>
      <c r="D264" s="8" t="n"/>
      <c r="E264" s="6">
        <f>IF(C264="","",XLOOKUP(C264,Constants!$A$30:$A$200,Constants!$B$30:$B$200,"",0))</f>
        <v/>
      </c>
      <c r="F264" s="6">
        <f>IF(C264="","",XLOOKUP(C264,Constants!$A$30:$A$200,Constants!$F$30:$F$200,"",0))</f>
        <v/>
      </c>
    </row>
    <row r="265">
      <c r="A265" s="8" t="n"/>
      <c r="B265" s="8" t="n"/>
      <c r="C265" s="8" t="n"/>
      <c r="D265" s="8" t="n"/>
      <c r="E265" s="6">
        <f>IF(C265="","",XLOOKUP(C265,Constants!$A$30:$A$200,Constants!$B$30:$B$200,"",0))</f>
        <v/>
      </c>
      <c r="F265" s="6">
        <f>IF(C265="","",XLOOKUP(C265,Constants!$A$30:$A$200,Constants!$F$30:$F$200,"",0))</f>
        <v/>
      </c>
    </row>
    <row r="266">
      <c r="A266" s="8" t="n"/>
      <c r="B266" s="8" t="n"/>
      <c r="C266" s="8" t="n"/>
      <c r="D266" s="8" t="n"/>
      <c r="E266" s="6">
        <f>IF(C266="","",XLOOKUP(C266,Constants!$A$30:$A$200,Constants!$B$30:$B$200,"",0))</f>
        <v/>
      </c>
      <c r="F266" s="6">
        <f>IF(C266="","",XLOOKUP(C266,Constants!$A$30:$A$200,Constants!$F$30:$F$200,"",0))</f>
        <v/>
      </c>
    </row>
    <row r="267">
      <c r="A267" s="8" t="n"/>
      <c r="B267" s="8" t="n"/>
      <c r="C267" s="8" t="n"/>
      <c r="D267" s="8" t="n"/>
      <c r="E267" s="6">
        <f>IF(C267="","",XLOOKUP(C267,Constants!$A$30:$A$200,Constants!$B$30:$B$200,"",0))</f>
        <v/>
      </c>
      <c r="F267" s="6">
        <f>IF(C267="","",XLOOKUP(C267,Constants!$A$30:$A$200,Constants!$F$30:$F$200,"",0))</f>
        <v/>
      </c>
    </row>
    <row r="268">
      <c r="A268" s="8" t="n"/>
      <c r="B268" s="8" t="n"/>
      <c r="C268" s="8" t="n"/>
      <c r="D268" s="8" t="n"/>
      <c r="E268" s="6">
        <f>IF(C268="","",XLOOKUP(C268,Constants!$A$30:$A$200,Constants!$B$30:$B$200,"",0))</f>
        <v/>
      </c>
      <c r="F268" s="6">
        <f>IF(C268="","",XLOOKUP(C268,Constants!$A$30:$A$200,Constants!$F$30:$F$200,"",0))</f>
        <v/>
      </c>
    </row>
    <row r="269">
      <c r="A269" s="8" t="n"/>
      <c r="B269" s="8" t="n"/>
      <c r="C269" s="8" t="n"/>
      <c r="D269" s="8" t="n"/>
      <c r="E269" s="6">
        <f>IF(C269="","",XLOOKUP(C269,Constants!$A$30:$A$200,Constants!$B$30:$B$200,"",0))</f>
        <v/>
      </c>
      <c r="F269" s="6">
        <f>IF(C269="","",XLOOKUP(C269,Constants!$A$30:$A$200,Constants!$F$30:$F$200,"",0))</f>
        <v/>
      </c>
    </row>
    <row r="270">
      <c r="A270" s="8" t="n"/>
      <c r="B270" s="8" t="n"/>
      <c r="C270" s="8" t="n"/>
      <c r="D270" s="8" t="n"/>
      <c r="E270" s="6">
        <f>IF(C270="","",XLOOKUP(C270,Constants!$A$30:$A$200,Constants!$B$30:$B$200,"",0))</f>
        <v/>
      </c>
      <c r="F270" s="6">
        <f>IF(C270="","",XLOOKUP(C270,Constants!$A$30:$A$200,Constants!$F$30:$F$200,"",0))</f>
        <v/>
      </c>
    </row>
    <row r="271">
      <c r="A271" s="8" t="n"/>
      <c r="B271" s="8" t="n"/>
      <c r="C271" s="8" t="n"/>
      <c r="D271" s="8" t="n"/>
      <c r="E271" s="6">
        <f>IF(C271="","",XLOOKUP(C271,Constants!$A$30:$A$200,Constants!$B$30:$B$200,"",0))</f>
        <v/>
      </c>
      <c r="F271" s="6">
        <f>IF(C271="","",XLOOKUP(C271,Constants!$A$30:$A$200,Constants!$F$30:$F$200,"",0))</f>
        <v/>
      </c>
    </row>
    <row r="272">
      <c r="A272" s="8" t="n"/>
      <c r="B272" s="8" t="n"/>
      <c r="C272" s="8" t="n"/>
      <c r="D272" s="8" t="n"/>
      <c r="E272" s="6">
        <f>IF(C272="","",XLOOKUP(C272,Constants!$A$30:$A$200,Constants!$B$30:$B$200,"",0))</f>
        <v/>
      </c>
      <c r="F272" s="6">
        <f>IF(C272="","",XLOOKUP(C272,Constants!$A$30:$A$200,Constants!$F$30:$F$200,"",0))</f>
        <v/>
      </c>
    </row>
    <row r="273">
      <c r="A273" s="8" t="n"/>
      <c r="B273" s="8" t="n"/>
      <c r="C273" s="8" t="n"/>
      <c r="D273" s="8" t="n"/>
      <c r="E273" s="6">
        <f>IF(C273="","",XLOOKUP(C273,Constants!$A$30:$A$200,Constants!$B$30:$B$200,"",0))</f>
        <v/>
      </c>
      <c r="F273" s="6">
        <f>IF(C273="","",XLOOKUP(C273,Constants!$A$30:$A$200,Constants!$F$30:$F$200,"",0))</f>
        <v/>
      </c>
    </row>
    <row r="274">
      <c r="A274" s="8" t="n"/>
      <c r="B274" s="8" t="n"/>
      <c r="C274" s="8" t="n"/>
      <c r="D274" s="8" t="n"/>
      <c r="E274" s="6">
        <f>IF(C274="","",XLOOKUP(C274,Constants!$A$30:$A$200,Constants!$B$30:$B$200,"",0))</f>
        <v/>
      </c>
      <c r="F274" s="6">
        <f>IF(C274="","",XLOOKUP(C274,Constants!$A$30:$A$200,Constants!$F$30:$F$200,"",0))</f>
        <v/>
      </c>
    </row>
    <row r="275">
      <c r="A275" s="8" t="n"/>
      <c r="B275" s="8" t="n"/>
      <c r="C275" s="8" t="n"/>
      <c r="D275" s="8" t="n"/>
      <c r="E275" s="6">
        <f>IF(C275="","",XLOOKUP(C275,Constants!$A$30:$A$200,Constants!$B$30:$B$200,"",0))</f>
        <v/>
      </c>
      <c r="F275" s="6">
        <f>IF(C275="","",XLOOKUP(C275,Constants!$A$30:$A$200,Constants!$F$30:$F$200,"",0))</f>
        <v/>
      </c>
    </row>
    <row r="276">
      <c r="A276" s="8" t="n"/>
      <c r="B276" s="8" t="n"/>
      <c r="C276" s="8" t="n"/>
      <c r="D276" s="8" t="n"/>
      <c r="E276" s="6">
        <f>IF(C276="","",XLOOKUP(C276,Constants!$A$30:$A$200,Constants!$B$30:$B$200,"",0))</f>
        <v/>
      </c>
      <c r="F276" s="6">
        <f>IF(C276="","",XLOOKUP(C276,Constants!$A$30:$A$200,Constants!$F$30:$F$200,"",0))</f>
        <v/>
      </c>
    </row>
    <row r="277">
      <c r="A277" s="8" t="n"/>
      <c r="B277" s="8" t="n"/>
      <c r="C277" s="8" t="n"/>
      <c r="D277" s="8" t="n"/>
      <c r="E277" s="6">
        <f>IF(C277="","",XLOOKUP(C277,Constants!$A$30:$A$200,Constants!$B$30:$B$200,"",0))</f>
        <v/>
      </c>
      <c r="F277" s="6">
        <f>IF(C277="","",XLOOKUP(C277,Constants!$A$30:$A$200,Constants!$F$30:$F$200,"",0))</f>
        <v/>
      </c>
    </row>
    <row r="278">
      <c r="A278" s="8" t="n"/>
      <c r="B278" s="8" t="n"/>
      <c r="C278" s="8" t="n"/>
      <c r="D278" s="8" t="n"/>
      <c r="E278" s="6">
        <f>IF(C278="","",XLOOKUP(C278,Constants!$A$30:$A$200,Constants!$B$30:$B$200,"",0))</f>
        <v/>
      </c>
      <c r="F278" s="6">
        <f>IF(C278="","",XLOOKUP(C278,Constants!$A$30:$A$200,Constants!$F$30:$F$200,"",0))</f>
        <v/>
      </c>
    </row>
    <row r="279">
      <c r="A279" s="8" t="n"/>
      <c r="B279" s="8" t="n"/>
      <c r="C279" s="8" t="n"/>
      <c r="D279" s="8" t="n"/>
      <c r="E279" s="6">
        <f>IF(C279="","",XLOOKUP(C279,Constants!$A$30:$A$200,Constants!$B$30:$B$200,"",0))</f>
        <v/>
      </c>
      <c r="F279" s="6">
        <f>IF(C279="","",XLOOKUP(C279,Constants!$A$30:$A$200,Constants!$F$30:$F$200,"",0))</f>
        <v/>
      </c>
    </row>
    <row r="280">
      <c r="A280" s="8" t="n"/>
      <c r="B280" s="8" t="n"/>
      <c r="C280" s="8" t="n"/>
      <c r="D280" s="8" t="n"/>
      <c r="E280" s="6">
        <f>IF(C280="","",XLOOKUP(C280,Constants!$A$30:$A$200,Constants!$B$30:$B$200,"",0))</f>
        <v/>
      </c>
      <c r="F280" s="6">
        <f>IF(C280="","",XLOOKUP(C280,Constants!$A$30:$A$200,Constants!$F$30:$F$200,"",0))</f>
        <v/>
      </c>
    </row>
    <row r="281">
      <c r="A281" s="8" t="n"/>
      <c r="B281" s="8" t="n"/>
      <c r="C281" s="8" t="n"/>
      <c r="D281" s="8" t="n"/>
      <c r="E281" s="6">
        <f>IF(C281="","",XLOOKUP(C281,Constants!$A$30:$A$200,Constants!$B$30:$B$200,"",0))</f>
        <v/>
      </c>
      <c r="F281" s="6">
        <f>IF(C281="","",XLOOKUP(C281,Constants!$A$30:$A$200,Constants!$F$30:$F$200,"",0))</f>
        <v/>
      </c>
    </row>
    <row r="282">
      <c r="A282" s="8" t="n"/>
      <c r="B282" s="8" t="n"/>
      <c r="C282" s="8" t="n"/>
      <c r="D282" s="8" t="n"/>
      <c r="E282" s="6">
        <f>IF(C282="","",XLOOKUP(C282,Constants!$A$30:$A$200,Constants!$B$30:$B$200,"",0))</f>
        <v/>
      </c>
      <c r="F282" s="6">
        <f>IF(C282="","",XLOOKUP(C282,Constants!$A$30:$A$200,Constants!$F$30:$F$200,"",0))</f>
        <v/>
      </c>
    </row>
    <row r="283">
      <c r="A283" s="8" t="n"/>
      <c r="B283" s="8" t="n"/>
      <c r="C283" s="8" t="n"/>
      <c r="D283" s="8" t="n"/>
      <c r="E283" s="6">
        <f>IF(C283="","",XLOOKUP(C283,Constants!$A$30:$A$200,Constants!$B$30:$B$200,"",0))</f>
        <v/>
      </c>
      <c r="F283" s="6">
        <f>IF(C283="","",XLOOKUP(C283,Constants!$A$30:$A$200,Constants!$F$30:$F$200,"",0))</f>
        <v/>
      </c>
    </row>
    <row r="284">
      <c r="A284" s="8" t="n"/>
      <c r="B284" s="8" t="n"/>
      <c r="C284" s="8" t="n"/>
      <c r="D284" s="8" t="n"/>
      <c r="E284" s="6">
        <f>IF(C284="","",XLOOKUP(C284,Constants!$A$30:$A$200,Constants!$B$30:$B$200,"",0))</f>
        <v/>
      </c>
      <c r="F284" s="6">
        <f>IF(C284="","",XLOOKUP(C284,Constants!$A$30:$A$200,Constants!$F$30:$F$200,"",0))</f>
        <v/>
      </c>
    </row>
    <row r="285">
      <c r="A285" s="8" t="n"/>
      <c r="B285" s="8" t="n"/>
      <c r="C285" s="8" t="n"/>
      <c r="D285" s="8" t="n"/>
      <c r="E285" s="6">
        <f>IF(C285="","",XLOOKUP(C285,Constants!$A$30:$A$200,Constants!$B$30:$B$200,"",0))</f>
        <v/>
      </c>
      <c r="F285" s="6">
        <f>IF(C285="","",XLOOKUP(C285,Constants!$A$30:$A$200,Constants!$F$30:$F$200,"",0))</f>
        <v/>
      </c>
    </row>
    <row r="286">
      <c r="A286" s="8" t="n"/>
      <c r="B286" s="8" t="n"/>
      <c r="C286" s="8" t="n"/>
      <c r="D286" s="8" t="n"/>
      <c r="E286" s="6">
        <f>IF(C286="","",XLOOKUP(C286,Constants!$A$30:$A$200,Constants!$B$30:$B$200,"",0))</f>
        <v/>
      </c>
      <c r="F286" s="6">
        <f>IF(C286="","",XLOOKUP(C286,Constants!$A$30:$A$200,Constants!$F$30:$F$200,"",0))</f>
        <v/>
      </c>
    </row>
    <row r="287">
      <c r="A287" s="8" t="n"/>
      <c r="B287" s="8" t="n"/>
      <c r="C287" s="8" t="n"/>
      <c r="D287" s="8" t="n"/>
      <c r="E287" s="6">
        <f>IF(C287="","",XLOOKUP(C287,Constants!$A$30:$A$200,Constants!$B$30:$B$200,"",0))</f>
        <v/>
      </c>
      <c r="F287" s="6">
        <f>IF(C287="","",XLOOKUP(C287,Constants!$A$30:$A$200,Constants!$F$30:$F$200,"",0))</f>
        <v/>
      </c>
    </row>
    <row r="288">
      <c r="A288" s="8" t="n"/>
      <c r="B288" s="8" t="n"/>
      <c r="C288" s="8" t="n"/>
      <c r="D288" s="8" t="n"/>
      <c r="E288" s="6">
        <f>IF(C288="","",XLOOKUP(C288,Constants!$A$30:$A$200,Constants!$B$30:$B$200,"",0))</f>
        <v/>
      </c>
      <c r="F288" s="6">
        <f>IF(C288="","",XLOOKUP(C288,Constants!$A$30:$A$200,Constants!$F$30:$F$200,"",0))</f>
        <v/>
      </c>
    </row>
    <row r="289">
      <c r="A289" s="8" t="n"/>
      <c r="B289" s="8" t="n"/>
      <c r="C289" s="8" t="n"/>
      <c r="D289" s="8" t="n"/>
      <c r="E289" s="6">
        <f>IF(C289="","",XLOOKUP(C289,Constants!$A$30:$A$200,Constants!$B$30:$B$200,"",0))</f>
        <v/>
      </c>
      <c r="F289" s="6">
        <f>IF(C289="","",XLOOKUP(C289,Constants!$A$30:$A$200,Constants!$F$30:$F$200,"",0))</f>
        <v/>
      </c>
    </row>
    <row r="290">
      <c r="A290" s="8" t="n"/>
      <c r="B290" s="8" t="n"/>
      <c r="C290" s="8" t="n"/>
      <c r="D290" s="8" t="n"/>
      <c r="E290" s="6">
        <f>IF(C290="","",XLOOKUP(C290,Constants!$A$30:$A$200,Constants!$B$30:$B$200,"",0))</f>
        <v/>
      </c>
      <c r="F290" s="6">
        <f>IF(C290="","",XLOOKUP(C290,Constants!$A$30:$A$200,Constants!$F$30:$F$200,"",0))</f>
        <v/>
      </c>
    </row>
    <row r="291">
      <c r="A291" s="8" t="n"/>
      <c r="B291" s="8" t="n"/>
      <c r="C291" s="8" t="n"/>
      <c r="D291" s="8" t="n"/>
      <c r="E291" s="6">
        <f>IF(C291="","",XLOOKUP(C291,Constants!$A$30:$A$200,Constants!$B$30:$B$200,"",0))</f>
        <v/>
      </c>
      <c r="F291" s="6">
        <f>IF(C291="","",XLOOKUP(C291,Constants!$A$30:$A$200,Constants!$F$30:$F$200,"",0))</f>
        <v/>
      </c>
    </row>
    <row r="292">
      <c r="A292" s="8" t="n"/>
      <c r="B292" s="8" t="n"/>
      <c r="C292" s="8" t="n"/>
      <c r="D292" s="8" t="n"/>
      <c r="E292" s="6">
        <f>IF(C292="","",XLOOKUP(C292,Constants!$A$30:$A$200,Constants!$B$30:$B$200,"",0))</f>
        <v/>
      </c>
      <c r="F292" s="6">
        <f>IF(C292="","",XLOOKUP(C292,Constants!$A$30:$A$200,Constants!$F$30:$F$200,"",0))</f>
        <v/>
      </c>
    </row>
    <row r="293">
      <c r="A293" s="8" t="n"/>
      <c r="B293" s="8" t="n"/>
      <c r="C293" s="8" t="n"/>
      <c r="D293" s="8" t="n"/>
      <c r="E293" s="6">
        <f>IF(C293="","",XLOOKUP(C293,Constants!$A$30:$A$200,Constants!$B$30:$B$200,"",0))</f>
        <v/>
      </c>
      <c r="F293" s="6">
        <f>IF(C293="","",XLOOKUP(C293,Constants!$A$30:$A$200,Constants!$F$30:$F$200,"",0))</f>
        <v/>
      </c>
    </row>
    <row r="294">
      <c r="A294" s="8" t="n"/>
      <c r="B294" s="8" t="n"/>
      <c r="C294" s="8" t="n"/>
      <c r="D294" s="8" t="n"/>
      <c r="E294" s="6">
        <f>IF(C294="","",XLOOKUP(C294,Constants!$A$30:$A$200,Constants!$B$30:$B$200,"",0))</f>
        <v/>
      </c>
      <c r="F294" s="6">
        <f>IF(C294="","",XLOOKUP(C294,Constants!$A$30:$A$200,Constants!$F$30:$F$200,"",0))</f>
        <v/>
      </c>
    </row>
    <row r="295">
      <c r="A295" s="8" t="n"/>
      <c r="B295" s="8" t="n"/>
      <c r="C295" s="8" t="n"/>
      <c r="D295" s="8" t="n"/>
      <c r="E295" s="6">
        <f>IF(C295="","",XLOOKUP(C295,Constants!$A$30:$A$200,Constants!$B$30:$B$200,"",0))</f>
        <v/>
      </c>
      <c r="F295" s="6">
        <f>IF(C295="","",XLOOKUP(C295,Constants!$A$30:$A$200,Constants!$F$30:$F$200,"",0))</f>
        <v/>
      </c>
    </row>
    <row r="296">
      <c r="A296" s="8" t="n"/>
      <c r="B296" s="8" t="n"/>
      <c r="C296" s="8" t="n"/>
      <c r="D296" s="8" t="n"/>
      <c r="E296" s="6">
        <f>IF(C296="","",XLOOKUP(C296,Constants!$A$30:$A$200,Constants!$B$30:$B$200,"",0))</f>
        <v/>
      </c>
      <c r="F296" s="6">
        <f>IF(C296="","",XLOOKUP(C296,Constants!$A$30:$A$200,Constants!$F$30:$F$200,"",0))</f>
        <v/>
      </c>
    </row>
    <row r="297">
      <c r="A297" s="8" t="n"/>
      <c r="B297" s="8" t="n"/>
      <c r="C297" s="8" t="n"/>
      <c r="D297" s="8" t="n"/>
      <c r="E297" s="6">
        <f>IF(C297="","",XLOOKUP(C297,Constants!$A$30:$A$200,Constants!$B$30:$B$200,"",0))</f>
        <v/>
      </c>
      <c r="F297" s="6">
        <f>IF(C297="","",XLOOKUP(C297,Constants!$A$30:$A$200,Constants!$F$30:$F$200,"",0))</f>
        <v/>
      </c>
    </row>
    <row r="298">
      <c r="A298" s="8" t="n"/>
      <c r="B298" s="8" t="n"/>
      <c r="C298" s="8" t="n"/>
      <c r="D298" s="8" t="n"/>
      <c r="E298" s="6">
        <f>IF(C298="","",XLOOKUP(C298,Constants!$A$30:$A$200,Constants!$B$30:$B$200,"",0))</f>
        <v/>
      </c>
      <c r="F298" s="6">
        <f>IF(C298="","",XLOOKUP(C298,Constants!$A$30:$A$200,Constants!$F$30:$F$200,"",0))</f>
        <v/>
      </c>
    </row>
    <row r="299">
      <c r="A299" s="8" t="n"/>
      <c r="B299" s="8" t="n"/>
      <c r="C299" s="8" t="n"/>
      <c r="D299" s="8" t="n"/>
      <c r="E299" s="6">
        <f>IF(C299="","",XLOOKUP(C299,Constants!$A$30:$A$200,Constants!$B$30:$B$200,"",0))</f>
        <v/>
      </c>
      <c r="F299" s="6">
        <f>IF(C299="","",XLOOKUP(C299,Constants!$A$30:$A$200,Constants!$F$30:$F$200,"",0))</f>
        <v/>
      </c>
    </row>
    <row r="300">
      <c r="A300" s="8" t="n"/>
      <c r="B300" s="8" t="n"/>
      <c r="C300" s="8" t="n"/>
      <c r="D300" s="8" t="n"/>
      <c r="E300" s="6">
        <f>IF(C300="","",XLOOKUP(C300,Constants!$A$30:$A$200,Constants!$B$30:$B$200,"",0))</f>
        <v/>
      </c>
      <c r="F300" s="6">
        <f>IF(C300="","",XLOOKUP(C300,Constants!$A$30:$A$200,Constants!$F$30:$F$200,"",0))</f>
        <v/>
      </c>
    </row>
    <row r="301">
      <c r="A301" s="8" t="n"/>
      <c r="B301" s="8" t="n"/>
      <c r="C301" s="8" t="n"/>
      <c r="D301" s="8" t="n"/>
      <c r="E301" s="6">
        <f>IF(C301="","",XLOOKUP(C301,Constants!$A$30:$A$200,Constants!$B$30:$B$200,"",0))</f>
        <v/>
      </c>
      <c r="F301" s="6">
        <f>IF(C301="","",XLOOKUP(C301,Constants!$A$30:$A$200,Constants!$F$30:$F$200,"",0))</f>
        <v/>
      </c>
    </row>
    <row r="302">
      <c r="A302" s="8" t="n"/>
      <c r="B302" s="8" t="n"/>
      <c r="C302" s="8" t="n"/>
      <c r="D302" s="8" t="n"/>
      <c r="E302" s="6">
        <f>IF(C302="","",XLOOKUP(C302,Constants!$A$30:$A$200,Constants!$B$30:$B$200,"",0))</f>
        <v/>
      </c>
      <c r="F302" s="6">
        <f>IF(C302="","",XLOOKUP(C302,Constants!$A$30:$A$200,Constants!$F$30:$F$200,"",0))</f>
        <v/>
      </c>
    </row>
    <row r="303">
      <c r="A303" s="8" t="n"/>
      <c r="B303" s="8" t="n"/>
      <c r="C303" s="8" t="n"/>
      <c r="D303" s="8" t="n"/>
      <c r="E303" s="6">
        <f>IF(C303="","",XLOOKUP(C303,Constants!$A$30:$A$200,Constants!$B$30:$B$200,"",0))</f>
        <v/>
      </c>
      <c r="F303" s="6">
        <f>IF(C303="","",XLOOKUP(C303,Constants!$A$30:$A$200,Constants!$F$30:$F$200,"",0))</f>
        <v/>
      </c>
    </row>
    <row r="304">
      <c r="A304" s="8" t="n"/>
      <c r="B304" s="8" t="n"/>
      <c r="C304" s="8" t="n"/>
      <c r="D304" s="8" t="n"/>
      <c r="E304" s="6">
        <f>IF(C304="","",XLOOKUP(C304,Constants!$A$30:$A$200,Constants!$B$30:$B$200,"",0))</f>
        <v/>
      </c>
      <c r="F304" s="6">
        <f>IF(C304="","",XLOOKUP(C304,Constants!$A$30:$A$200,Constants!$F$30:$F$200,"",0))</f>
        <v/>
      </c>
    </row>
    <row r="305">
      <c r="A305" s="8" t="n"/>
      <c r="B305" s="8" t="n"/>
      <c r="C305" s="8" t="n"/>
      <c r="D305" s="8" t="n"/>
      <c r="E305" s="6">
        <f>IF(C305="","",XLOOKUP(C305,Constants!$A$30:$A$200,Constants!$B$30:$B$200,"",0))</f>
        <v/>
      </c>
      <c r="F305" s="6">
        <f>IF(C305="","",XLOOKUP(C305,Constants!$A$30:$A$200,Constants!$F$30:$F$200,"",0))</f>
        <v/>
      </c>
    </row>
    <row r="306">
      <c r="A306" s="8" t="n"/>
      <c r="B306" s="8" t="n"/>
      <c r="C306" s="8" t="n"/>
      <c r="D306" s="8" t="n"/>
      <c r="E306" s="6">
        <f>IF(C306="","",XLOOKUP(C306,Constants!$A$30:$A$200,Constants!$B$30:$B$200,"",0))</f>
        <v/>
      </c>
      <c r="F306" s="6">
        <f>IF(C306="","",XLOOKUP(C306,Constants!$A$30:$A$200,Constants!$F$30:$F$200,"",0))</f>
        <v/>
      </c>
    </row>
    <row r="307">
      <c r="A307" s="8" t="n"/>
      <c r="B307" s="8" t="n"/>
      <c r="C307" s="8" t="n"/>
      <c r="D307" s="8" t="n"/>
      <c r="E307" s="6">
        <f>IF(C307="","",XLOOKUP(C307,Constants!$A$30:$A$200,Constants!$B$30:$B$200,"",0))</f>
        <v/>
      </c>
      <c r="F307" s="6">
        <f>IF(C307="","",XLOOKUP(C307,Constants!$A$30:$A$200,Constants!$F$30:$F$200,"",0))</f>
        <v/>
      </c>
    </row>
    <row r="308">
      <c r="A308" s="8" t="n"/>
      <c r="B308" s="8" t="n"/>
      <c r="C308" s="8" t="n"/>
      <c r="D308" s="8" t="n"/>
      <c r="E308" s="6">
        <f>IF(C308="","",XLOOKUP(C308,Constants!$A$30:$A$200,Constants!$B$30:$B$200,"",0))</f>
        <v/>
      </c>
      <c r="F308" s="6">
        <f>IF(C308="","",XLOOKUP(C308,Constants!$A$30:$A$200,Constants!$F$30:$F$200,"",0))</f>
        <v/>
      </c>
    </row>
    <row r="309">
      <c r="A309" s="8" t="n"/>
      <c r="B309" s="8" t="n"/>
      <c r="C309" s="8" t="n"/>
      <c r="D309" s="8" t="n"/>
      <c r="E309" s="6">
        <f>IF(C309="","",XLOOKUP(C309,Constants!$A$30:$A$200,Constants!$B$30:$B$200,"",0))</f>
        <v/>
      </c>
      <c r="F309" s="6">
        <f>IF(C309="","",XLOOKUP(C309,Constants!$A$30:$A$200,Constants!$F$30:$F$200,"",0))</f>
        <v/>
      </c>
    </row>
    <row r="310">
      <c r="A310" s="8" t="n"/>
      <c r="B310" s="8" t="n"/>
      <c r="C310" s="8" t="n"/>
      <c r="D310" s="8" t="n"/>
      <c r="E310" s="6">
        <f>IF(C310="","",XLOOKUP(C310,Constants!$A$30:$A$200,Constants!$B$30:$B$200,"",0))</f>
        <v/>
      </c>
      <c r="F310" s="6">
        <f>IF(C310="","",XLOOKUP(C310,Constants!$A$30:$A$200,Constants!$F$30:$F$200,"",0))</f>
        <v/>
      </c>
    </row>
    <row r="311">
      <c r="A311" s="8" t="n"/>
      <c r="B311" s="8" t="n"/>
      <c r="C311" s="8" t="n"/>
      <c r="D311" s="8" t="n"/>
      <c r="E311" s="6">
        <f>IF(C311="","",XLOOKUP(C311,Constants!$A$30:$A$200,Constants!$B$30:$B$200,"",0))</f>
        <v/>
      </c>
      <c r="F311" s="6">
        <f>IF(C311="","",XLOOKUP(C311,Constants!$A$30:$A$200,Constants!$F$30:$F$200,"",0))</f>
        <v/>
      </c>
    </row>
    <row r="312">
      <c r="A312" s="8" t="n"/>
      <c r="B312" s="8" t="n"/>
      <c r="C312" s="8" t="n"/>
      <c r="D312" s="8" t="n"/>
      <c r="E312" s="6">
        <f>IF(C312="","",XLOOKUP(C312,Constants!$A$30:$A$200,Constants!$B$30:$B$200,"",0))</f>
        <v/>
      </c>
      <c r="F312" s="6">
        <f>IF(C312="","",XLOOKUP(C312,Constants!$A$30:$A$200,Constants!$F$30:$F$200,"",0))</f>
        <v/>
      </c>
    </row>
    <row r="313">
      <c r="A313" s="8" t="n"/>
      <c r="B313" s="8" t="n"/>
      <c r="C313" s="8" t="n"/>
      <c r="D313" s="8" t="n"/>
      <c r="E313" s="6">
        <f>IF(C313="","",XLOOKUP(C313,Constants!$A$30:$A$200,Constants!$B$30:$B$200,"",0))</f>
        <v/>
      </c>
      <c r="F313" s="6">
        <f>IF(C313="","",XLOOKUP(C313,Constants!$A$30:$A$200,Constants!$F$30:$F$200,"",0))</f>
        <v/>
      </c>
    </row>
    <row r="314">
      <c r="A314" s="8" t="n"/>
      <c r="B314" s="8" t="n"/>
      <c r="C314" s="8" t="n"/>
      <c r="D314" s="8" t="n"/>
      <c r="E314" s="6">
        <f>IF(C314="","",XLOOKUP(C314,Constants!$A$30:$A$200,Constants!$B$30:$B$200,"",0))</f>
        <v/>
      </c>
      <c r="F314" s="6">
        <f>IF(C314="","",XLOOKUP(C314,Constants!$A$30:$A$200,Constants!$F$30:$F$200,"",0))</f>
        <v/>
      </c>
    </row>
    <row r="315">
      <c r="A315" s="8" t="n"/>
      <c r="B315" s="8" t="n"/>
      <c r="C315" s="8" t="n"/>
      <c r="D315" s="8" t="n"/>
      <c r="E315" s="6">
        <f>IF(C315="","",XLOOKUP(C315,Constants!$A$30:$A$200,Constants!$B$30:$B$200,"",0))</f>
        <v/>
      </c>
      <c r="F315" s="6">
        <f>IF(C315="","",XLOOKUP(C315,Constants!$A$30:$A$200,Constants!$F$30:$F$200,"",0))</f>
        <v/>
      </c>
    </row>
    <row r="316">
      <c r="A316" s="8" t="n"/>
      <c r="B316" s="8" t="n"/>
      <c r="C316" s="8" t="n"/>
      <c r="D316" s="8" t="n"/>
      <c r="E316" s="6">
        <f>IF(C316="","",XLOOKUP(C316,Constants!$A$30:$A$200,Constants!$B$30:$B$200,"",0))</f>
        <v/>
      </c>
      <c r="F316" s="6">
        <f>IF(C316="","",XLOOKUP(C316,Constants!$A$30:$A$200,Constants!$F$30:$F$200,"",0))</f>
        <v/>
      </c>
    </row>
    <row r="317">
      <c r="A317" s="8" t="n"/>
      <c r="B317" s="8" t="n"/>
      <c r="C317" s="8" t="n"/>
      <c r="D317" s="8" t="n"/>
      <c r="E317" s="6">
        <f>IF(C317="","",XLOOKUP(C317,Constants!$A$30:$A$200,Constants!$B$30:$B$200,"",0))</f>
        <v/>
      </c>
      <c r="F317" s="6">
        <f>IF(C317="","",XLOOKUP(C317,Constants!$A$30:$A$200,Constants!$F$30:$F$200,"",0))</f>
        <v/>
      </c>
    </row>
    <row r="318">
      <c r="A318" s="8" t="n"/>
      <c r="B318" s="8" t="n"/>
      <c r="C318" s="8" t="n"/>
      <c r="D318" s="8" t="n"/>
      <c r="E318" s="6">
        <f>IF(C318="","",XLOOKUP(C318,Constants!$A$30:$A$200,Constants!$B$30:$B$200,"",0))</f>
        <v/>
      </c>
      <c r="F318" s="6">
        <f>IF(C318="","",XLOOKUP(C318,Constants!$A$30:$A$200,Constants!$F$30:$F$200,"",0))</f>
        <v/>
      </c>
    </row>
    <row r="319">
      <c r="A319" s="8" t="n"/>
      <c r="B319" s="8" t="n"/>
      <c r="C319" s="8" t="n"/>
      <c r="D319" s="8" t="n"/>
      <c r="E319" s="6">
        <f>IF(C319="","",XLOOKUP(C319,Constants!$A$30:$A$200,Constants!$B$30:$B$200,"",0))</f>
        <v/>
      </c>
      <c r="F319" s="6">
        <f>IF(C319="","",XLOOKUP(C319,Constants!$A$30:$A$200,Constants!$F$30:$F$200,"",0))</f>
        <v/>
      </c>
    </row>
    <row r="320">
      <c r="A320" s="8" t="n"/>
      <c r="B320" s="8" t="n"/>
      <c r="C320" s="8" t="n"/>
      <c r="D320" s="8" t="n"/>
      <c r="E320" s="6">
        <f>IF(C320="","",XLOOKUP(C320,Constants!$A$30:$A$200,Constants!$B$30:$B$200,"",0))</f>
        <v/>
      </c>
      <c r="F320" s="6">
        <f>IF(C320="","",XLOOKUP(C320,Constants!$A$30:$A$200,Constants!$F$30:$F$200,"",0))</f>
        <v/>
      </c>
    </row>
    <row r="321">
      <c r="A321" s="8" t="n"/>
      <c r="B321" s="8" t="n"/>
      <c r="C321" s="8" t="n"/>
      <c r="D321" s="8" t="n"/>
      <c r="E321" s="6">
        <f>IF(C321="","",XLOOKUP(C321,Constants!$A$30:$A$200,Constants!$B$30:$B$200,"",0))</f>
        <v/>
      </c>
      <c r="F321" s="6">
        <f>IF(C321="","",XLOOKUP(C321,Constants!$A$30:$A$200,Constants!$F$30:$F$200,"",0))</f>
        <v/>
      </c>
    </row>
    <row r="322">
      <c r="A322" s="8" t="n"/>
      <c r="B322" s="8" t="n"/>
      <c r="C322" s="8" t="n"/>
      <c r="D322" s="8" t="n"/>
      <c r="E322" s="6">
        <f>IF(C322="","",XLOOKUP(C322,Constants!$A$30:$A$200,Constants!$B$30:$B$200,"",0))</f>
        <v/>
      </c>
      <c r="F322" s="6">
        <f>IF(C322="","",XLOOKUP(C322,Constants!$A$30:$A$200,Constants!$F$30:$F$200,"",0))</f>
        <v/>
      </c>
    </row>
    <row r="323">
      <c r="A323" s="8" t="n"/>
      <c r="B323" s="8" t="n"/>
      <c r="C323" s="8" t="n"/>
      <c r="D323" s="8" t="n"/>
      <c r="E323" s="6">
        <f>IF(C323="","",XLOOKUP(C323,Constants!$A$30:$A$200,Constants!$B$30:$B$200,"",0))</f>
        <v/>
      </c>
      <c r="F323" s="6">
        <f>IF(C323="","",XLOOKUP(C323,Constants!$A$30:$A$200,Constants!$F$30:$F$200,"",0))</f>
        <v/>
      </c>
    </row>
    <row r="324">
      <c r="A324" s="8" t="n"/>
      <c r="B324" s="8" t="n"/>
      <c r="C324" s="8" t="n"/>
      <c r="D324" s="8" t="n"/>
      <c r="E324" s="6">
        <f>IF(C324="","",XLOOKUP(C324,Constants!$A$30:$A$200,Constants!$B$30:$B$200,"",0))</f>
        <v/>
      </c>
      <c r="F324" s="6">
        <f>IF(C324="","",XLOOKUP(C324,Constants!$A$30:$A$200,Constants!$F$30:$F$200,"",0))</f>
        <v/>
      </c>
    </row>
    <row r="325">
      <c r="A325" s="8" t="n"/>
      <c r="B325" s="8" t="n"/>
      <c r="C325" s="8" t="n"/>
      <c r="D325" s="8" t="n"/>
      <c r="E325" s="6">
        <f>IF(C325="","",XLOOKUP(C325,Constants!$A$30:$A$200,Constants!$B$30:$B$200,"",0))</f>
        <v/>
      </c>
      <c r="F325" s="6">
        <f>IF(C325="","",XLOOKUP(C325,Constants!$A$30:$A$200,Constants!$F$30:$F$200,"",0))</f>
        <v/>
      </c>
    </row>
    <row r="326">
      <c r="A326" s="8" t="n"/>
      <c r="B326" s="8" t="n"/>
      <c r="C326" s="8" t="n"/>
      <c r="D326" s="8" t="n"/>
      <c r="E326" s="6">
        <f>IF(C326="","",XLOOKUP(C326,Constants!$A$30:$A$200,Constants!$B$30:$B$200,"",0))</f>
        <v/>
      </c>
      <c r="F326" s="6">
        <f>IF(C326="","",XLOOKUP(C326,Constants!$A$30:$A$200,Constants!$F$30:$F$200,"",0))</f>
        <v/>
      </c>
    </row>
    <row r="327">
      <c r="A327" s="8" t="n"/>
      <c r="B327" s="8" t="n"/>
      <c r="C327" s="8" t="n"/>
      <c r="D327" s="8" t="n"/>
      <c r="E327" s="6">
        <f>IF(C327="","",XLOOKUP(C327,Constants!$A$30:$A$200,Constants!$B$30:$B$200,"",0))</f>
        <v/>
      </c>
      <c r="F327" s="6">
        <f>IF(C327="","",XLOOKUP(C327,Constants!$A$30:$A$200,Constants!$F$30:$F$200,"",0))</f>
        <v/>
      </c>
    </row>
    <row r="328">
      <c r="A328" s="8" t="n"/>
      <c r="B328" s="8" t="n"/>
      <c r="C328" s="8" t="n"/>
      <c r="D328" s="8" t="n"/>
      <c r="E328" s="6">
        <f>IF(C328="","",XLOOKUP(C328,Constants!$A$30:$A$200,Constants!$B$30:$B$200,"",0))</f>
        <v/>
      </c>
      <c r="F328" s="6">
        <f>IF(C328="","",XLOOKUP(C328,Constants!$A$30:$A$200,Constants!$F$30:$F$200,"",0))</f>
        <v/>
      </c>
    </row>
    <row r="329">
      <c r="A329" s="8" t="n"/>
      <c r="B329" s="8" t="n"/>
      <c r="C329" s="8" t="n"/>
      <c r="D329" s="8" t="n"/>
      <c r="E329" s="6">
        <f>IF(C329="","",XLOOKUP(C329,Constants!$A$30:$A$200,Constants!$B$30:$B$200,"",0))</f>
        <v/>
      </c>
      <c r="F329" s="6">
        <f>IF(C329="","",XLOOKUP(C329,Constants!$A$30:$A$200,Constants!$F$30:$F$200,"",0))</f>
        <v/>
      </c>
    </row>
    <row r="330">
      <c r="A330" s="8" t="n"/>
      <c r="B330" s="8" t="n"/>
      <c r="C330" s="8" t="n"/>
      <c r="D330" s="8" t="n"/>
      <c r="E330" s="6">
        <f>IF(C330="","",XLOOKUP(C330,Constants!$A$30:$A$200,Constants!$B$30:$B$200,"",0))</f>
        <v/>
      </c>
      <c r="F330" s="6">
        <f>IF(C330="","",XLOOKUP(C330,Constants!$A$30:$A$200,Constants!$F$30:$F$200,"",0))</f>
        <v/>
      </c>
    </row>
    <row r="331">
      <c r="A331" s="8" t="n"/>
      <c r="B331" s="8" t="n"/>
      <c r="C331" s="8" t="n"/>
      <c r="D331" s="8" t="n"/>
      <c r="E331" s="6">
        <f>IF(C331="","",XLOOKUP(C331,Constants!$A$30:$A$200,Constants!$B$30:$B$200,"",0))</f>
        <v/>
      </c>
      <c r="F331" s="6">
        <f>IF(C331="","",XLOOKUP(C331,Constants!$A$30:$A$200,Constants!$F$30:$F$200,"",0))</f>
        <v/>
      </c>
    </row>
    <row r="332">
      <c r="A332" s="8" t="n"/>
      <c r="B332" s="8" t="n"/>
      <c r="C332" s="8" t="n"/>
      <c r="D332" s="8" t="n"/>
      <c r="E332" s="6">
        <f>IF(C332="","",XLOOKUP(C332,Constants!$A$30:$A$200,Constants!$B$30:$B$200,"",0))</f>
        <v/>
      </c>
      <c r="F332" s="6">
        <f>IF(C332="","",XLOOKUP(C332,Constants!$A$30:$A$200,Constants!$F$30:$F$200,"",0))</f>
        <v/>
      </c>
    </row>
    <row r="333">
      <c r="A333" s="8" t="n"/>
      <c r="B333" s="8" t="n"/>
      <c r="C333" s="8" t="n"/>
      <c r="D333" s="8" t="n"/>
      <c r="E333" s="6">
        <f>IF(C333="","",XLOOKUP(C333,Constants!$A$30:$A$200,Constants!$B$30:$B$200,"",0))</f>
        <v/>
      </c>
      <c r="F333" s="6">
        <f>IF(C333="","",XLOOKUP(C333,Constants!$A$30:$A$200,Constants!$F$30:$F$200,"",0))</f>
        <v/>
      </c>
    </row>
    <row r="334">
      <c r="A334" s="8" t="n"/>
      <c r="B334" s="8" t="n"/>
      <c r="C334" s="8" t="n"/>
      <c r="D334" s="8" t="n"/>
      <c r="E334" s="6">
        <f>IF(C334="","",XLOOKUP(C334,Constants!$A$30:$A$200,Constants!$B$30:$B$200,"",0))</f>
        <v/>
      </c>
      <c r="F334" s="6">
        <f>IF(C334="","",XLOOKUP(C334,Constants!$A$30:$A$200,Constants!$F$30:$F$200,"",0))</f>
        <v/>
      </c>
    </row>
    <row r="335">
      <c r="A335" s="8" t="n"/>
      <c r="B335" s="8" t="n"/>
      <c r="C335" s="8" t="n"/>
      <c r="D335" s="8" t="n"/>
      <c r="E335" s="6">
        <f>IF(C335="","",XLOOKUP(C335,Constants!$A$30:$A$200,Constants!$B$30:$B$200,"",0))</f>
        <v/>
      </c>
      <c r="F335" s="6">
        <f>IF(C335="","",XLOOKUP(C335,Constants!$A$30:$A$200,Constants!$F$30:$F$200,"",0))</f>
        <v/>
      </c>
    </row>
    <row r="336">
      <c r="A336" s="8" t="n"/>
      <c r="B336" s="8" t="n"/>
      <c r="C336" s="8" t="n"/>
      <c r="D336" s="8" t="n"/>
      <c r="E336" s="6">
        <f>IF(C336="","",XLOOKUP(C336,Constants!$A$30:$A$200,Constants!$B$30:$B$200,"",0))</f>
        <v/>
      </c>
      <c r="F336" s="6">
        <f>IF(C336="","",XLOOKUP(C336,Constants!$A$30:$A$200,Constants!$F$30:$F$200,"",0))</f>
        <v/>
      </c>
    </row>
    <row r="337">
      <c r="A337" s="8" t="n"/>
      <c r="B337" s="8" t="n"/>
      <c r="C337" s="8" t="n"/>
      <c r="D337" s="8" t="n"/>
      <c r="E337" s="6">
        <f>IF(C337="","",XLOOKUP(C337,Constants!$A$30:$A$200,Constants!$B$30:$B$200,"",0))</f>
        <v/>
      </c>
      <c r="F337" s="6">
        <f>IF(C337="","",XLOOKUP(C337,Constants!$A$30:$A$200,Constants!$F$30:$F$200,"",0))</f>
        <v/>
      </c>
    </row>
    <row r="338">
      <c r="A338" s="8" t="n"/>
      <c r="B338" s="8" t="n"/>
      <c r="C338" s="8" t="n"/>
      <c r="D338" s="8" t="n"/>
      <c r="E338" s="6">
        <f>IF(C338="","",XLOOKUP(C338,Constants!$A$30:$A$200,Constants!$B$30:$B$200,"",0))</f>
        <v/>
      </c>
      <c r="F338" s="6">
        <f>IF(C338="","",XLOOKUP(C338,Constants!$A$30:$A$200,Constants!$F$30:$F$200,"",0))</f>
        <v/>
      </c>
    </row>
    <row r="339">
      <c r="A339" s="8" t="n"/>
      <c r="B339" s="8" t="n"/>
      <c r="C339" s="8" t="n"/>
      <c r="D339" s="8" t="n"/>
      <c r="E339" s="6">
        <f>IF(C339="","",XLOOKUP(C339,Constants!$A$30:$A$200,Constants!$B$30:$B$200,"",0))</f>
        <v/>
      </c>
      <c r="F339" s="6">
        <f>IF(C339="","",XLOOKUP(C339,Constants!$A$30:$A$200,Constants!$F$30:$F$200,"",0))</f>
        <v/>
      </c>
    </row>
    <row r="340">
      <c r="A340" s="8" t="n"/>
      <c r="B340" s="8" t="n"/>
      <c r="C340" s="8" t="n"/>
      <c r="D340" s="8" t="n"/>
      <c r="E340" s="6">
        <f>IF(C340="","",XLOOKUP(C340,Constants!$A$30:$A$200,Constants!$B$30:$B$200,"",0))</f>
        <v/>
      </c>
      <c r="F340" s="6">
        <f>IF(C340="","",XLOOKUP(C340,Constants!$A$30:$A$200,Constants!$F$30:$F$200,"",0))</f>
        <v/>
      </c>
    </row>
    <row r="341">
      <c r="A341" s="8" t="n"/>
      <c r="B341" s="8" t="n"/>
      <c r="C341" s="8" t="n"/>
      <c r="D341" s="8" t="n"/>
      <c r="E341" s="6">
        <f>IF(C341="","",XLOOKUP(C341,Constants!$A$30:$A$200,Constants!$B$30:$B$200,"",0))</f>
        <v/>
      </c>
      <c r="F341" s="6">
        <f>IF(C341="","",XLOOKUP(C341,Constants!$A$30:$A$200,Constants!$F$30:$F$200,"",0))</f>
        <v/>
      </c>
    </row>
    <row r="342">
      <c r="A342" s="8" t="n"/>
      <c r="B342" s="8" t="n"/>
      <c r="C342" s="8" t="n"/>
      <c r="D342" s="8" t="n"/>
      <c r="E342" s="6">
        <f>IF(C342="","",XLOOKUP(C342,Constants!$A$30:$A$200,Constants!$B$30:$B$200,"",0))</f>
        <v/>
      </c>
      <c r="F342" s="6">
        <f>IF(C342="","",XLOOKUP(C342,Constants!$A$30:$A$200,Constants!$F$30:$F$200,"",0))</f>
        <v/>
      </c>
    </row>
    <row r="343">
      <c r="A343" s="8" t="n"/>
      <c r="B343" s="8" t="n"/>
      <c r="C343" s="8" t="n"/>
      <c r="D343" s="8" t="n"/>
      <c r="E343" s="6">
        <f>IF(C343="","",XLOOKUP(C343,Constants!$A$30:$A$200,Constants!$B$30:$B$200,"",0))</f>
        <v/>
      </c>
      <c r="F343" s="6">
        <f>IF(C343="","",XLOOKUP(C343,Constants!$A$30:$A$200,Constants!$F$30:$F$200,"",0))</f>
        <v/>
      </c>
    </row>
    <row r="344">
      <c r="A344" s="8" t="n"/>
      <c r="B344" s="8" t="n"/>
      <c r="C344" s="8" t="n"/>
      <c r="D344" s="8" t="n"/>
      <c r="E344" s="6">
        <f>IF(C344="","",XLOOKUP(C344,Constants!$A$30:$A$200,Constants!$B$30:$B$200,"",0))</f>
        <v/>
      </c>
      <c r="F344" s="6">
        <f>IF(C344="","",XLOOKUP(C344,Constants!$A$30:$A$200,Constants!$F$30:$F$200,"",0))</f>
        <v/>
      </c>
    </row>
    <row r="345">
      <c r="A345" s="8" t="n"/>
      <c r="B345" s="8" t="n"/>
      <c r="C345" s="8" t="n"/>
      <c r="D345" s="8" t="n"/>
      <c r="E345" s="6">
        <f>IF(C345="","",XLOOKUP(C345,Constants!$A$30:$A$200,Constants!$B$30:$B$200,"",0))</f>
        <v/>
      </c>
      <c r="F345" s="6">
        <f>IF(C345="","",XLOOKUP(C345,Constants!$A$30:$A$200,Constants!$F$30:$F$200,"",0))</f>
        <v/>
      </c>
    </row>
    <row r="346">
      <c r="A346" s="8" t="n"/>
      <c r="B346" s="8" t="n"/>
      <c r="C346" s="8" t="n"/>
      <c r="D346" s="8" t="n"/>
      <c r="E346" s="6">
        <f>IF(C346="","",XLOOKUP(C346,Constants!$A$30:$A$200,Constants!$B$30:$B$200,"",0))</f>
        <v/>
      </c>
      <c r="F346" s="6">
        <f>IF(C346="","",XLOOKUP(C346,Constants!$A$30:$A$200,Constants!$F$30:$F$200,"",0))</f>
        <v/>
      </c>
    </row>
    <row r="347">
      <c r="A347" s="8" t="n"/>
      <c r="B347" s="8" t="n"/>
      <c r="C347" s="8" t="n"/>
      <c r="D347" s="8" t="n"/>
      <c r="E347" s="6">
        <f>IF(C347="","",XLOOKUP(C347,Constants!$A$30:$A$200,Constants!$B$30:$B$200,"",0))</f>
        <v/>
      </c>
      <c r="F347" s="6">
        <f>IF(C347="","",XLOOKUP(C347,Constants!$A$30:$A$200,Constants!$F$30:$F$200,"",0))</f>
        <v/>
      </c>
    </row>
    <row r="348">
      <c r="A348" s="8" t="n"/>
      <c r="B348" s="8" t="n"/>
      <c r="C348" s="8" t="n"/>
      <c r="D348" s="8" t="n"/>
      <c r="E348" s="6">
        <f>IF(C348="","",XLOOKUP(C348,Constants!$A$30:$A$200,Constants!$B$30:$B$200,"",0))</f>
        <v/>
      </c>
      <c r="F348" s="6">
        <f>IF(C348="","",XLOOKUP(C348,Constants!$A$30:$A$200,Constants!$F$30:$F$200,"",0))</f>
        <v/>
      </c>
    </row>
    <row r="349">
      <c r="A349" s="8" t="n"/>
      <c r="B349" s="8" t="n"/>
      <c r="C349" s="8" t="n"/>
      <c r="D349" s="8" t="n"/>
      <c r="E349" s="6">
        <f>IF(C349="","",XLOOKUP(C349,Constants!$A$30:$A$200,Constants!$B$30:$B$200,"",0))</f>
        <v/>
      </c>
      <c r="F349" s="6">
        <f>IF(C349="","",XLOOKUP(C349,Constants!$A$30:$A$200,Constants!$F$30:$F$200,"",0))</f>
        <v/>
      </c>
    </row>
    <row r="350">
      <c r="A350" s="8" t="n"/>
      <c r="B350" s="8" t="n"/>
      <c r="C350" s="8" t="n"/>
      <c r="D350" s="8" t="n"/>
      <c r="E350" s="6">
        <f>IF(C350="","",XLOOKUP(C350,Constants!$A$30:$A$200,Constants!$B$30:$B$200,"",0))</f>
        <v/>
      </c>
      <c r="F350" s="6">
        <f>IF(C350="","",XLOOKUP(C350,Constants!$A$30:$A$200,Constants!$F$30:$F$200,"",0))</f>
        <v/>
      </c>
    </row>
    <row r="351">
      <c r="A351" s="8" t="n"/>
      <c r="B351" s="8" t="n"/>
      <c r="C351" s="8" t="n"/>
      <c r="D351" s="8" t="n"/>
      <c r="E351" s="6">
        <f>IF(C351="","",XLOOKUP(C351,Constants!$A$30:$A$200,Constants!$B$30:$B$200,"",0))</f>
        <v/>
      </c>
      <c r="F351" s="6">
        <f>IF(C351="","",XLOOKUP(C351,Constants!$A$30:$A$200,Constants!$F$30:$F$200,"",0))</f>
        <v/>
      </c>
    </row>
    <row r="352">
      <c r="A352" s="8" t="n"/>
      <c r="B352" s="8" t="n"/>
      <c r="C352" s="8" t="n"/>
      <c r="D352" s="8" t="n"/>
      <c r="E352" s="6">
        <f>IF(C352="","",XLOOKUP(C352,Constants!$A$30:$A$200,Constants!$B$30:$B$200,"",0))</f>
        <v/>
      </c>
      <c r="F352" s="6">
        <f>IF(C352="","",XLOOKUP(C352,Constants!$A$30:$A$200,Constants!$F$30:$F$200,"",0))</f>
        <v/>
      </c>
    </row>
    <row r="353">
      <c r="A353" s="8" t="n"/>
      <c r="B353" s="8" t="n"/>
      <c r="C353" s="8" t="n"/>
      <c r="D353" s="8" t="n"/>
      <c r="E353" s="6">
        <f>IF(C353="","",XLOOKUP(C353,Constants!$A$30:$A$200,Constants!$B$30:$B$200,"",0))</f>
        <v/>
      </c>
      <c r="F353" s="6">
        <f>IF(C353="","",XLOOKUP(C353,Constants!$A$30:$A$200,Constants!$F$30:$F$200,"",0))</f>
        <v/>
      </c>
    </row>
    <row r="354">
      <c r="A354" s="8" t="n"/>
      <c r="B354" s="8" t="n"/>
      <c r="C354" s="8" t="n"/>
      <c r="D354" s="8" t="n"/>
      <c r="E354" s="6">
        <f>IF(C354="","",XLOOKUP(C354,Constants!$A$30:$A$200,Constants!$B$30:$B$200,"",0))</f>
        <v/>
      </c>
      <c r="F354" s="6">
        <f>IF(C354="","",XLOOKUP(C354,Constants!$A$30:$A$200,Constants!$F$30:$F$200,"",0))</f>
        <v/>
      </c>
    </row>
    <row r="355">
      <c r="A355" s="8" t="n"/>
      <c r="B355" s="8" t="n"/>
      <c r="C355" s="8" t="n"/>
      <c r="D355" s="8" t="n"/>
      <c r="E355" s="6">
        <f>IF(C355="","",XLOOKUP(C355,Constants!$A$30:$A$200,Constants!$B$30:$B$200,"",0))</f>
        <v/>
      </c>
      <c r="F355" s="6">
        <f>IF(C355="","",XLOOKUP(C355,Constants!$A$30:$A$200,Constants!$F$30:$F$200,"",0))</f>
        <v/>
      </c>
    </row>
    <row r="356">
      <c r="A356" s="8" t="n"/>
      <c r="B356" s="8" t="n"/>
      <c r="C356" s="8" t="n"/>
      <c r="D356" s="8" t="n"/>
      <c r="E356" s="6">
        <f>IF(C356="","",XLOOKUP(C356,Constants!$A$30:$A$200,Constants!$B$30:$B$200,"",0))</f>
        <v/>
      </c>
      <c r="F356" s="6">
        <f>IF(C356="","",XLOOKUP(C356,Constants!$A$30:$A$200,Constants!$F$30:$F$200,"",0))</f>
        <v/>
      </c>
    </row>
    <row r="357">
      <c r="A357" s="8" t="n"/>
      <c r="B357" s="8" t="n"/>
      <c r="C357" s="8" t="n"/>
      <c r="D357" s="8" t="n"/>
      <c r="E357" s="6">
        <f>IF(C357="","",XLOOKUP(C357,Constants!$A$30:$A$200,Constants!$B$30:$B$200,"",0))</f>
        <v/>
      </c>
      <c r="F357" s="6">
        <f>IF(C357="","",XLOOKUP(C357,Constants!$A$30:$A$200,Constants!$F$30:$F$200,"",0))</f>
        <v/>
      </c>
    </row>
    <row r="358">
      <c r="A358" s="8" t="n"/>
      <c r="B358" s="8" t="n"/>
      <c r="C358" s="8" t="n"/>
      <c r="D358" s="8" t="n"/>
      <c r="E358" s="6">
        <f>IF(C358="","",XLOOKUP(C358,Constants!$A$30:$A$200,Constants!$B$30:$B$200,"",0))</f>
        <v/>
      </c>
      <c r="F358" s="6">
        <f>IF(C358="","",XLOOKUP(C358,Constants!$A$30:$A$200,Constants!$F$30:$F$200,"",0))</f>
        <v/>
      </c>
    </row>
    <row r="359">
      <c r="A359" s="8" t="n"/>
      <c r="B359" s="8" t="n"/>
      <c r="C359" s="8" t="n"/>
      <c r="D359" s="8" t="n"/>
      <c r="E359" s="6">
        <f>IF(C359="","",XLOOKUP(C359,Constants!$A$30:$A$200,Constants!$B$30:$B$200,"",0))</f>
        <v/>
      </c>
      <c r="F359" s="6">
        <f>IF(C359="","",XLOOKUP(C359,Constants!$A$30:$A$200,Constants!$F$30:$F$200,"",0))</f>
        <v/>
      </c>
    </row>
    <row r="360">
      <c r="A360" s="8" t="n"/>
      <c r="B360" s="8" t="n"/>
      <c r="C360" s="8" t="n"/>
      <c r="D360" s="8" t="n"/>
      <c r="E360" s="6">
        <f>IF(C360="","",XLOOKUP(C360,Constants!$A$30:$A$200,Constants!$B$30:$B$200,"",0))</f>
        <v/>
      </c>
      <c r="F360" s="6">
        <f>IF(C360="","",XLOOKUP(C360,Constants!$A$30:$A$200,Constants!$F$30:$F$200,"",0))</f>
        <v/>
      </c>
    </row>
    <row r="361">
      <c r="A361" s="8" t="n"/>
      <c r="B361" s="8" t="n"/>
      <c r="C361" s="8" t="n"/>
      <c r="D361" s="8" t="n"/>
      <c r="E361" s="6">
        <f>IF(C361="","",XLOOKUP(C361,Constants!$A$30:$A$200,Constants!$B$30:$B$200,"",0))</f>
        <v/>
      </c>
      <c r="F361" s="6">
        <f>IF(C361="","",XLOOKUP(C361,Constants!$A$30:$A$200,Constants!$F$30:$F$200,"",0))</f>
        <v/>
      </c>
    </row>
    <row r="362">
      <c r="A362" s="8" t="n"/>
      <c r="B362" s="8" t="n"/>
      <c r="C362" s="8" t="n"/>
      <c r="D362" s="8" t="n"/>
      <c r="E362" s="6">
        <f>IF(C362="","",XLOOKUP(C362,Constants!$A$30:$A$200,Constants!$B$30:$B$200,"",0))</f>
        <v/>
      </c>
      <c r="F362" s="6">
        <f>IF(C362="","",XLOOKUP(C362,Constants!$A$30:$A$200,Constants!$F$30:$F$200,"",0))</f>
        <v/>
      </c>
    </row>
    <row r="363">
      <c r="A363" s="8" t="n"/>
      <c r="B363" s="8" t="n"/>
      <c r="C363" s="8" t="n"/>
      <c r="D363" s="8" t="n"/>
      <c r="E363" s="6">
        <f>IF(C363="","",XLOOKUP(C363,Constants!$A$30:$A$200,Constants!$B$30:$B$200,"",0))</f>
        <v/>
      </c>
      <c r="F363" s="6">
        <f>IF(C363="","",XLOOKUP(C363,Constants!$A$30:$A$200,Constants!$F$30:$F$200,"",0))</f>
        <v/>
      </c>
    </row>
    <row r="364">
      <c r="A364" s="8" t="n"/>
      <c r="B364" s="8" t="n"/>
      <c r="C364" s="8" t="n"/>
      <c r="D364" s="8" t="n"/>
      <c r="E364" s="6">
        <f>IF(C364="","",XLOOKUP(C364,Constants!$A$30:$A$200,Constants!$B$30:$B$200,"",0))</f>
        <v/>
      </c>
      <c r="F364" s="6">
        <f>IF(C364="","",XLOOKUP(C364,Constants!$A$30:$A$200,Constants!$F$30:$F$200,"",0))</f>
        <v/>
      </c>
    </row>
    <row r="365">
      <c r="A365" s="8" t="n"/>
      <c r="B365" s="8" t="n"/>
      <c r="C365" s="8" t="n"/>
      <c r="D365" s="8" t="n"/>
      <c r="E365" s="6">
        <f>IF(C365="","",XLOOKUP(C365,Constants!$A$30:$A$200,Constants!$B$30:$B$200,"",0))</f>
        <v/>
      </c>
      <c r="F365" s="6">
        <f>IF(C365="","",XLOOKUP(C365,Constants!$A$30:$A$200,Constants!$F$30:$F$200,"",0))</f>
        <v/>
      </c>
    </row>
    <row r="366">
      <c r="A366" s="8" t="n"/>
      <c r="B366" s="8" t="n"/>
      <c r="C366" s="8" t="n"/>
      <c r="D366" s="8" t="n"/>
      <c r="E366" s="6">
        <f>IF(C366="","",XLOOKUP(C366,Constants!$A$30:$A$200,Constants!$B$30:$B$200,"",0))</f>
        <v/>
      </c>
      <c r="F366" s="6">
        <f>IF(C366="","",XLOOKUP(C366,Constants!$A$30:$A$200,Constants!$F$30:$F$200,"",0))</f>
        <v/>
      </c>
    </row>
    <row r="367">
      <c r="A367" s="8" t="n"/>
      <c r="B367" s="8" t="n"/>
      <c r="C367" s="8" t="n"/>
      <c r="D367" s="8" t="n"/>
      <c r="E367" s="6">
        <f>IF(C367="","",XLOOKUP(C367,Constants!$A$30:$A$200,Constants!$B$30:$B$200,"",0))</f>
        <v/>
      </c>
      <c r="F367" s="6">
        <f>IF(C367="","",XLOOKUP(C367,Constants!$A$30:$A$200,Constants!$F$30:$F$200,"",0))</f>
        <v/>
      </c>
    </row>
    <row r="368">
      <c r="A368" s="8" t="n"/>
      <c r="B368" s="8" t="n"/>
      <c r="C368" s="8" t="n"/>
      <c r="D368" s="8" t="n"/>
      <c r="E368" s="6">
        <f>IF(C368="","",XLOOKUP(C368,Constants!$A$30:$A$200,Constants!$B$30:$B$200,"",0))</f>
        <v/>
      </c>
      <c r="F368" s="6">
        <f>IF(C368="","",XLOOKUP(C368,Constants!$A$30:$A$200,Constants!$F$30:$F$200,"",0))</f>
        <v/>
      </c>
    </row>
    <row r="369">
      <c r="A369" s="8" t="n"/>
      <c r="B369" s="8" t="n"/>
      <c r="C369" s="8" t="n"/>
      <c r="D369" s="8" t="n"/>
      <c r="E369" s="6">
        <f>IF(C369="","",XLOOKUP(C369,Constants!$A$30:$A$200,Constants!$B$30:$B$200,"",0))</f>
        <v/>
      </c>
      <c r="F369" s="6">
        <f>IF(C369="","",XLOOKUP(C369,Constants!$A$30:$A$200,Constants!$F$30:$F$200,"",0))</f>
        <v/>
      </c>
    </row>
    <row r="370">
      <c r="A370" s="8" t="n"/>
      <c r="B370" s="8" t="n"/>
      <c r="C370" s="8" t="n"/>
      <c r="D370" s="8" t="n"/>
      <c r="E370" s="6">
        <f>IF(C370="","",XLOOKUP(C370,Constants!$A$30:$A$200,Constants!$B$30:$B$200,"",0))</f>
        <v/>
      </c>
      <c r="F370" s="6">
        <f>IF(C370="","",XLOOKUP(C370,Constants!$A$30:$A$200,Constants!$F$30:$F$200,"",0))</f>
        <v/>
      </c>
    </row>
    <row r="371">
      <c r="A371" s="8" t="n"/>
      <c r="B371" s="8" t="n"/>
      <c r="C371" s="8" t="n"/>
      <c r="D371" s="8" t="n"/>
      <c r="E371" s="6">
        <f>IF(C371="","",XLOOKUP(C371,Constants!$A$30:$A$200,Constants!$B$30:$B$200,"",0))</f>
        <v/>
      </c>
      <c r="F371" s="6">
        <f>IF(C371="","",XLOOKUP(C371,Constants!$A$30:$A$200,Constants!$F$30:$F$200,"",0))</f>
        <v/>
      </c>
    </row>
    <row r="372">
      <c r="A372" s="8" t="n"/>
      <c r="B372" s="8" t="n"/>
      <c r="C372" s="8" t="n"/>
      <c r="D372" s="8" t="n"/>
      <c r="E372" s="6">
        <f>IF(C372="","",XLOOKUP(C372,Constants!$A$30:$A$200,Constants!$B$30:$B$200,"",0))</f>
        <v/>
      </c>
      <c r="F372" s="6">
        <f>IF(C372="","",XLOOKUP(C372,Constants!$A$30:$A$200,Constants!$F$30:$F$200,"",0))</f>
        <v/>
      </c>
    </row>
    <row r="373">
      <c r="A373" s="8" t="n"/>
      <c r="B373" s="8" t="n"/>
      <c r="C373" s="8" t="n"/>
      <c r="D373" s="8" t="n"/>
      <c r="E373" s="6">
        <f>IF(C373="","",XLOOKUP(C373,Constants!$A$30:$A$200,Constants!$B$30:$B$200,"",0))</f>
        <v/>
      </c>
      <c r="F373" s="6">
        <f>IF(C373="","",XLOOKUP(C373,Constants!$A$30:$A$200,Constants!$F$30:$F$200,"",0))</f>
        <v/>
      </c>
    </row>
    <row r="374">
      <c r="A374" s="8" t="n"/>
      <c r="B374" s="8" t="n"/>
      <c r="C374" s="8" t="n"/>
      <c r="D374" s="8" t="n"/>
      <c r="E374" s="6">
        <f>IF(C374="","",XLOOKUP(C374,Constants!$A$30:$A$200,Constants!$B$30:$B$200,"",0))</f>
        <v/>
      </c>
      <c r="F374" s="6">
        <f>IF(C374="","",XLOOKUP(C374,Constants!$A$30:$A$200,Constants!$F$30:$F$200,"",0))</f>
        <v/>
      </c>
    </row>
    <row r="375">
      <c r="A375" s="8" t="n"/>
      <c r="B375" s="8" t="n"/>
      <c r="C375" s="8" t="n"/>
      <c r="D375" s="8" t="n"/>
      <c r="E375" s="6">
        <f>IF(C375="","",XLOOKUP(C375,Constants!$A$30:$A$200,Constants!$B$30:$B$200,"",0))</f>
        <v/>
      </c>
      <c r="F375" s="6">
        <f>IF(C375="","",XLOOKUP(C375,Constants!$A$30:$A$200,Constants!$F$30:$F$200,"",0))</f>
        <v/>
      </c>
    </row>
    <row r="376">
      <c r="A376" s="8" t="n"/>
      <c r="B376" s="8" t="n"/>
      <c r="C376" s="8" t="n"/>
      <c r="D376" s="8" t="n"/>
      <c r="E376" s="6">
        <f>IF(C376="","",XLOOKUP(C376,Constants!$A$30:$A$200,Constants!$B$30:$B$200,"",0))</f>
        <v/>
      </c>
      <c r="F376" s="6">
        <f>IF(C376="","",XLOOKUP(C376,Constants!$A$30:$A$200,Constants!$F$30:$F$200,"",0))</f>
        <v/>
      </c>
    </row>
    <row r="377">
      <c r="A377" s="8" t="n"/>
      <c r="B377" s="8" t="n"/>
      <c r="C377" s="8" t="n"/>
      <c r="D377" s="8" t="n"/>
      <c r="E377" s="6">
        <f>IF(C377="","",XLOOKUP(C377,Constants!$A$30:$A$200,Constants!$B$30:$B$200,"",0))</f>
        <v/>
      </c>
      <c r="F377" s="6">
        <f>IF(C377="","",XLOOKUP(C377,Constants!$A$30:$A$200,Constants!$F$30:$F$200,"",0))</f>
        <v/>
      </c>
    </row>
    <row r="378">
      <c r="A378" s="8" t="n"/>
      <c r="B378" s="8" t="n"/>
      <c r="C378" s="8" t="n"/>
      <c r="D378" s="8" t="n"/>
      <c r="E378" s="6">
        <f>IF(C378="","",XLOOKUP(C378,Constants!$A$30:$A$200,Constants!$B$30:$B$200,"",0))</f>
        <v/>
      </c>
      <c r="F378" s="6">
        <f>IF(C378="","",XLOOKUP(C378,Constants!$A$30:$A$200,Constants!$F$30:$F$200,"",0))</f>
        <v/>
      </c>
    </row>
    <row r="379">
      <c r="A379" s="8" t="n"/>
      <c r="B379" s="8" t="n"/>
      <c r="C379" s="8" t="n"/>
      <c r="D379" s="8" t="n"/>
      <c r="E379" s="6">
        <f>IF(C379="","",XLOOKUP(C379,Constants!$A$30:$A$200,Constants!$B$30:$B$200,"",0))</f>
        <v/>
      </c>
      <c r="F379" s="6">
        <f>IF(C379="","",XLOOKUP(C379,Constants!$A$30:$A$200,Constants!$F$30:$F$200,"",0))</f>
        <v/>
      </c>
    </row>
    <row r="380">
      <c r="A380" s="8" t="n"/>
      <c r="B380" s="8" t="n"/>
      <c r="C380" s="8" t="n"/>
      <c r="D380" s="8" t="n"/>
      <c r="E380" s="6">
        <f>IF(C380="","",XLOOKUP(C380,Constants!$A$30:$A$200,Constants!$B$30:$B$200,"",0))</f>
        <v/>
      </c>
      <c r="F380" s="6">
        <f>IF(C380="","",XLOOKUP(C380,Constants!$A$30:$A$200,Constants!$F$30:$F$200,"",0))</f>
        <v/>
      </c>
    </row>
    <row r="381">
      <c r="A381" s="8" t="n"/>
      <c r="B381" s="8" t="n"/>
      <c r="C381" s="8" t="n"/>
      <c r="D381" s="8" t="n"/>
      <c r="E381" s="6">
        <f>IF(C381="","",XLOOKUP(C381,Constants!$A$30:$A$200,Constants!$B$30:$B$200,"",0))</f>
        <v/>
      </c>
      <c r="F381" s="6">
        <f>IF(C381="","",XLOOKUP(C381,Constants!$A$30:$A$200,Constants!$F$30:$F$200,"",0))</f>
        <v/>
      </c>
    </row>
    <row r="382">
      <c r="A382" s="8" t="n"/>
      <c r="B382" s="8" t="n"/>
      <c r="C382" s="8" t="n"/>
      <c r="D382" s="8" t="n"/>
      <c r="E382" s="6">
        <f>IF(C382="","",XLOOKUP(C382,Constants!$A$30:$A$200,Constants!$B$30:$B$200,"",0))</f>
        <v/>
      </c>
      <c r="F382" s="6">
        <f>IF(C382="","",XLOOKUP(C382,Constants!$A$30:$A$200,Constants!$F$30:$F$200,"",0))</f>
        <v/>
      </c>
    </row>
    <row r="383">
      <c r="A383" s="8" t="n"/>
      <c r="B383" s="8" t="n"/>
      <c r="C383" s="8" t="n"/>
      <c r="D383" s="8" t="n"/>
      <c r="E383" s="6">
        <f>IF(C383="","",XLOOKUP(C383,Constants!$A$30:$A$200,Constants!$B$30:$B$200,"",0))</f>
        <v/>
      </c>
      <c r="F383" s="6">
        <f>IF(C383="","",XLOOKUP(C383,Constants!$A$30:$A$200,Constants!$F$30:$F$200,"",0))</f>
        <v/>
      </c>
    </row>
    <row r="384">
      <c r="A384" s="8" t="n"/>
      <c r="B384" s="8" t="n"/>
      <c r="C384" s="8" t="n"/>
      <c r="D384" s="8" t="n"/>
      <c r="E384" s="6">
        <f>IF(C384="","",XLOOKUP(C384,Constants!$A$30:$A$200,Constants!$B$30:$B$200,"",0))</f>
        <v/>
      </c>
      <c r="F384" s="6">
        <f>IF(C384="","",XLOOKUP(C384,Constants!$A$30:$A$200,Constants!$F$30:$F$200,"",0))</f>
        <v/>
      </c>
    </row>
    <row r="385">
      <c r="A385" s="8" t="n"/>
      <c r="B385" s="8" t="n"/>
      <c r="C385" s="8" t="n"/>
      <c r="D385" s="8" t="n"/>
      <c r="E385" s="6">
        <f>IF(C385="","",XLOOKUP(C385,Constants!$A$30:$A$200,Constants!$B$30:$B$200,"",0))</f>
        <v/>
      </c>
      <c r="F385" s="6">
        <f>IF(C385="","",XLOOKUP(C385,Constants!$A$30:$A$200,Constants!$F$30:$F$200,"",0))</f>
        <v/>
      </c>
    </row>
    <row r="386">
      <c r="A386" s="8" t="n"/>
      <c r="B386" s="8" t="n"/>
      <c r="C386" s="8" t="n"/>
      <c r="D386" s="8" t="n"/>
      <c r="E386" s="6">
        <f>IF(C386="","",XLOOKUP(C386,Constants!$A$30:$A$200,Constants!$B$30:$B$200,"",0))</f>
        <v/>
      </c>
      <c r="F386" s="6">
        <f>IF(C386="","",XLOOKUP(C386,Constants!$A$30:$A$200,Constants!$F$30:$F$200,"",0))</f>
        <v/>
      </c>
    </row>
    <row r="387">
      <c r="A387" s="8" t="n"/>
      <c r="B387" s="8" t="n"/>
      <c r="C387" s="8" t="n"/>
      <c r="D387" s="8" t="n"/>
      <c r="E387" s="6">
        <f>IF(C387="","",XLOOKUP(C387,Constants!$A$30:$A$200,Constants!$B$30:$B$200,"",0))</f>
        <v/>
      </c>
      <c r="F387" s="6">
        <f>IF(C387="","",XLOOKUP(C387,Constants!$A$30:$A$200,Constants!$F$30:$F$200,"",0))</f>
        <v/>
      </c>
    </row>
    <row r="388">
      <c r="A388" s="8" t="n"/>
      <c r="B388" s="8" t="n"/>
      <c r="C388" s="8" t="n"/>
      <c r="D388" s="8" t="n"/>
      <c r="E388" s="6">
        <f>IF(C388="","",XLOOKUP(C388,Constants!$A$30:$A$200,Constants!$B$30:$B$200,"",0))</f>
        <v/>
      </c>
      <c r="F388" s="6">
        <f>IF(C388="","",XLOOKUP(C388,Constants!$A$30:$A$200,Constants!$F$30:$F$200,"",0))</f>
        <v/>
      </c>
    </row>
    <row r="389">
      <c r="A389" s="8" t="n"/>
      <c r="B389" s="8" t="n"/>
      <c r="C389" s="8" t="n"/>
      <c r="D389" s="8" t="n"/>
      <c r="E389" s="6">
        <f>IF(C389="","",XLOOKUP(C389,Constants!$A$30:$A$200,Constants!$B$30:$B$200,"",0))</f>
        <v/>
      </c>
      <c r="F389" s="6">
        <f>IF(C389="","",XLOOKUP(C389,Constants!$A$30:$A$200,Constants!$F$30:$F$200,"",0))</f>
        <v/>
      </c>
    </row>
    <row r="390">
      <c r="A390" s="8" t="n"/>
      <c r="B390" s="8" t="n"/>
      <c r="C390" s="8" t="n"/>
      <c r="D390" s="8" t="n"/>
      <c r="E390" s="6">
        <f>IF(C390="","",XLOOKUP(C390,Constants!$A$30:$A$200,Constants!$B$30:$B$200,"",0))</f>
        <v/>
      </c>
      <c r="F390" s="6">
        <f>IF(C390="","",XLOOKUP(C390,Constants!$A$30:$A$200,Constants!$F$30:$F$200,"",0))</f>
        <v/>
      </c>
    </row>
    <row r="391">
      <c r="A391" s="8" t="n"/>
      <c r="B391" s="8" t="n"/>
      <c r="C391" s="8" t="n"/>
      <c r="D391" s="8" t="n"/>
      <c r="E391" s="6">
        <f>IF(C391="","",XLOOKUP(C391,Constants!$A$30:$A$200,Constants!$B$30:$B$200,"",0))</f>
        <v/>
      </c>
      <c r="F391" s="6">
        <f>IF(C391="","",XLOOKUP(C391,Constants!$A$30:$A$200,Constants!$F$30:$F$200,"",0))</f>
        <v/>
      </c>
    </row>
    <row r="392">
      <c r="A392" s="8" t="n"/>
      <c r="B392" s="8" t="n"/>
      <c r="C392" s="8" t="n"/>
      <c r="D392" s="8" t="n"/>
      <c r="E392" s="6">
        <f>IF(C392="","",XLOOKUP(C392,Constants!$A$30:$A$200,Constants!$B$30:$B$200,"",0))</f>
        <v/>
      </c>
      <c r="F392" s="6">
        <f>IF(C392="","",XLOOKUP(C392,Constants!$A$30:$A$200,Constants!$F$30:$F$200,"",0))</f>
        <v/>
      </c>
    </row>
    <row r="393">
      <c r="A393" s="8" t="n"/>
      <c r="B393" s="8" t="n"/>
      <c r="C393" s="8" t="n"/>
      <c r="D393" s="8" t="n"/>
      <c r="E393" s="6">
        <f>IF(C393="","",XLOOKUP(C393,Constants!$A$30:$A$200,Constants!$B$30:$B$200,"",0))</f>
        <v/>
      </c>
      <c r="F393" s="6">
        <f>IF(C393="","",XLOOKUP(C393,Constants!$A$30:$A$200,Constants!$F$30:$F$200,"",0))</f>
        <v/>
      </c>
    </row>
    <row r="394">
      <c r="A394" s="8" t="n"/>
      <c r="B394" s="8" t="n"/>
      <c r="C394" s="8" t="n"/>
      <c r="D394" s="8" t="n"/>
      <c r="E394" s="6">
        <f>IF(C394="","",XLOOKUP(C394,Constants!$A$30:$A$200,Constants!$B$30:$B$200,"",0))</f>
        <v/>
      </c>
      <c r="F394" s="6">
        <f>IF(C394="","",XLOOKUP(C394,Constants!$A$30:$A$200,Constants!$F$30:$F$200,"",0))</f>
        <v/>
      </c>
    </row>
    <row r="395">
      <c r="A395" s="8" t="n"/>
      <c r="B395" s="8" t="n"/>
      <c r="C395" s="8" t="n"/>
      <c r="D395" s="8" t="n"/>
      <c r="E395" s="6">
        <f>IF(C395="","",XLOOKUP(C395,Constants!$A$30:$A$200,Constants!$B$30:$B$200,"",0))</f>
        <v/>
      </c>
      <c r="F395" s="6">
        <f>IF(C395="","",XLOOKUP(C395,Constants!$A$30:$A$200,Constants!$F$30:$F$200,"",0))</f>
        <v/>
      </c>
    </row>
    <row r="396">
      <c r="A396" s="8" t="n"/>
      <c r="B396" s="8" t="n"/>
      <c r="C396" s="8" t="n"/>
      <c r="D396" s="8" t="n"/>
      <c r="E396" s="6">
        <f>IF(C396="","",XLOOKUP(C396,Constants!$A$30:$A$200,Constants!$B$30:$B$200,"",0))</f>
        <v/>
      </c>
      <c r="F396" s="6">
        <f>IF(C396="","",XLOOKUP(C396,Constants!$A$30:$A$200,Constants!$F$30:$F$200,"",0))</f>
        <v/>
      </c>
    </row>
    <row r="397">
      <c r="A397" s="8" t="n"/>
      <c r="B397" s="8" t="n"/>
      <c r="C397" s="8" t="n"/>
      <c r="D397" s="8" t="n"/>
      <c r="E397" s="6">
        <f>IF(C397="","",XLOOKUP(C397,Constants!$A$30:$A$200,Constants!$B$30:$B$200,"",0))</f>
        <v/>
      </c>
      <c r="F397" s="6">
        <f>IF(C397="","",XLOOKUP(C397,Constants!$A$30:$A$200,Constants!$F$30:$F$200,"",0))</f>
        <v/>
      </c>
    </row>
    <row r="398">
      <c r="A398" s="8" t="n"/>
      <c r="B398" s="8" t="n"/>
      <c r="C398" s="8" t="n"/>
      <c r="D398" s="8" t="n"/>
      <c r="E398" s="6">
        <f>IF(C398="","",XLOOKUP(C398,Constants!$A$30:$A$200,Constants!$B$30:$B$200,"",0))</f>
        <v/>
      </c>
      <c r="F398" s="6">
        <f>IF(C398="","",XLOOKUP(C398,Constants!$A$30:$A$200,Constants!$F$30:$F$200,"",0))</f>
        <v/>
      </c>
    </row>
    <row r="399">
      <c r="A399" s="8" t="n"/>
      <c r="B399" s="8" t="n"/>
      <c r="C399" s="8" t="n"/>
      <c r="D399" s="8" t="n"/>
      <c r="E399" s="6">
        <f>IF(C399="","",XLOOKUP(C399,Constants!$A$30:$A$200,Constants!$B$30:$B$200,"",0))</f>
        <v/>
      </c>
      <c r="F399" s="6">
        <f>IF(C399="","",XLOOKUP(C399,Constants!$A$30:$A$200,Constants!$F$30:$F$200,"",0))</f>
        <v/>
      </c>
    </row>
    <row r="400">
      <c r="A400" s="8" t="n"/>
      <c r="B400" s="8" t="n"/>
      <c r="C400" s="8" t="n"/>
      <c r="D400" s="8" t="n"/>
      <c r="E400" s="6">
        <f>IF(C400="","",XLOOKUP(C400,Constants!$A$30:$A$200,Constants!$B$30:$B$200,"",0))</f>
        <v/>
      </c>
      <c r="F400" s="6">
        <f>IF(C400="","",XLOOKUP(C400,Constants!$A$30:$A$200,Constants!$F$30:$F$200,"",0))</f>
        <v/>
      </c>
    </row>
    <row r="401">
      <c r="A401" s="8" t="n"/>
      <c r="B401" s="8" t="n"/>
      <c r="C401" s="8" t="n"/>
      <c r="D401" s="8" t="n"/>
      <c r="E401" s="6">
        <f>IF(C401="","",XLOOKUP(C401,Constants!$A$30:$A$200,Constants!$B$30:$B$200,"",0))</f>
        <v/>
      </c>
      <c r="F401" s="6">
        <f>IF(C401="","",XLOOKUP(C401,Constants!$A$30:$A$200,Constants!$F$30:$F$200,"",0))</f>
        <v/>
      </c>
    </row>
    <row r="402">
      <c r="A402" s="8" t="n"/>
      <c r="B402" s="8" t="n"/>
      <c r="C402" s="8" t="n"/>
      <c r="D402" s="8" t="n"/>
      <c r="E402" s="6">
        <f>IF(C402="","",XLOOKUP(C402,Constants!$A$30:$A$200,Constants!$B$30:$B$200,"",0))</f>
        <v/>
      </c>
      <c r="F402" s="6">
        <f>IF(C402="","",XLOOKUP(C402,Constants!$A$30:$A$200,Constants!$F$30:$F$200,"",0))</f>
        <v/>
      </c>
    </row>
    <row r="403">
      <c r="A403" s="8" t="n"/>
      <c r="B403" s="8" t="n"/>
      <c r="C403" s="8" t="n"/>
      <c r="D403" s="8" t="n"/>
      <c r="E403" s="6">
        <f>IF(C403="","",XLOOKUP(C403,Constants!$A$30:$A$200,Constants!$B$30:$B$200,"",0))</f>
        <v/>
      </c>
      <c r="F403" s="6">
        <f>IF(C403="","",XLOOKUP(C403,Constants!$A$30:$A$200,Constants!$F$30:$F$200,"",0))</f>
        <v/>
      </c>
    </row>
  </sheetData>
  <mergeCells count="1">
    <mergeCell ref="A1:F1"/>
  </mergeCells>
  <dataValidations count="1">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showDropDown="0" showInputMessage="0" showErrorMessage="0" allowBlank="1" type="list">
      <formula1>=Constants!$A$30:$A$34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cols>
    <col hidden="1" width="10" customWidth="1" min="1" max="1"/>
    <col width="10" customWidth="1" min="2" max="2"/>
    <col width="18" customWidth="1" min="3" max="3"/>
    <col width="6" customWidth="1" min="4" max="4"/>
    <col width="12" customWidth="1" min="5" max="5"/>
    <col width="16" customWidth="1" min="6" max="6"/>
    <col width="20" customWidth="1" min="7" max="7"/>
  </cols>
  <sheetData>
    <row r="1">
      <c r="A1" s="1" t="inlineStr">
        <is>
          <t>INPUT_DOORS (door type + qty + sides multiplier)</t>
        </is>
      </c>
    </row>
    <row r="2">
      <c r="B2" s="12" t="inlineStr">
        <is>
          <t>App-first mode: JobID column (A) is hidden; the app will fill JobID automatically.</t>
        </is>
      </c>
    </row>
    <row r="3">
      <c r="A3" s="5" t="inlineStr">
        <is>
          <t>JobID</t>
        </is>
      </c>
      <c r="B3" s="5" t="inlineStr">
        <is>
          <t>RoomID</t>
        </is>
      </c>
      <c r="C3" s="5" t="inlineStr">
        <is>
          <t>DoorType</t>
        </is>
      </c>
      <c r="D3" s="5" t="inlineStr">
        <is>
          <t>Qty</t>
        </is>
      </c>
      <c r="E3" s="5" t="inlineStr">
        <is>
          <t>Sides (0.5/1)</t>
        </is>
      </c>
      <c r="F3" s="5" t="inlineStr">
        <is>
          <t>PrepMins_side (calc)</t>
        </is>
      </c>
      <c r="G3" s="5" t="inlineStr">
        <is>
          <t>PaintMins_coat_side (calc)</t>
        </is>
      </c>
    </row>
    <row r="4">
      <c r="A4" s="8" t="n"/>
      <c r="B4" s="8" t="n"/>
      <c r="C4" s="8" t="n"/>
      <c r="D4" s="8" t="n"/>
      <c r="E4" s="8" t="n"/>
      <c r="F4" s="6">
        <f>IF(C4="","",XLOOKUP(C4,Constants!$H$30:$H$200,Constants!$I$30:$I$200,"",0))</f>
        <v/>
      </c>
      <c r="G4" s="6">
        <f>IF(C4="","",XLOOKUP(C4,Constants!$H$30:$H$200,Constants!$J$30:$J$200,"",0))</f>
        <v/>
      </c>
    </row>
    <row r="5">
      <c r="A5" s="8" t="n"/>
      <c r="B5" s="8" t="n"/>
      <c r="C5" s="8" t="n"/>
      <c r="D5" s="8" t="n"/>
      <c r="E5" s="8" t="n"/>
      <c r="F5" s="6">
        <f>IF(C5="","",XLOOKUP(C5,Constants!$H$30:$H$200,Constants!$I$30:$I$200,"",0))</f>
        <v/>
      </c>
      <c r="G5" s="6">
        <f>IF(C5="","",XLOOKUP(C5,Constants!$H$30:$H$200,Constants!$J$30:$J$200,"",0))</f>
        <v/>
      </c>
    </row>
    <row r="6">
      <c r="A6" s="8" t="n"/>
      <c r="B6" s="8" t="n"/>
      <c r="C6" s="8" t="n"/>
      <c r="D6" s="8" t="n"/>
      <c r="E6" s="8" t="n"/>
      <c r="F6" s="6">
        <f>IF(C6="","",XLOOKUP(C6,Constants!$H$30:$H$200,Constants!$I$30:$I$200,"",0))</f>
        <v/>
      </c>
      <c r="G6" s="6">
        <f>IF(C6="","",XLOOKUP(C6,Constants!$H$30:$H$200,Constants!$J$30:$J$200,"",0))</f>
        <v/>
      </c>
    </row>
    <row r="7">
      <c r="A7" s="8" t="n"/>
      <c r="B7" s="8" t="n"/>
      <c r="C7" s="8" t="n"/>
      <c r="D7" s="8" t="n"/>
      <c r="E7" s="8" t="n"/>
      <c r="F7" s="6">
        <f>IF(C7="","",XLOOKUP(C7,Constants!$H$30:$H$200,Constants!$I$30:$I$200,"",0))</f>
        <v/>
      </c>
      <c r="G7" s="6">
        <f>IF(C7="","",XLOOKUP(C7,Constants!$H$30:$H$200,Constants!$J$30:$J$200,"",0))</f>
        <v/>
      </c>
    </row>
    <row r="8">
      <c r="A8" s="8" t="n"/>
      <c r="B8" s="8" t="n"/>
      <c r="C8" s="8" t="n"/>
      <c r="D8" s="8" t="n"/>
      <c r="E8" s="8" t="n"/>
      <c r="F8" s="6">
        <f>IF(C8="","",XLOOKUP(C8,Constants!$H$30:$H$200,Constants!$I$30:$I$200,"",0))</f>
        <v/>
      </c>
      <c r="G8" s="6">
        <f>IF(C8="","",XLOOKUP(C8,Constants!$H$30:$H$200,Constants!$J$30:$J$200,"",0))</f>
        <v/>
      </c>
    </row>
    <row r="9">
      <c r="A9" s="8" t="n"/>
      <c r="B9" s="8" t="n"/>
      <c r="C9" s="8" t="n"/>
      <c r="D9" s="8" t="n"/>
      <c r="E9" s="8" t="n"/>
      <c r="F9" s="6">
        <f>IF(C9="","",XLOOKUP(C9,Constants!$H$30:$H$200,Constants!$I$30:$I$200,"",0))</f>
        <v/>
      </c>
      <c r="G9" s="6">
        <f>IF(C9="","",XLOOKUP(C9,Constants!$H$30:$H$200,Constants!$J$30:$J$200,"",0))</f>
        <v/>
      </c>
    </row>
    <row r="10">
      <c r="A10" s="8" t="n"/>
      <c r="B10" s="8" t="n"/>
      <c r="C10" s="8" t="n"/>
      <c r="D10" s="8" t="n"/>
      <c r="E10" s="8" t="n"/>
      <c r="F10" s="6">
        <f>IF(C10="","",XLOOKUP(C10,Constants!$H$30:$H$200,Constants!$I$30:$I$200,"",0))</f>
        <v/>
      </c>
      <c r="G10" s="6">
        <f>IF(C10="","",XLOOKUP(C10,Constants!$H$30:$H$200,Constants!$J$30:$J$200,"",0))</f>
        <v/>
      </c>
    </row>
    <row r="11">
      <c r="A11" s="8" t="n"/>
      <c r="B11" s="8" t="n"/>
      <c r="C11" s="8" t="n"/>
      <c r="D11" s="8" t="n"/>
      <c r="E11" s="8" t="n"/>
      <c r="F11" s="6">
        <f>IF(C11="","",XLOOKUP(C11,Constants!$H$30:$H$200,Constants!$I$30:$I$200,"",0))</f>
        <v/>
      </c>
      <c r="G11" s="6">
        <f>IF(C11="","",XLOOKUP(C11,Constants!$H$30:$H$200,Constants!$J$30:$J$200,"",0))</f>
        <v/>
      </c>
    </row>
    <row r="12">
      <c r="A12" s="8" t="n"/>
      <c r="B12" s="8" t="n"/>
      <c r="C12" s="8" t="n"/>
      <c r="D12" s="8" t="n"/>
      <c r="E12" s="8" t="n"/>
      <c r="F12" s="6">
        <f>IF(C12="","",XLOOKUP(C12,Constants!$H$30:$H$200,Constants!$I$30:$I$200,"",0))</f>
        <v/>
      </c>
      <c r="G12" s="6">
        <f>IF(C12="","",XLOOKUP(C12,Constants!$H$30:$H$200,Constants!$J$30:$J$200,"",0))</f>
        <v/>
      </c>
    </row>
    <row r="13">
      <c r="A13" s="8" t="n"/>
      <c r="B13" s="8" t="n"/>
      <c r="C13" s="8" t="n"/>
      <c r="D13" s="8" t="n"/>
      <c r="E13" s="8" t="n"/>
      <c r="F13" s="6">
        <f>IF(C13="","",XLOOKUP(C13,Constants!$H$30:$H$200,Constants!$I$30:$I$200,"",0))</f>
        <v/>
      </c>
      <c r="G13" s="6">
        <f>IF(C13="","",XLOOKUP(C13,Constants!$H$30:$H$200,Constants!$J$30:$J$200,"",0))</f>
        <v/>
      </c>
    </row>
    <row r="14">
      <c r="A14" s="8" t="n"/>
      <c r="B14" s="8" t="n"/>
      <c r="C14" s="8" t="n"/>
      <c r="D14" s="8" t="n"/>
      <c r="E14" s="8" t="n"/>
      <c r="F14" s="6">
        <f>IF(C14="","",XLOOKUP(C14,Constants!$H$30:$H$200,Constants!$I$30:$I$200,"",0))</f>
        <v/>
      </c>
      <c r="G14" s="6">
        <f>IF(C14="","",XLOOKUP(C14,Constants!$H$30:$H$200,Constants!$J$30:$J$200,"",0))</f>
        <v/>
      </c>
    </row>
    <row r="15">
      <c r="A15" s="8" t="n"/>
      <c r="B15" s="8" t="n"/>
      <c r="C15" s="8" t="n"/>
      <c r="D15" s="8" t="n"/>
      <c r="E15" s="8" t="n"/>
      <c r="F15" s="6">
        <f>IF(C15="","",XLOOKUP(C15,Constants!$H$30:$H$200,Constants!$I$30:$I$200,"",0))</f>
        <v/>
      </c>
      <c r="G15" s="6">
        <f>IF(C15="","",XLOOKUP(C15,Constants!$H$30:$H$200,Constants!$J$30:$J$200,"",0))</f>
        <v/>
      </c>
    </row>
    <row r="16">
      <c r="A16" s="8" t="n"/>
      <c r="B16" s="8" t="n"/>
      <c r="C16" s="8" t="n"/>
      <c r="D16" s="8" t="n"/>
      <c r="E16" s="8" t="n"/>
      <c r="F16" s="6">
        <f>IF(C16="","",XLOOKUP(C16,Constants!$H$30:$H$200,Constants!$I$30:$I$200,"",0))</f>
        <v/>
      </c>
      <c r="G16" s="6">
        <f>IF(C16="","",XLOOKUP(C16,Constants!$H$30:$H$200,Constants!$J$30:$J$200,"",0))</f>
        <v/>
      </c>
    </row>
    <row r="17">
      <c r="A17" s="8" t="n"/>
      <c r="B17" s="8" t="n"/>
      <c r="C17" s="8" t="n"/>
      <c r="D17" s="8" t="n"/>
      <c r="E17" s="8" t="n"/>
      <c r="F17" s="6">
        <f>IF(C17="","",XLOOKUP(C17,Constants!$H$30:$H$200,Constants!$I$30:$I$200,"",0))</f>
        <v/>
      </c>
      <c r="G17" s="6">
        <f>IF(C17="","",XLOOKUP(C17,Constants!$H$30:$H$200,Constants!$J$30:$J$200,"",0))</f>
        <v/>
      </c>
    </row>
    <row r="18">
      <c r="A18" s="8" t="n"/>
      <c r="B18" s="8" t="n"/>
      <c r="C18" s="8" t="n"/>
      <c r="D18" s="8" t="n"/>
      <c r="E18" s="8" t="n"/>
      <c r="F18" s="6">
        <f>IF(C18="","",XLOOKUP(C18,Constants!$H$30:$H$200,Constants!$I$30:$I$200,"",0))</f>
        <v/>
      </c>
      <c r="G18" s="6">
        <f>IF(C18="","",XLOOKUP(C18,Constants!$H$30:$H$200,Constants!$J$30:$J$200,"",0))</f>
        <v/>
      </c>
    </row>
    <row r="19">
      <c r="A19" s="8" t="n"/>
      <c r="B19" s="8" t="n"/>
      <c r="C19" s="8" t="n"/>
      <c r="D19" s="8" t="n"/>
      <c r="E19" s="8" t="n"/>
      <c r="F19" s="6">
        <f>IF(C19="","",XLOOKUP(C19,Constants!$H$30:$H$200,Constants!$I$30:$I$200,"",0))</f>
        <v/>
      </c>
      <c r="G19" s="6">
        <f>IF(C19="","",XLOOKUP(C19,Constants!$H$30:$H$200,Constants!$J$30:$J$200,"",0))</f>
        <v/>
      </c>
    </row>
    <row r="20">
      <c r="A20" s="8" t="n"/>
      <c r="B20" s="8" t="n"/>
      <c r="C20" s="8" t="n"/>
      <c r="D20" s="8" t="n"/>
      <c r="E20" s="8" t="n"/>
      <c r="F20" s="6">
        <f>IF(C20="","",XLOOKUP(C20,Constants!$H$30:$H$200,Constants!$I$30:$I$200,"",0))</f>
        <v/>
      </c>
      <c r="G20" s="6">
        <f>IF(C20="","",XLOOKUP(C20,Constants!$H$30:$H$200,Constants!$J$30:$J$200,"",0))</f>
        <v/>
      </c>
    </row>
    <row r="21">
      <c r="A21" s="8" t="n"/>
      <c r="B21" s="8" t="n"/>
      <c r="C21" s="8" t="n"/>
      <c r="D21" s="8" t="n"/>
      <c r="E21" s="8" t="n"/>
      <c r="F21" s="6">
        <f>IF(C21="","",XLOOKUP(C21,Constants!$H$30:$H$200,Constants!$I$30:$I$200,"",0))</f>
        <v/>
      </c>
      <c r="G21" s="6">
        <f>IF(C21="","",XLOOKUP(C21,Constants!$H$30:$H$200,Constants!$J$30:$J$200,"",0))</f>
        <v/>
      </c>
    </row>
    <row r="22">
      <c r="A22" s="8" t="n"/>
      <c r="B22" s="8" t="n"/>
      <c r="C22" s="8" t="n"/>
      <c r="D22" s="8" t="n"/>
      <c r="E22" s="8" t="n"/>
      <c r="F22" s="6">
        <f>IF(C22="","",XLOOKUP(C22,Constants!$H$30:$H$200,Constants!$I$30:$I$200,"",0))</f>
        <v/>
      </c>
      <c r="G22" s="6">
        <f>IF(C22="","",XLOOKUP(C22,Constants!$H$30:$H$200,Constants!$J$30:$J$200,"",0))</f>
        <v/>
      </c>
    </row>
    <row r="23">
      <c r="A23" s="8" t="n"/>
      <c r="B23" s="8" t="n"/>
      <c r="C23" s="8" t="n"/>
      <c r="D23" s="8" t="n"/>
      <c r="E23" s="8" t="n"/>
      <c r="F23" s="6">
        <f>IF(C23="","",XLOOKUP(C23,Constants!$H$30:$H$200,Constants!$I$30:$I$200,"",0))</f>
        <v/>
      </c>
      <c r="G23" s="6">
        <f>IF(C23="","",XLOOKUP(C23,Constants!$H$30:$H$200,Constants!$J$30:$J$200,"",0))</f>
        <v/>
      </c>
    </row>
    <row r="24">
      <c r="A24" s="8" t="n"/>
      <c r="B24" s="8" t="n"/>
      <c r="C24" s="8" t="n"/>
      <c r="D24" s="8" t="n"/>
      <c r="E24" s="8" t="n"/>
      <c r="F24" s="6">
        <f>IF(C24="","",XLOOKUP(C24,Constants!$H$30:$H$200,Constants!$I$30:$I$200,"",0))</f>
        <v/>
      </c>
      <c r="G24" s="6">
        <f>IF(C24="","",XLOOKUP(C24,Constants!$H$30:$H$200,Constants!$J$30:$J$200,"",0))</f>
        <v/>
      </c>
    </row>
    <row r="25">
      <c r="A25" s="8" t="n"/>
      <c r="B25" s="8" t="n"/>
      <c r="C25" s="8" t="n"/>
      <c r="D25" s="8" t="n"/>
      <c r="E25" s="8" t="n"/>
      <c r="F25" s="6">
        <f>IF(C25="","",XLOOKUP(C25,Constants!$H$30:$H$200,Constants!$I$30:$I$200,"",0))</f>
        <v/>
      </c>
      <c r="G25" s="6">
        <f>IF(C25="","",XLOOKUP(C25,Constants!$H$30:$H$200,Constants!$J$30:$J$200,"",0))</f>
        <v/>
      </c>
    </row>
    <row r="26">
      <c r="A26" s="8" t="n"/>
      <c r="B26" s="8" t="n"/>
      <c r="C26" s="8" t="n"/>
      <c r="D26" s="8" t="n"/>
      <c r="E26" s="8" t="n"/>
      <c r="F26" s="6">
        <f>IF(C26="","",XLOOKUP(C26,Constants!$H$30:$H$200,Constants!$I$30:$I$200,"",0))</f>
        <v/>
      </c>
      <c r="G26" s="6">
        <f>IF(C26="","",XLOOKUP(C26,Constants!$H$30:$H$200,Constants!$J$30:$J$200,"",0))</f>
        <v/>
      </c>
    </row>
    <row r="27">
      <c r="A27" s="8" t="n"/>
      <c r="B27" s="8" t="n"/>
      <c r="C27" s="8" t="n"/>
      <c r="D27" s="8" t="n"/>
      <c r="E27" s="8" t="n"/>
      <c r="F27" s="6">
        <f>IF(C27="","",XLOOKUP(C27,Constants!$H$30:$H$200,Constants!$I$30:$I$200,"",0))</f>
        <v/>
      </c>
      <c r="G27" s="6">
        <f>IF(C27="","",XLOOKUP(C27,Constants!$H$30:$H$200,Constants!$J$30:$J$200,"",0))</f>
        <v/>
      </c>
    </row>
    <row r="28">
      <c r="A28" s="8" t="n"/>
      <c r="B28" s="8" t="n"/>
      <c r="C28" s="8" t="n"/>
      <c r="D28" s="8" t="n"/>
      <c r="E28" s="8" t="n"/>
      <c r="F28" s="6">
        <f>IF(C28="","",XLOOKUP(C28,Constants!$H$30:$H$200,Constants!$I$30:$I$200,"",0))</f>
        <v/>
      </c>
      <c r="G28" s="6">
        <f>IF(C28="","",XLOOKUP(C28,Constants!$H$30:$H$200,Constants!$J$30:$J$200,"",0))</f>
        <v/>
      </c>
    </row>
    <row r="29">
      <c r="A29" s="8" t="n"/>
      <c r="B29" s="8" t="n"/>
      <c r="C29" s="8" t="n"/>
      <c r="D29" s="8" t="n"/>
      <c r="E29" s="8" t="n"/>
      <c r="F29" s="6">
        <f>IF(C29="","",XLOOKUP(C29,Constants!$H$30:$H$200,Constants!$I$30:$I$200,"",0))</f>
        <v/>
      </c>
      <c r="G29" s="6">
        <f>IF(C29="","",XLOOKUP(C29,Constants!$H$30:$H$200,Constants!$J$30:$J$200,"",0))</f>
        <v/>
      </c>
    </row>
    <row r="30">
      <c r="A30" s="8" t="n"/>
      <c r="B30" s="8" t="n"/>
      <c r="C30" s="8" t="n"/>
      <c r="D30" s="8" t="n"/>
      <c r="E30" s="8" t="n"/>
      <c r="F30" s="6">
        <f>IF(C30="","",XLOOKUP(C30,Constants!$H$30:$H$200,Constants!$I$30:$I$200,"",0))</f>
        <v/>
      </c>
      <c r="G30" s="6">
        <f>IF(C30="","",XLOOKUP(C30,Constants!$H$30:$H$200,Constants!$J$30:$J$200,"",0))</f>
        <v/>
      </c>
    </row>
    <row r="31">
      <c r="A31" s="8" t="n"/>
      <c r="B31" s="8" t="n"/>
      <c r="C31" s="8" t="n"/>
      <c r="D31" s="8" t="n"/>
      <c r="E31" s="8" t="n"/>
      <c r="F31" s="6">
        <f>IF(C31="","",XLOOKUP(C31,Constants!$H$30:$H$200,Constants!$I$30:$I$200,"",0))</f>
        <v/>
      </c>
      <c r="G31" s="6">
        <f>IF(C31="","",XLOOKUP(C31,Constants!$H$30:$H$200,Constants!$J$30:$J$200,"",0))</f>
        <v/>
      </c>
    </row>
    <row r="32">
      <c r="A32" s="8" t="n"/>
      <c r="B32" s="8" t="n"/>
      <c r="C32" s="8" t="n"/>
      <c r="D32" s="8" t="n"/>
      <c r="E32" s="8" t="n"/>
      <c r="F32" s="6">
        <f>IF(C32="","",XLOOKUP(C32,Constants!$H$30:$H$200,Constants!$I$30:$I$200,"",0))</f>
        <v/>
      </c>
      <c r="G32" s="6">
        <f>IF(C32="","",XLOOKUP(C32,Constants!$H$30:$H$200,Constants!$J$30:$J$200,"",0))</f>
        <v/>
      </c>
    </row>
    <row r="33">
      <c r="A33" s="8" t="n"/>
      <c r="B33" s="8" t="n"/>
      <c r="C33" s="8" t="n"/>
      <c r="D33" s="8" t="n"/>
      <c r="E33" s="8" t="n"/>
      <c r="F33" s="6">
        <f>IF(C33="","",XLOOKUP(C33,Constants!$H$30:$H$200,Constants!$I$30:$I$200,"",0))</f>
        <v/>
      </c>
      <c r="G33" s="6">
        <f>IF(C33="","",XLOOKUP(C33,Constants!$H$30:$H$200,Constants!$J$30:$J$200,"",0))</f>
        <v/>
      </c>
    </row>
    <row r="34">
      <c r="A34" s="8" t="n"/>
      <c r="B34" s="8" t="n"/>
      <c r="C34" s="8" t="n"/>
      <c r="D34" s="8" t="n"/>
      <c r="E34" s="8" t="n"/>
      <c r="F34" s="6">
        <f>IF(C34="","",XLOOKUP(C34,Constants!$H$30:$H$200,Constants!$I$30:$I$200,"",0))</f>
        <v/>
      </c>
      <c r="G34" s="6">
        <f>IF(C34="","",XLOOKUP(C34,Constants!$H$30:$H$200,Constants!$J$30:$J$200,"",0))</f>
        <v/>
      </c>
    </row>
    <row r="35">
      <c r="A35" s="8" t="n"/>
      <c r="B35" s="8" t="n"/>
      <c r="C35" s="8" t="n"/>
      <c r="D35" s="8" t="n"/>
      <c r="E35" s="8" t="n"/>
      <c r="F35" s="6">
        <f>IF(C35="","",XLOOKUP(C35,Constants!$H$30:$H$200,Constants!$I$30:$I$200,"",0))</f>
        <v/>
      </c>
      <c r="G35" s="6">
        <f>IF(C35="","",XLOOKUP(C35,Constants!$H$30:$H$200,Constants!$J$30:$J$200,"",0))</f>
        <v/>
      </c>
    </row>
    <row r="36">
      <c r="A36" s="8" t="n"/>
      <c r="B36" s="8" t="n"/>
      <c r="C36" s="8" t="n"/>
      <c r="D36" s="8" t="n"/>
      <c r="E36" s="8" t="n"/>
      <c r="F36" s="6">
        <f>IF(C36="","",XLOOKUP(C36,Constants!$H$30:$H$200,Constants!$I$30:$I$200,"",0))</f>
        <v/>
      </c>
      <c r="G36" s="6">
        <f>IF(C36="","",XLOOKUP(C36,Constants!$H$30:$H$200,Constants!$J$30:$J$200,"",0))</f>
        <v/>
      </c>
    </row>
    <row r="37">
      <c r="A37" s="8" t="n"/>
      <c r="B37" s="8" t="n"/>
      <c r="C37" s="8" t="n"/>
      <c r="D37" s="8" t="n"/>
      <c r="E37" s="8" t="n"/>
      <c r="F37" s="6">
        <f>IF(C37="","",XLOOKUP(C37,Constants!$H$30:$H$200,Constants!$I$30:$I$200,"",0))</f>
        <v/>
      </c>
      <c r="G37" s="6">
        <f>IF(C37="","",XLOOKUP(C37,Constants!$H$30:$H$200,Constants!$J$30:$J$200,"",0))</f>
        <v/>
      </c>
    </row>
    <row r="38">
      <c r="A38" s="8" t="n"/>
      <c r="B38" s="8" t="n"/>
      <c r="C38" s="8" t="n"/>
      <c r="D38" s="8" t="n"/>
      <c r="E38" s="8" t="n"/>
      <c r="F38" s="6">
        <f>IF(C38="","",XLOOKUP(C38,Constants!$H$30:$H$200,Constants!$I$30:$I$200,"",0))</f>
        <v/>
      </c>
      <c r="G38" s="6">
        <f>IF(C38="","",XLOOKUP(C38,Constants!$H$30:$H$200,Constants!$J$30:$J$200,"",0))</f>
        <v/>
      </c>
    </row>
    <row r="39">
      <c r="A39" s="8" t="n"/>
      <c r="B39" s="8" t="n"/>
      <c r="C39" s="8" t="n"/>
      <c r="D39" s="8" t="n"/>
      <c r="E39" s="8" t="n"/>
      <c r="F39" s="6">
        <f>IF(C39="","",XLOOKUP(C39,Constants!$H$30:$H$200,Constants!$I$30:$I$200,"",0))</f>
        <v/>
      </c>
      <c r="G39" s="6">
        <f>IF(C39="","",XLOOKUP(C39,Constants!$H$30:$H$200,Constants!$J$30:$J$200,"",0))</f>
        <v/>
      </c>
    </row>
    <row r="40">
      <c r="A40" s="8" t="n"/>
      <c r="B40" s="8" t="n"/>
      <c r="C40" s="8" t="n"/>
      <c r="D40" s="8" t="n"/>
      <c r="E40" s="8" t="n"/>
      <c r="F40" s="6">
        <f>IF(C40="","",XLOOKUP(C40,Constants!$H$30:$H$200,Constants!$I$30:$I$200,"",0))</f>
        <v/>
      </c>
      <c r="G40" s="6">
        <f>IF(C40="","",XLOOKUP(C40,Constants!$H$30:$H$200,Constants!$J$30:$J$200,"",0))</f>
        <v/>
      </c>
    </row>
    <row r="41">
      <c r="A41" s="8" t="n"/>
      <c r="B41" s="8" t="n"/>
      <c r="C41" s="8" t="n"/>
      <c r="D41" s="8" t="n"/>
      <c r="E41" s="8" t="n"/>
      <c r="F41" s="6">
        <f>IF(C41="","",XLOOKUP(C41,Constants!$H$30:$H$200,Constants!$I$30:$I$200,"",0))</f>
        <v/>
      </c>
      <c r="G41" s="6">
        <f>IF(C41="","",XLOOKUP(C41,Constants!$H$30:$H$200,Constants!$J$30:$J$200,"",0))</f>
        <v/>
      </c>
    </row>
    <row r="42">
      <c r="A42" s="8" t="n"/>
      <c r="B42" s="8" t="n"/>
      <c r="C42" s="8" t="n"/>
      <c r="D42" s="8" t="n"/>
      <c r="E42" s="8" t="n"/>
      <c r="F42" s="6">
        <f>IF(C42="","",XLOOKUP(C42,Constants!$H$30:$H$200,Constants!$I$30:$I$200,"",0))</f>
        <v/>
      </c>
      <c r="G42" s="6">
        <f>IF(C42="","",XLOOKUP(C42,Constants!$H$30:$H$200,Constants!$J$30:$J$200,"",0))</f>
        <v/>
      </c>
    </row>
    <row r="43">
      <c r="A43" s="8" t="n"/>
      <c r="B43" s="8" t="n"/>
      <c r="C43" s="8" t="n"/>
      <c r="D43" s="8" t="n"/>
      <c r="E43" s="8" t="n"/>
      <c r="F43" s="6">
        <f>IF(C43="","",XLOOKUP(C43,Constants!$H$30:$H$200,Constants!$I$30:$I$200,"",0))</f>
        <v/>
      </c>
      <c r="G43" s="6">
        <f>IF(C43="","",XLOOKUP(C43,Constants!$H$30:$H$200,Constants!$J$30:$J$200,"",0))</f>
        <v/>
      </c>
    </row>
    <row r="44">
      <c r="A44" s="8" t="n"/>
      <c r="B44" s="8" t="n"/>
      <c r="C44" s="8" t="n"/>
      <c r="D44" s="8" t="n"/>
      <c r="E44" s="8" t="n"/>
      <c r="F44" s="6">
        <f>IF(C44="","",XLOOKUP(C44,Constants!$H$30:$H$200,Constants!$I$30:$I$200,"",0))</f>
        <v/>
      </c>
      <c r="G44" s="6">
        <f>IF(C44="","",XLOOKUP(C44,Constants!$H$30:$H$200,Constants!$J$30:$J$200,"",0))</f>
        <v/>
      </c>
    </row>
    <row r="45">
      <c r="A45" s="8" t="n"/>
      <c r="B45" s="8" t="n"/>
      <c r="C45" s="8" t="n"/>
      <c r="D45" s="8" t="n"/>
      <c r="E45" s="8" t="n"/>
      <c r="F45" s="6">
        <f>IF(C45="","",XLOOKUP(C45,Constants!$H$30:$H$200,Constants!$I$30:$I$200,"",0))</f>
        <v/>
      </c>
      <c r="G45" s="6">
        <f>IF(C45="","",XLOOKUP(C45,Constants!$H$30:$H$200,Constants!$J$30:$J$200,"",0))</f>
        <v/>
      </c>
    </row>
    <row r="46">
      <c r="A46" s="8" t="n"/>
      <c r="B46" s="8" t="n"/>
      <c r="C46" s="8" t="n"/>
      <c r="D46" s="8" t="n"/>
      <c r="E46" s="8" t="n"/>
      <c r="F46" s="6">
        <f>IF(C46="","",XLOOKUP(C46,Constants!$H$30:$H$200,Constants!$I$30:$I$200,"",0))</f>
        <v/>
      </c>
      <c r="G46" s="6">
        <f>IF(C46="","",XLOOKUP(C46,Constants!$H$30:$H$200,Constants!$J$30:$J$200,"",0))</f>
        <v/>
      </c>
    </row>
    <row r="47">
      <c r="A47" s="8" t="n"/>
      <c r="B47" s="8" t="n"/>
      <c r="C47" s="8" t="n"/>
      <c r="D47" s="8" t="n"/>
      <c r="E47" s="8" t="n"/>
      <c r="F47" s="6">
        <f>IF(C47="","",XLOOKUP(C47,Constants!$H$30:$H$200,Constants!$I$30:$I$200,"",0))</f>
        <v/>
      </c>
      <c r="G47" s="6">
        <f>IF(C47="","",XLOOKUP(C47,Constants!$H$30:$H$200,Constants!$J$30:$J$200,"",0))</f>
        <v/>
      </c>
    </row>
    <row r="48">
      <c r="A48" s="8" t="n"/>
      <c r="B48" s="8" t="n"/>
      <c r="C48" s="8" t="n"/>
      <c r="D48" s="8" t="n"/>
      <c r="E48" s="8" t="n"/>
      <c r="F48" s="6">
        <f>IF(C48="","",XLOOKUP(C48,Constants!$H$30:$H$200,Constants!$I$30:$I$200,"",0))</f>
        <v/>
      </c>
      <c r="G48" s="6">
        <f>IF(C48="","",XLOOKUP(C48,Constants!$H$30:$H$200,Constants!$J$30:$J$200,"",0))</f>
        <v/>
      </c>
    </row>
    <row r="49">
      <c r="A49" s="8" t="n"/>
      <c r="B49" s="8" t="n"/>
      <c r="C49" s="8" t="n"/>
      <c r="D49" s="8" t="n"/>
      <c r="E49" s="8" t="n"/>
      <c r="F49" s="6">
        <f>IF(C49="","",XLOOKUP(C49,Constants!$H$30:$H$200,Constants!$I$30:$I$200,"",0))</f>
        <v/>
      </c>
      <c r="G49" s="6">
        <f>IF(C49="","",XLOOKUP(C49,Constants!$H$30:$H$200,Constants!$J$30:$J$200,"",0))</f>
        <v/>
      </c>
    </row>
    <row r="50">
      <c r="A50" s="8" t="n"/>
      <c r="B50" s="8" t="n"/>
      <c r="C50" s="8" t="n"/>
      <c r="D50" s="8" t="n"/>
      <c r="E50" s="8" t="n"/>
      <c r="F50" s="6">
        <f>IF(C50="","",XLOOKUP(C50,Constants!$H$30:$H$200,Constants!$I$30:$I$200,"",0))</f>
        <v/>
      </c>
      <c r="G50" s="6">
        <f>IF(C50="","",XLOOKUP(C50,Constants!$H$30:$H$200,Constants!$J$30:$J$200,"",0))</f>
        <v/>
      </c>
    </row>
    <row r="51">
      <c r="A51" s="8" t="n"/>
      <c r="B51" s="8" t="n"/>
      <c r="C51" s="8" t="n"/>
      <c r="D51" s="8" t="n"/>
      <c r="E51" s="8" t="n"/>
      <c r="F51" s="6">
        <f>IF(C51="","",XLOOKUP(C51,Constants!$H$30:$H$200,Constants!$I$30:$I$200,"",0))</f>
        <v/>
      </c>
      <c r="G51" s="6">
        <f>IF(C51="","",XLOOKUP(C51,Constants!$H$30:$H$200,Constants!$J$30:$J$200,"",0))</f>
        <v/>
      </c>
    </row>
    <row r="52">
      <c r="A52" s="8" t="n"/>
      <c r="B52" s="8" t="n"/>
      <c r="C52" s="8" t="n"/>
      <c r="D52" s="8" t="n"/>
      <c r="E52" s="8" t="n"/>
      <c r="F52" s="6">
        <f>IF(C52="","",XLOOKUP(C52,Constants!$H$30:$H$200,Constants!$I$30:$I$200,"",0))</f>
        <v/>
      </c>
      <c r="G52" s="6">
        <f>IF(C52="","",XLOOKUP(C52,Constants!$H$30:$H$200,Constants!$J$30:$J$200,"",0))</f>
        <v/>
      </c>
    </row>
    <row r="53">
      <c r="A53" s="8" t="n"/>
      <c r="B53" s="8" t="n"/>
      <c r="C53" s="8" t="n"/>
      <c r="D53" s="8" t="n"/>
      <c r="E53" s="8" t="n"/>
      <c r="F53" s="6">
        <f>IF(C53="","",XLOOKUP(C53,Constants!$H$30:$H$200,Constants!$I$30:$I$200,"",0))</f>
        <v/>
      </c>
      <c r="G53" s="6">
        <f>IF(C53="","",XLOOKUP(C53,Constants!$H$30:$H$200,Constants!$J$30:$J$200,"",0))</f>
        <v/>
      </c>
    </row>
    <row r="54">
      <c r="A54" s="8" t="n"/>
      <c r="B54" s="8" t="n"/>
      <c r="C54" s="8" t="n"/>
      <c r="D54" s="8" t="n"/>
      <c r="E54" s="8" t="n"/>
      <c r="F54" s="6">
        <f>IF(C54="","",XLOOKUP(C54,Constants!$H$30:$H$200,Constants!$I$30:$I$200,"",0))</f>
        <v/>
      </c>
      <c r="G54" s="6">
        <f>IF(C54="","",XLOOKUP(C54,Constants!$H$30:$H$200,Constants!$J$30:$J$200,"",0))</f>
        <v/>
      </c>
    </row>
    <row r="55">
      <c r="A55" s="8" t="n"/>
      <c r="B55" s="8" t="n"/>
      <c r="C55" s="8" t="n"/>
      <c r="D55" s="8" t="n"/>
      <c r="E55" s="8" t="n"/>
      <c r="F55" s="6">
        <f>IF(C55="","",XLOOKUP(C55,Constants!$H$30:$H$200,Constants!$I$30:$I$200,"",0))</f>
        <v/>
      </c>
      <c r="G55" s="6">
        <f>IF(C55="","",XLOOKUP(C55,Constants!$H$30:$H$200,Constants!$J$30:$J$200,"",0))</f>
        <v/>
      </c>
    </row>
    <row r="56">
      <c r="A56" s="8" t="n"/>
      <c r="B56" s="8" t="n"/>
      <c r="C56" s="8" t="n"/>
      <c r="D56" s="8" t="n"/>
      <c r="E56" s="8" t="n"/>
      <c r="F56" s="6">
        <f>IF(C56="","",XLOOKUP(C56,Constants!$H$30:$H$200,Constants!$I$30:$I$200,"",0))</f>
        <v/>
      </c>
      <c r="G56" s="6">
        <f>IF(C56="","",XLOOKUP(C56,Constants!$H$30:$H$200,Constants!$J$30:$J$200,"",0))</f>
        <v/>
      </c>
    </row>
    <row r="57">
      <c r="A57" s="8" t="n"/>
      <c r="B57" s="8" t="n"/>
      <c r="C57" s="8" t="n"/>
      <c r="D57" s="8" t="n"/>
      <c r="E57" s="8" t="n"/>
      <c r="F57" s="6">
        <f>IF(C57="","",XLOOKUP(C57,Constants!$H$30:$H$200,Constants!$I$30:$I$200,"",0))</f>
        <v/>
      </c>
      <c r="G57" s="6">
        <f>IF(C57="","",XLOOKUP(C57,Constants!$H$30:$H$200,Constants!$J$30:$J$200,"",0))</f>
        <v/>
      </c>
    </row>
    <row r="58">
      <c r="A58" s="8" t="n"/>
      <c r="B58" s="8" t="n"/>
      <c r="C58" s="8" t="n"/>
      <c r="D58" s="8" t="n"/>
      <c r="E58" s="8" t="n"/>
      <c r="F58" s="6">
        <f>IF(C58="","",XLOOKUP(C58,Constants!$H$30:$H$200,Constants!$I$30:$I$200,"",0))</f>
        <v/>
      </c>
      <c r="G58" s="6">
        <f>IF(C58="","",XLOOKUP(C58,Constants!$H$30:$H$200,Constants!$J$30:$J$200,"",0))</f>
        <v/>
      </c>
    </row>
    <row r="59">
      <c r="A59" s="8" t="n"/>
      <c r="B59" s="8" t="n"/>
      <c r="C59" s="8" t="n"/>
      <c r="D59" s="8" t="n"/>
      <c r="E59" s="8" t="n"/>
      <c r="F59" s="6">
        <f>IF(C59="","",XLOOKUP(C59,Constants!$H$30:$H$200,Constants!$I$30:$I$200,"",0))</f>
        <v/>
      </c>
      <c r="G59" s="6">
        <f>IF(C59="","",XLOOKUP(C59,Constants!$H$30:$H$200,Constants!$J$30:$J$200,"",0))</f>
        <v/>
      </c>
    </row>
    <row r="60">
      <c r="A60" s="8" t="n"/>
      <c r="B60" s="8" t="n"/>
      <c r="C60" s="8" t="n"/>
      <c r="D60" s="8" t="n"/>
      <c r="E60" s="8" t="n"/>
      <c r="F60" s="6">
        <f>IF(C60="","",XLOOKUP(C60,Constants!$H$30:$H$200,Constants!$I$30:$I$200,"",0))</f>
        <v/>
      </c>
      <c r="G60" s="6">
        <f>IF(C60="","",XLOOKUP(C60,Constants!$H$30:$H$200,Constants!$J$30:$J$200,"",0))</f>
        <v/>
      </c>
    </row>
    <row r="61">
      <c r="A61" s="8" t="n"/>
      <c r="B61" s="8" t="n"/>
      <c r="C61" s="8" t="n"/>
      <c r="D61" s="8" t="n"/>
      <c r="E61" s="8" t="n"/>
      <c r="F61" s="6">
        <f>IF(C61="","",XLOOKUP(C61,Constants!$H$30:$H$200,Constants!$I$30:$I$200,"",0))</f>
        <v/>
      </c>
      <c r="G61" s="6">
        <f>IF(C61="","",XLOOKUP(C61,Constants!$H$30:$H$200,Constants!$J$30:$J$200,"",0))</f>
        <v/>
      </c>
    </row>
    <row r="62">
      <c r="A62" s="8" t="n"/>
      <c r="B62" s="8" t="n"/>
      <c r="C62" s="8" t="n"/>
      <c r="D62" s="8" t="n"/>
      <c r="E62" s="8" t="n"/>
      <c r="F62" s="6">
        <f>IF(C62="","",XLOOKUP(C62,Constants!$H$30:$H$200,Constants!$I$30:$I$200,"",0))</f>
        <v/>
      </c>
      <c r="G62" s="6">
        <f>IF(C62="","",XLOOKUP(C62,Constants!$H$30:$H$200,Constants!$J$30:$J$200,"",0))</f>
        <v/>
      </c>
    </row>
    <row r="63">
      <c r="A63" s="8" t="n"/>
      <c r="B63" s="8" t="n"/>
      <c r="C63" s="8" t="n"/>
      <c r="D63" s="8" t="n"/>
      <c r="E63" s="8" t="n"/>
      <c r="F63" s="6">
        <f>IF(C63="","",XLOOKUP(C63,Constants!$H$30:$H$200,Constants!$I$30:$I$200,"",0))</f>
        <v/>
      </c>
      <c r="G63" s="6">
        <f>IF(C63="","",XLOOKUP(C63,Constants!$H$30:$H$200,Constants!$J$30:$J$200,"",0))</f>
        <v/>
      </c>
    </row>
    <row r="64">
      <c r="A64" s="8" t="n"/>
      <c r="B64" s="8" t="n"/>
      <c r="C64" s="8" t="n"/>
      <c r="D64" s="8" t="n"/>
      <c r="E64" s="8" t="n"/>
      <c r="F64" s="6">
        <f>IF(C64="","",XLOOKUP(C64,Constants!$H$30:$H$200,Constants!$I$30:$I$200,"",0))</f>
        <v/>
      </c>
      <c r="G64" s="6">
        <f>IF(C64="","",XLOOKUP(C64,Constants!$H$30:$H$200,Constants!$J$30:$J$200,"",0))</f>
        <v/>
      </c>
    </row>
    <row r="65">
      <c r="A65" s="8" t="n"/>
      <c r="B65" s="8" t="n"/>
      <c r="C65" s="8" t="n"/>
      <c r="D65" s="8" t="n"/>
      <c r="E65" s="8" t="n"/>
      <c r="F65" s="6">
        <f>IF(C65="","",XLOOKUP(C65,Constants!$H$30:$H$200,Constants!$I$30:$I$200,"",0))</f>
        <v/>
      </c>
      <c r="G65" s="6">
        <f>IF(C65="","",XLOOKUP(C65,Constants!$H$30:$H$200,Constants!$J$30:$J$200,"",0))</f>
        <v/>
      </c>
    </row>
    <row r="66">
      <c r="A66" s="8" t="n"/>
      <c r="B66" s="8" t="n"/>
      <c r="C66" s="8" t="n"/>
      <c r="D66" s="8" t="n"/>
      <c r="E66" s="8" t="n"/>
      <c r="F66" s="6">
        <f>IF(C66="","",XLOOKUP(C66,Constants!$H$30:$H$200,Constants!$I$30:$I$200,"",0))</f>
        <v/>
      </c>
      <c r="G66" s="6">
        <f>IF(C66="","",XLOOKUP(C66,Constants!$H$30:$H$200,Constants!$J$30:$J$200,"",0))</f>
        <v/>
      </c>
    </row>
    <row r="67">
      <c r="A67" s="8" t="n"/>
      <c r="B67" s="8" t="n"/>
      <c r="C67" s="8" t="n"/>
      <c r="D67" s="8" t="n"/>
      <c r="E67" s="8" t="n"/>
      <c r="F67" s="6">
        <f>IF(C67="","",XLOOKUP(C67,Constants!$H$30:$H$200,Constants!$I$30:$I$200,"",0))</f>
        <v/>
      </c>
      <c r="G67" s="6">
        <f>IF(C67="","",XLOOKUP(C67,Constants!$H$30:$H$200,Constants!$J$30:$J$200,"",0))</f>
        <v/>
      </c>
    </row>
    <row r="68">
      <c r="A68" s="8" t="n"/>
      <c r="B68" s="8" t="n"/>
      <c r="C68" s="8" t="n"/>
      <c r="D68" s="8" t="n"/>
      <c r="E68" s="8" t="n"/>
      <c r="F68" s="6">
        <f>IF(C68="","",XLOOKUP(C68,Constants!$H$30:$H$200,Constants!$I$30:$I$200,"",0))</f>
        <v/>
      </c>
      <c r="G68" s="6">
        <f>IF(C68="","",XLOOKUP(C68,Constants!$H$30:$H$200,Constants!$J$30:$J$200,"",0))</f>
        <v/>
      </c>
    </row>
    <row r="69">
      <c r="A69" s="8" t="n"/>
      <c r="B69" s="8" t="n"/>
      <c r="C69" s="8" t="n"/>
      <c r="D69" s="8" t="n"/>
      <c r="E69" s="8" t="n"/>
      <c r="F69" s="6">
        <f>IF(C69="","",XLOOKUP(C69,Constants!$H$30:$H$200,Constants!$I$30:$I$200,"",0))</f>
        <v/>
      </c>
      <c r="G69" s="6">
        <f>IF(C69="","",XLOOKUP(C69,Constants!$H$30:$H$200,Constants!$J$30:$J$200,"",0))</f>
        <v/>
      </c>
    </row>
    <row r="70">
      <c r="A70" s="8" t="n"/>
      <c r="B70" s="8" t="n"/>
      <c r="C70" s="8" t="n"/>
      <c r="D70" s="8" t="n"/>
      <c r="E70" s="8" t="n"/>
      <c r="F70" s="6">
        <f>IF(C70="","",XLOOKUP(C70,Constants!$H$30:$H$200,Constants!$I$30:$I$200,"",0))</f>
        <v/>
      </c>
      <c r="G70" s="6">
        <f>IF(C70="","",XLOOKUP(C70,Constants!$H$30:$H$200,Constants!$J$30:$J$200,"",0))</f>
        <v/>
      </c>
    </row>
    <row r="71">
      <c r="A71" s="8" t="n"/>
      <c r="B71" s="8" t="n"/>
      <c r="C71" s="8" t="n"/>
      <c r="D71" s="8" t="n"/>
      <c r="E71" s="8" t="n"/>
      <c r="F71" s="6">
        <f>IF(C71="","",XLOOKUP(C71,Constants!$H$30:$H$200,Constants!$I$30:$I$200,"",0))</f>
        <v/>
      </c>
      <c r="G71" s="6">
        <f>IF(C71="","",XLOOKUP(C71,Constants!$H$30:$H$200,Constants!$J$30:$J$200,"",0))</f>
        <v/>
      </c>
    </row>
    <row r="72">
      <c r="A72" s="8" t="n"/>
      <c r="B72" s="8" t="n"/>
      <c r="C72" s="8" t="n"/>
      <c r="D72" s="8" t="n"/>
      <c r="E72" s="8" t="n"/>
      <c r="F72" s="6">
        <f>IF(C72="","",XLOOKUP(C72,Constants!$H$30:$H$200,Constants!$I$30:$I$200,"",0))</f>
        <v/>
      </c>
      <c r="G72" s="6">
        <f>IF(C72="","",XLOOKUP(C72,Constants!$H$30:$H$200,Constants!$J$30:$J$200,"",0))</f>
        <v/>
      </c>
    </row>
    <row r="73">
      <c r="A73" s="8" t="n"/>
      <c r="B73" s="8" t="n"/>
      <c r="C73" s="8" t="n"/>
      <c r="D73" s="8" t="n"/>
      <c r="E73" s="8" t="n"/>
      <c r="F73" s="6">
        <f>IF(C73="","",XLOOKUP(C73,Constants!$H$30:$H$200,Constants!$I$30:$I$200,"",0))</f>
        <v/>
      </c>
      <c r="G73" s="6">
        <f>IF(C73="","",XLOOKUP(C73,Constants!$H$30:$H$200,Constants!$J$30:$J$200,"",0))</f>
        <v/>
      </c>
    </row>
    <row r="74">
      <c r="A74" s="8" t="n"/>
      <c r="B74" s="8" t="n"/>
      <c r="C74" s="8" t="n"/>
      <c r="D74" s="8" t="n"/>
      <c r="E74" s="8" t="n"/>
      <c r="F74" s="6">
        <f>IF(C74="","",XLOOKUP(C74,Constants!$H$30:$H$200,Constants!$I$30:$I$200,"",0))</f>
        <v/>
      </c>
      <c r="G74" s="6">
        <f>IF(C74="","",XLOOKUP(C74,Constants!$H$30:$H$200,Constants!$J$30:$J$200,"",0))</f>
        <v/>
      </c>
    </row>
    <row r="75">
      <c r="A75" s="8" t="n"/>
      <c r="B75" s="8" t="n"/>
      <c r="C75" s="8" t="n"/>
      <c r="D75" s="8" t="n"/>
      <c r="E75" s="8" t="n"/>
      <c r="F75" s="6">
        <f>IF(C75="","",XLOOKUP(C75,Constants!$H$30:$H$200,Constants!$I$30:$I$200,"",0))</f>
        <v/>
      </c>
      <c r="G75" s="6">
        <f>IF(C75="","",XLOOKUP(C75,Constants!$H$30:$H$200,Constants!$J$30:$J$200,"",0))</f>
        <v/>
      </c>
    </row>
    <row r="76">
      <c r="A76" s="8" t="n"/>
      <c r="B76" s="8" t="n"/>
      <c r="C76" s="8" t="n"/>
      <c r="D76" s="8" t="n"/>
      <c r="E76" s="8" t="n"/>
      <c r="F76" s="6">
        <f>IF(C76="","",XLOOKUP(C76,Constants!$H$30:$H$200,Constants!$I$30:$I$200,"",0))</f>
        <v/>
      </c>
      <c r="G76" s="6">
        <f>IF(C76="","",XLOOKUP(C76,Constants!$H$30:$H$200,Constants!$J$30:$J$200,"",0))</f>
        <v/>
      </c>
    </row>
    <row r="77">
      <c r="A77" s="8" t="n"/>
      <c r="B77" s="8" t="n"/>
      <c r="C77" s="8" t="n"/>
      <c r="D77" s="8" t="n"/>
      <c r="E77" s="8" t="n"/>
      <c r="F77" s="6">
        <f>IF(C77="","",XLOOKUP(C77,Constants!$H$30:$H$200,Constants!$I$30:$I$200,"",0))</f>
        <v/>
      </c>
      <c r="G77" s="6">
        <f>IF(C77="","",XLOOKUP(C77,Constants!$H$30:$H$200,Constants!$J$30:$J$200,"",0))</f>
        <v/>
      </c>
    </row>
    <row r="78">
      <c r="A78" s="8" t="n"/>
      <c r="B78" s="8" t="n"/>
      <c r="C78" s="8" t="n"/>
      <c r="D78" s="8" t="n"/>
      <c r="E78" s="8" t="n"/>
      <c r="F78" s="6">
        <f>IF(C78="","",XLOOKUP(C78,Constants!$H$30:$H$200,Constants!$I$30:$I$200,"",0))</f>
        <v/>
      </c>
      <c r="G78" s="6">
        <f>IF(C78="","",XLOOKUP(C78,Constants!$H$30:$H$200,Constants!$J$30:$J$200,"",0))</f>
        <v/>
      </c>
    </row>
    <row r="79">
      <c r="A79" s="8" t="n"/>
      <c r="B79" s="8" t="n"/>
      <c r="C79" s="8" t="n"/>
      <c r="D79" s="8" t="n"/>
      <c r="E79" s="8" t="n"/>
      <c r="F79" s="6">
        <f>IF(C79="","",XLOOKUP(C79,Constants!$H$30:$H$200,Constants!$I$30:$I$200,"",0))</f>
        <v/>
      </c>
      <c r="G79" s="6">
        <f>IF(C79="","",XLOOKUP(C79,Constants!$H$30:$H$200,Constants!$J$30:$J$200,"",0))</f>
        <v/>
      </c>
    </row>
    <row r="80">
      <c r="A80" s="8" t="n"/>
      <c r="B80" s="8" t="n"/>
      <c r="C80" s="8" t="n"/>
      <c r="D80" s="8" t="n"/>
      <c r="E80" s="8" t="n"/>
      <c r="F80" s="6">
        <f>IF(C80="","",XLOOKUP(C80,Constants!$H$30:$H$200,Constants!$I$30:$I$200,"",0))</f>
        <v/>
      </c>
      <c r="G80" s="6">
        <f>IF(C80="","",XLOOKUP(C80,Constants!$H$30:$H$200,Constants!$J$30:$J$200,"",0))</f>
        <v/>
      </c>
    </row>
    <row r="81">
      <c r="A81" s="8" t="n"/>
      <c r="B81" s="8" t="n"/>
      <c r="C81" s="8" t="n"/>
      <c r="D81" s="8" t="n"/>
      <c r="E81" s="8" t="n"/>
      <c r="F81" s="6">
        <f>IF(C81="","",XLOOKUP(C81,Constants!$H$30:$H$200,Constants!$I$30:$I$200,"",0))</f>
        <v/>
      </c>
      <c r="G81" s="6">
        <f>IF(C81="","",XLOOKUP(C81,Constants!$H$30:$H$200,Constants!$J$30:$J$200,"",0))</f>
        <v/>
      </c>
    </row>
    <row r="82">
      <c r="A82" s="8" t="n"/>
      <c r="B82" s="8" t="n"/>
      <c r="C82" s="8" t="n"/>
      <c r="D82" s="8" t="n"/>
      <c r="E82" s="8" t="n"/>
      <c r="F82" s="6">
        <f>IF(C82="","",XLOOKUP(C82,Constants!$H$30:$H$200,Constants!$I$30:$I$200,"",0))</f>
        <v/>
      </c>
      <c r="G82" s="6">
        <f>IF(C82="","",XLOOKUP(C82,Constants!$H$30:$H$200,Constants!$J$30:$J$200,"",0))</f>
        <v/>
      </c>
    </row>
    <row r="83">
      <c r="A83" s="8" t="n"/>
      <c r="B83" s="8" t="n"/>
      <c r="C83" s="8" t="n"/>
      <c r="D83" s="8" t="n"/>
      <c r="E83" s="8" t="n"/>
      <c r="F83" s="6">
        <f>IF(C83="","",XLOOKUP(C83,Constants!$H$30:$H$200,Constants!$I$30:$I$200,"",0))</f>
        <v/>
      </c>
      <c r="G83" s="6">
        <f>IF(C83="","",XLOOKUP(C83,Constants!$H$30:$H$200,Constants!$J$30:$J$200,"",0))</f>
        <v/>
      </c>
    </row>
    <row r="84">
      <c r="A84" s="8" t="n"/>
      <c r="B84" s="8" t="n"/>
      <c r="C84" s="8" t="n"/>
      <c r="D84" s="8" t="n"/>
      <c r="E84" s="8" t="n"/>
      <c r="F84" s="6">
        <f>IF(C84="","",XLOOKUP(C84,Constants!$H$30:$H$200,Constants!$I$30:$I$200,"",0))</f>
        <v/>
      </c>
      <c r="G84" s="6">
        <f>IF(C84="","",XLOOKUP(C84,Constants!$H$30:$H$200,Constants!$J$30:$J$200,"",0))</f>
        <v/>
      </c>
    </row>
    <row r="85">
      <c r="A85" s="8" t="n"/>
      <c r="B85" s="8" t="n"/>
      <c r="C85" s="8" t="n"/>
      <c r="D85" s="8" t="n"/>
      <c r="E85" s="8" t="n"/>
      <c r="F85" s="6">
        <f>IF(C85="","",XLOOKUP(C85,Constants!$H$30:$H$200,Constants!$I$30:$I$200,"",0))</f>
        <v/>
      </c>
      <c r="G85" s="6">
        <f>IF(C85="","",XLOOKUP(C85,Constants!$H$30:$H$200,Constants!$J$30:$J$200,"",0))</f>
        <v/>
      </c>
    </row>
    <row r="86">
      <c r="A86" s="8" t="n"/>
      <c r="B86" s="8" t="n"/>
      <c r="C86" s="8" t="n"/>
      <c r="D86" s="8" t="n"/>
      <c r="E86" s="8" t="n"/>
      <c r="F86" s="6">
        <f>IF(C86="","",XLOOKUP(C86,Constants!$H$30:$H$200,Constants!$I$30:$I$200,"",0))</f>
        <v/>
      </c>
      <c r="G86" s="6">
        <f>IF(C86="","",XLOOKUP(C86,Constants!$H$30:$H$200,Constants!$J$30:$J$200,"",0))</f>
        <v/>
      </c>
    </row>
    <row r="87">
      <c r="A87" s="8" t="n"/>
      <c r="B87" s="8" t="n"/>
      <c r="C87" s="8" t="n"/>
      <c r="D87" s="8" t="n"/>
      <c r="E87" s="8" t="n"/>
      <c r="F87" s="6">
        <f>IF(C87="","",XLOOKUP(C87,Constants!$H$30:$H$200,Constants!$I$30:$I$200,"",0))</f>
        <v/>
      </c>
      <c r="G87" s="6">
        <f>IF(C87="","",XLOOKUP(C87,Constants!$H$30:$H$200,Constants!$J$30:$J$200,"",0))</f>
        <v/>
      </c>
    </row>
    <row r="88">
      <c r="A88" s="8" t="n"/>
      <c r="B88" s="8" t="n"/>
      <c r="C88" s="8" t="n"/>
      <c r="D88" s="8" t="n"/>
      <c r="E88" s="8" t="n"/>
      <c r="F88" s="6">
        <f>IF(C88="","",XLOOKUP(C88,Constants!$H$30:$H$200,Constants!$I$30:$I$200,"",0))</f>
        <v/>
      </c>
      <c r="G88" s="6">
        <f>IF(C88="","",XLOOKUP(C88,Constants!$H$30:$H$200,Constants!$J$30:$J$200,"",0))</f>
        <v/>
      </c>
    </row>
    <row r="89">
      <c r="A89" s="8" t="n"/>
      <c r="B89" s="8" t="n"/>
      <c r="C89" s="8" t="n"/>
      <c r="D89" s="8" t="n"/>
      <c r="E89" s="8" t="n"/>
      <c r="F89" s="6">
        <f>IF(C89="","",XLOOKUP(C89,Constants!$H$30:$H$200,Constants!$I$30:$I$200,"",0))</f>
        <v/>
      </c>
      <c r="G89" s="6">
        <f>IF(C89="","",XLOOKUP(C89,Constants!$H$30:$H$200,Constants!$J$30:$J$200,"",0))</f>
        <v/>
      </c>
    </row>
    <row r="90">
      <c r="A90" s="8" t="n"/>
      <c r="B90" s="8" t="n"/>
      <c r="C90" s="8" t="n"/>
      <c r="D90" s="8" t="n"/>
      <c r="E90" s="8" t="n"/>
      <c r="F90" s="6">
        <f>IF(C90="","",XLOOKUP(C90,Constants!$H$30:$H$200,Constants!$I$30:$I$200,"",0))</f>
        <v/>
      </c>
      <c r="G90" s="6">
        <f>IF(C90="","",XLOOKUP(C90,Constants!$H$30:$H$200,Constants!$J$30:$J$200,"",0))</f>
        <v/>
      </c>
    </row>
    <row r="91">
      <c r="A91" s="8" t="n"/>
      <c r="B91" s="8" t="n"/>
      <c r="C91" s="8" t="n"/>
      <c r="D91" s="8" t="n"/>
      <c r="E91" s="8" t="n"/>
      <c r="F91" s="6">
        <f>IF(C91="","",XLOOKUP(C91,Constants!$H$30:$H$200,Constants!$I$30:$I$200,"",0))</f>
        <v/>
      </c>
      <c r="G91" s="6">
        <f>IF(C91="","",XLOOKUP(C91,Constants!$H$30:$H$200,Constants!$J$30:$J$200,"",0))</f>
        <v/>
      </c>
    </row>
    <row r="92">
      <c r="A92" s="8" t="n"/>
      <c r="B92" s="8" t="n"/>
      <c r="C92" s="8" t="n"/>
      <c r="D92" s="8" t="n"/>
      <c r="E92" s="8" t="n"/>
      <c r="F92" s="6">
        <f>IF(C92="","",XLOOKUP(C92,Constants!$H$30:$H$200,Constants!$I$30:$I$200,"",0))</f>
        <v/>
      </c>
      <c r="G92" s="6">
        <f>IF(C92="","",XLOOKUP(C92,Constants!$H$30:$H$200,Constants!$J$30:$J$200,"",0))</f>
        <v/>
      </c>
    </row>
    <row r="93">
      <c r="A93" s="8" t="n"/>
      <c r="B93" s="8" t="n"/>
      <c r="C93" s="8" t="n"/>
      <c r="D93" s="8" t="n"/>
      <c r="E93" s="8" t="n"/>
      <c r="F93" s="6">
        <f>IF(C93="","",XLOOKUP(C93,Constants!$H$30:$H$200,Constants!$I$30:$I$200,"",0))</f>
        <v/>
      </c>
      <c r="G93" s="6">
        <f>IF(C93="","",XLOOKUP(C93,Constants!$H$30:$H$200,Constants!$J$30:$J$200,"",0))</f>
        <v/>
      </c>
    </row>
    <row r="94">
      <c r="A94" s="8" t="n"/>
      <c r="B94" s="8" t="n"/>
      <c r="C94" s="8" t="n"/>
      <c r="D94" s="8" t="n"/>
      <c r="E94" s="8" t="n"/>
      <c r="F94" s="6">
        <f>IF(C94="","",XLOOKUP(C94,Constants!$H$30:$H$200,Constants!$I$30:$I$200,"",0))</f>
        <v/>
      </c>
      <c r="G94" s="6">
        <f>IF(C94="","",XLOOKUP(C94,Constants!$H$30:$H$200,Constants!$J$30:$J$200,"",0))</f>
        <v/>
      </c>
    </row>
    <row r="95">
      <c r="A95" s="8" t="n"/>
      <c r="B95" s="8" t="n"/>
      <c r="C95" s="8" t="n"/>
      <c r="D95" s="8" t="n"/>
      <c r="E95" s="8" t="n"/>
      <c r="F95" s="6">
        <f>IF(C95="","",XLOOKUP(C95,Constants!$H$30:$H$200,Constants!$I$30:$I$200,"",0))</f>
        <v/>
      </c>
      <c r="G95" s="6">
        <f>IF(C95="","",XLOOKUP(C95,Constants!$H$30:$H$200,Constants!$J$30:$J$200,"",0))</f>
        <v/>
      </c>
    </row>
    <row r="96">
      <c r="A96" s="8" t="n"/>
      <c r="B96" s="8" t="n"/>
      <c r="C96" s="8" t="n"/>
      <c r="D96" s="8" t="n"/>
      <c r="E96" s="8" t="n"/>
      <c r="F96" s="6">
        <f>IF(C96="","",XLOOKUP(C96,Constants!$H$30:$H$200,Constants!$I$30:$I$200,"",0))</f>
        <v/>
      </c>
      <c r="G96" s="6">
        <f>IF(C96="","",XLOOKUP(C96,Constants!$H$30:$H$200,Constants!$J$30:$J$200,"",0))</f>
        <v/>
      </c>
    </row>
    <row r="97">
      <c r="A97" s="8" t="n"/>
      <c r="B97" s="8" t="n"/>
      <c r="C97" s="8" t="n"/>
      <c r="D97" s="8" t="n"/>
      <c r="E97" s="8" t="n"/>
      <c r="F97" s="6">
        <f>IF(C97="","",XLOOKUP(C97,Constants!$H$30:$H$200,Constants!$I$30:$I$200,"",0))</f>
        <v/>
      </c>
      <c r="G97" s="6">
        <f>IF(C97="","",XLOOKUP(C97,Constants!$H$30:$H$200,Constants!$J$30:$J$200,"",0))</f>
        <v/>
      </c>
    </row>
    <row r="98">
      <c r="A98" s="8" t="n"/>
      <c r="B98" s="8" t="n"/>
      <c r="C98" s="8" t="n"/>
      <c r="D98" s="8" t="n"/>
      <c r="E98" s="8" t="n"/>
      <c r="F98" s="6">
        <f>IF(C98="","",XLOOKUP(C98,Constants!$H$30:$H$200,Constants!$I$30:$I$200,"",0))</f>
        <v/>
      </c>
      <c r="G98" s="6">
        <f>IF(C98="","",XLOOKUP(C98,Constants!$H$30:$H$200,Constants!$J$30:$J$200,"",0))</f>
        <v/>
      </c>
    </row>
    <row r="99">
      <c r="A99" s="8" t="n"/>
      <c r="B99" s="8" t="n"/>
      <c r="C99" s="8" t="n"/>
      <c r="D99" s="8" t="n"/>
      <c r="E99" s="8" t="n"/>
      <c r="F99" s="6">
        <f>IF(C99="","",XLOOKUP(C99,Constants!$H$30:$H$200,Constants!$I$30:$I$200,"",0))</f>
        <v/>
      </c>
      <c r="G99" s="6">
        <f>IF(C99="","",XLOOKUP(C99,Constants!$H$30:$H$200,Constants!$J$30:$J$200,"",0))</f>
        <v/>
      </c>
    </row>
    <row r="100">
      <c r="A100" s="8" t="n"/>
      <c r="B100" s="8" t="n"/>
      <c r="C100" s="8" t="n"/>
      <c r="D100" s="8" t="n"/>
      <c r="E100" s="8" t="n"/>
      <c r="F100" s="6">
        <f>IF(C100="","",XLOOKUP(C100,Constants!$H$30:$H$200,Constants!$I$30:$I$200,"",0))</f>
        <v/>
      </c>
      <c r="G100" s="6">
        <f>IF(C100="","",XLOOKUP(C100,Constants!$H$30:$H$200,Constants!$J$30:$J$200,"",0))</f>
        <v/>
      </c>
    </row>
    <row r="101">
      <c r="A101" s="8" t="n"/>
      <c r="B101" s="8" t="n"/>
      <c r="C101" s="8" t="n"/>
      <c r="D101" s="8" t="n"/>
      <c r="E101" s="8" t="n"/>
      <c r="F101" s="6">
        <f>IF(C101="","",XLOOKUP(C101,Constants!$H$30:$H$200,Constants!$I$30:$I$200,"",0))</f>
        <v/>
      </c>
      <c r="G101" s="6">
        <f>IF(C101="","",XLOOKUP(C101,Constants!$H$30:$H$200,Constants!$J$30:$J$200,"",0))</f>
        <v/>
      </c>
    </row>
    <row r="102">
      <c r="A102" s="8" t="n"/>
      <c r="B102" s="8" t="n"/>
      <c r="C102" s="8" t="n"/>
      <c r="D102" s="8" t="n"/>
      <c r="E102" s="8" t="n"/>
      <c r="F102" s="6">
        <f>IF(C102="","",XLOOKUP(C102,Constants!$H$30:$H$200,Constants!$I$30:$I$200,"",0))</f>
        <v/>
      </c>
      <c r="G102" s="6">
        <f>IF(C102="","",XLOOKUP(C102,Constants!$H$30:$H$200,Constants!$J$30:$J$200,"",0))</f>
        <v/>
      </c>
    </row>
    <row r="103">
      <c r="A103" s="8" t="n"/>
      <c r="B103" s="8" t="n"/>
      <c r="C103" s="8" t="n"/>
      <c r="D103" s="8" t="n"/>
      <c r="E103" s="8" t="n"/>
      <c r="F103" s="6">
        <f>IF(C103="","",XLOOKUP(C103,Constants!$H$30:$H$200,Constants!$I$30:$I$200,"",0))</f>
        <v/>
      </c>
      <c r="G103" s="6">
        <f>IF(C103="","",XLOOKUP(C103,Constants!$H$30:$H$200,Constants!$J$30:$J$200,"",0))</f>
        <v/>
      </c>
    </row>
    <row r="104">
      <c r="A104" s="8" t="n"/>
      <c r="B104" s="8" t="n"/>
      <c r="C104" s="8" t="n"/>
      <c r="D104" s="8" t="n"/>
      <c r="E104" s="8" t="n"/>
      <c r="F104" s="6">
        <f>IF(C104="","",XLOOKUP(C104,Constants!$H$30:$H$200,Constants!$I$30:$I$200,"",0))</f>
        <v/>
      </c>
      <c r="G104" s="6">
        <f>IF(C104="","",XLOOKUP(C104,Constants!$H$30:$H$200,Constants!$J$30:$J$200,"",0))</f>
        <v/>
      </c>
    </row>
    <row r="105">
      <c r="A105" s="8" t="n"/>
      <c r="B105" s="8" t="n"/>
      <c r="C105" s="8" t="n"/>
      <c r="D105" s="8" t="n"/>
      <c r="E105" s="8" t="n"/>
      <c r="F105" s="6">
        <f>IF(C105="","",XLOOKUP(C105,Constants!$H$30:$H$200,Constants!$I$30:$I$200,"",0))</f>
        <v/>
      </c>
      <c r="G105" s="6">
        <f>IF(C105="","",XLOOKUP(C105,Constants!$H$30:$H$200,Constants!$J$30:$J$200,"",0))</f>
        <v/>
      </c>
    </row>
    <row r="106">
      <c r="A106" s="8" t="n"/>
      <c r="B106" s="8" t="n"/>
      <c r="C106" s="8" t="n"/>
      <c r="D106" s="8" t="n"/>
      <c r="E106" s="8" t="n"/>
      <c r="F106" s="6">
        <f>IF(C106="","",XLOOKUP(C106,Constants!$H$30:$H$200,Constants!$I$30:$I$200,"",0))</f>
        <v/>
      </c>
      <c r="G106" s="6">
        <f>IF(C106="","",XLOOKUP(C106,Constants!$H$30:$H$200,Constants!$J$30:$J$200,"",0))</f>
        <v/>
      </c>
    </row>
    <row r="107">
      <c r="A107" s="8" t="n"/>
      <c r="B107" s="8" t="n"/>
      <c r="C107" s="8" t="n"/>
      <c r="D107" s="8" t="n"/>
      <c r="E107" s="8" t="n"/>
      <c r="F107" s="6">
        <f>IF(C107="","",XLOOKUP(C107,Constants!$H$30:$H$200,Constants!$I$30:$I$200,"",0))</f>
        <v/>
      </c>
      <c r="G107" s="6">
        <f>IF(C107="","",XLOOKUP(C107,Constants!$H$30:$H$200,Constants!$J$30:$J$200,"",0))</f>
        <v/>
      </c>
    </row>
    <row r="108">
      <c r="A108" s="8" t="n"/>
      <c r="B108" s="8" t="n"/>
      <c r="C108" s="8" t="n"/>
      <c r="D108" s="8" t="n"/>
      <c r="E108" s="8" t="n"/>
      <c r="F108" s="6">
        <f>IF(C108="","",XLOOKUP(C108,Constants!$H$30:$H$200,Constants!$I$30:$I$200,"",0))</f>
        <v/>
      </c>
      <c r="G108" s="6">
        <f>IF(C108="","",XLOOKUP(C108,Constants!$H$30:$H$200,Constants!$J$30:$J$200,"",0))</f>
        <v/>
      </c>
    </row>
    <row r="109">
      <c r="A109" s="8" t="n"/>
      <c r="B109" s="8" t="n"/>
      <c r="C109" s="8" t="n"/>
      <c r="D109" s="8" t="n"/>
      <c r="E109" s="8" t="n"/>
      <c r="F109" s="6">
        <f>IF(C109="","",XLOOKUP(C109,Constants!$H$30:$H$200,Constants!$I$30:$I$200,"",0))</f>
        <v/>
      </c>
      <c r="G109" s="6">
        <f>IF(C109="","",XLOOKUP(C109,Constants!$H$30:$H$200,Constants!$J$30:$J$200,"",0))</f>
        <v/>
      </c>
    </row>
    <row r="110">
      <c r="A110" s="8" t="n"/>
      <c r="B110" s="8" t="n"/>
      <c r="C110" s="8" t="n"/>
      <c r="D110" s="8" t="n"/>
      <c r="E110" s="8" t="n"/>
      <c r="F110" s="6">
        <f>IF(C110="","",XLOOKUP(C110,Constants!$H$30:$H$200,Constants!$I$30:$I$200,"",0))</f>
        <v/>
      </c>
      <c r="G110" s="6">
        <f>IF(C110="","",XLOOKUP(C110,Constants!$H$30:$H$200,Constants!$J$30:$J$200,"",0))</f>
        <v/>
      </c>
    </row>
    <row r="111">
      <c r="A111" s="8" t="n"/>
      <c r="B111" s="8" t="n"/>
      <c r="C111" s="8" t="n"/>
      <c r="D111" s="8" t="n"/>
      <c r="E111" s="8" t="n"/>
      <c r="F111" s="6">
        <f>IF(C111="","",XLOOKUP(C111,Constants!$H$30:$H$200,Constants!$I$30:$I$200,"",0))</f>
        <v/>
      </c>
      <c r="G111" s="6">
        <f>IF(C111="","",XLOOKUP(C111,Constants!$H$30:$H$200,Constants!$J$30:$J$200,"",0))</f>
        <v/>
      </c>
    </row>
    <row r="112">
      <c r="A112" s="8" t="n"/>
      <c r="B112" s="8" t="n"/>
      <c r="C112" s="8" t="n"/>
      <c r="D112" s="8" t="n"/>
      <c r="E112" s="8" t="n"/>
      <c r="F112" s="6">
        <f>IF(C112="","",XLOOKUP(C112,Constants!$H$30:$H$200,Constants!$I$30:$I$200,"",0))</f>
        <v/>
      </c>
      <c r="G112" s="6">
        <f>IF(C112="","",XLOOKUP(C112,Constants!$H$30:$H$200,Constants!$J$30:$J$200,"",0))</f>
        <v/>
      </c>
    </row>
    <row r="113">
      <c r="A113" s="8" t="n"/>
      <c r="B113" s="8" t="n"/>
      <c r="C113" s="8" t="n"/>
      <c r="D113" s="8" t="n"/>
      <c r="E113" s="8" t="n"/>
      <c r="F113" s="6">
        <f>IF(C113="","",XLOOKUP(C113,Constants!$H$30:$H$200,Constants!$I$30:$I$200,"",0))</f>
        <v/>
      </c>
      <c r="G113" s="6">
        <f>IF(C113="","",XLOOKUP(C113,Constants!$H$30:$H$200,Constants!$J$30:$J$200,"",0))</f>
        <v/>
      </c>
    </row>
    <row r="114">
      <c r="A114" s="8" t="n"/>
      <c r="B114" s="8" t="n"/>
      <c r="C114" s="8" t="n"/>
      <c r="D114" s="8" t="n"/>
      <c r="E114" s="8" t="n"/>
      <c r="F114" s="6">
        <f>IF(C114="","",XLOOKUP(C114,Constants!$H$30:$H$200,Constants!$I$30:$I$200,"",0))</f>
        <v/>
      </c>
      <c r="G114" s="6">
        <f>IF(C114="","",XLOOKUP(C114,Constants!$H$30:$H$200,Constants!$J$30:$J$200,"",0))</f>
        <v/>
      </c>
    </row>
    <row r="115">
      <c r="A115" s="8" t="n"/>
      <c r="B115" s="8" t="n"/>
      <c r="C115" s="8" t="n"/>
      <c r="D115" s="8" t="n"/>
      <c r="E115" s="8" t="n"/>
      <c r="F115" s="6">
        <f>IF(C115="","",XLOOKUP(C115,Constants!$H$30:$H$200,Constants!$I$30:$I$200,"",0))</f>
        <v/>
      </c>
      <c r="G115" s="6">
        <f>IF(C115="","",XLOOKUP(C115,Constants!$H$30:$H$200,Constants!$J$30:$J$200,"",0))</f>
        <v/>
      </c>
    </row>
    <row r="116">
      <c r="A116" s="8" t="n"/>
      <c r="B116" s="8" t="n"/>
      <c r="C116" s="8" t="n"/>
      <c r="D116" s="8" t="n"/>
      <c r="E116" s="8" t="n"/>
      <c r="F116" s="6">
        <f>IF(C116="","",XLOOKUP(C116,Constants!$H$30:$H$200,Constants!$I$30:$I$200,"",0))</f>
        <v/>
      </c>
      <c r="G116" s="6">
        <f>IF(C116="","",XLOOKUP(C116,Constants!$H$30:$H$200,Constants!$J$30:$J$200,"",0))</f>
        <v/>
      </c>
    </row>
    <row r="117">
      <c r="A117" s="8" t="n"/>
      <c r="B117" s="8" t="n"/>
      <c r="C117" s="8" t="n"/>
      <c r="D117" s="8" t="n"/>
      <c r="E117" s="8" t="n"/>
      <c r="F117" s="6">
        <f>IF(C117="","",XLOOKUP(C117,Constants!$H$30:$H$200,Constants!$I$30:$I$200,"",0))</f>
        <v/>
      </c>
      <c r="G117" s="6">
        <f>IF(C117="","",XLOOKUP(C117,Constants!$H$30:$H$200,Constants!$J$30:$J$200,"",0))</f>
        <v/>
      </c>
    </row>
    <row r="118">
      <c r="A118" s="8" t="n"/>
      <c r="B118" s="8" t="n"/>
      <c r="C118" s="8" t="n"/>
      <c r="D118" s="8" t="n"/>
      <c r="E118" s="8" t="n"/>
      <c r="F118" s="6">
        <f>IF(C118="","",XLOOKUP(C118,Constants!$H$30:$H$200,Constants!$I$30:$I$200,"",0))</f>
        <v/>
      </c>
      <c r="G118" s="6">
        <f>IF(C118="","",XLOOKUP(C118,Constants!$H$30:$H$200,Constants!$J$30:$J$200,"",0))</f>
        <v/>
      </c>
    </row>
    <row r="119">
      <c r="A119" s="8" t="n"/>
      <c r="B119" s="8" t="n"/>
      <c r="C119" s="8" t="n"/>
      <c r="D119" s="8" t="n"/>
      <c r="E119" s="8" t="n"/>
      <c r="F119" s="6">
        <f>IF(C119="","",XLOOKUP(C119,Constants!$H$30:$H$200,Constants!$I$30:$I$200,"",0))</f>
        <v/>
      </c>
      <c r="G119" s="6">
        <f>IF(C119="","",XLOOKUP(C119,Constants!$H$30:$H$200,Constants!$J$30:$J$200,"",0))</f>
        <v/>
      </c>
    </row>
    <row r="120">
      <c r="A120" s="8" t="n"/>
      <c r="B120" s="8" t="n"/>
      <c r="C120" s="8" t="n"/>
      <c r="D120" s="8" t="n"/>
      <c r="E120" s="8" t="n"/>
      <c r="F120" s="6">
        <f>IF(C120="","",XLOOKUP(C120,Constants!$H$30:$H$200,Constants!$I$30:$I$200,"",0))</f>
        <v/>
      </c>
      <c r="G120" s="6">
        <f>IF(C120="","",XLOOKUP(C120,Constants!$H$30:$H$200,Constants!$J$30:$J$200,"",0))</f>
        <v/>
      </c>
    </row>
    <row r="121">
      <c r="A121" s="8" t="n"/>
      <c r="B121" s="8" t="n"/>
      <c r="C121" s="8" t="n"/>
      <c r="D121" s="8" t="n"/>
      <c r="E121" s="8" t="n"/>
      <c r="F121" s="6">
        <f>IF(C121="","",XLOOKUP(C121,Constants!$H$30:$H$200,Constants!$I$30:$I$200,"",0))</f>
        <v/>
      </c>
      <c r="G121" s="6">
        <f>IF(C121="","",XLOOKUP(C121,Constants!$H$30:$H$200,Constants!$J$30:$J$200,"",0))</f>
        <v/>
      </c>
    </row>
    <row r="122">
      <c r="A122" s="8" t="n"/>
      <c r="B122" s="8" t="n"/>
      <c r="C122" s="8" t="n"/>
      <c r="D122" s="8" t="n"/>
      <c r="E122" s="8" t="n"/>
      <c r="F122" s="6">
        <f>IF(C122="","",XLOOKUP(C122,Constants!$H$30:$H$200,Constants!$I$30:$I$200,"",0))</f>
        <v/>
      </c>
      <c r="G122" s="6">
        <f>IF(C122="","",XLOOKUP(C122,Constants!$H$30:$H$200,Constants!$J$30:$J$200,"",0))</f>
        <v/>
      </c>
    </row>
    <row r="123">
      <c r="A123" s="8" t="n"/>
      <c r="B123" s="8" t="n"/>
      <c r="C123" s="8" t="n"/>
      <c r="D123" s="8" t="n"/>
      <c r="E123" s="8" t="n"/>
      <c r="F123" s="6">
        <f>IF(C123="","",XLOOKUP(C123,Constants!$H$30:$H$200,Constants!$I$30:$I$200,"",0))</f>
        <v/>
      </c>
      <c r="G123" s="6">
        <f>IF(C123="","",XLOOKUP(C123,Constants!$H$30:$H$200,Constants!$J$30:$J$200,"",0))</f>
        <v/>
      </c>
    </row>
    <row r="124">
      <c r="A124" s="8" t="n"/>
      <c r="B124" s="8" t="n"/>
      <c r="C124" s="8" t="n"/>
      <c r="D124" s="8" t="n"/>
      <c r="E124" s="8" t="n"/>
      <c r="F124" s="6">
        <f>IF(C124="","",XLOOKUP(C124,Constants!$H$30:$H$200,Constants!$I$30:$I$200,"",0))</f>
        <v/>
      </c>
      <c r="G124" s="6">
        <f>IF(C124="","",XLOOKUP(C124,Constants!$H$30:$H$200,Constants!$J$30:$J$200,"",0))</f>
        <v/>
      </c>
    </row>
    <row r="125">
      <c r="A125" s="8" t="n"/>
      <c r="B125" s="8" t="n"/>
      <c r="C125" s="8" t="n"/>
      <c r="D125" s="8" t="n"/>
      <c r="E125" s="8" t="n"/>
      <c r="F125" s="6">
        <f>IF(C125="","",XLOOKUP(C125,Constants!$H$30:$H$200,Constants!$I$30:$I$200,"",0))</f>
        <v/>
      </c>
      <c r="G125" s="6">
        <f>IF(C125="","",XLOOKUP(C125,Constants!$H$30:$H$200,Constants!$J$30:$J$200,"",0))</f>
        <v/>
      </c>
    </row>
    <row r="126">
      <c r="A126" s="8" t="n"/>
      <c r="B126" s="8" t="n"/>
      <c r="C126" s="8" t="n"/>
      <c r="D126" s="8" t="n"/>
      <c r="E126" s="8" t="n"/>
      <c r="F126" s="6">
        <f>IF(C126="","",XLOOKUP(C126,Constants!$H$30:$H$200,Constants!$I$30:$I$200,"",0))</f>
        <v/>
      </c>
      <c r="G126" s="6">
        <f>IF(C126="","",XLOOKUP(C126,Constants!$H$30:$H$200,Constants!$J$30:$J$200,"",0))</f>
        <v/>
      </c>
    </row>
    <row r="127">
      <c r="A127" s="8" t="n"/>
      <c r="B127" s="8" t="n"/>
      <c r="C127" s="8" t="n"/>
      <c r="D127" s="8" t="n"/>
      <c r="E127" s="8" t="n"/>
      <c r="F127" s="6">
        <f>IF(C127="","",XLOOKUP(C127,Constants!$H$30:$H$200,Constants!$I$30:$I$200,"",0))</f>
        <v/>
      </c>
      <c r="G127" s="6">
        <f>IF(C127="","",XLOOKUP(C127,Constants!$H$30:$H$200,Constants!$J$30:$J$200,"",0))</f>
        <v/>
      </c>
    </row>
    <row r="128">
      <c r="A128" s="8" t="n"/>
      <c r="B128" s="8" t="n"/>
      <c r="C128" s="8" t="n"/>
      <c r="D128" s="8" t="n"/>
      <c r="E128" s="8" t="n"/>
      <c r="F128" s="6">
        <f>IF(C128="","",XLOOKUP(C128,Constants!$H$30:$H$200,Constants!$I$30:$I$200,"",0))</f>
        <v/>
      </c>
      <c r="G128" s="6">
        <f>IF(C128="","",XLOOKUP(C128,Constants!$H$30:$H$200,Constants!$J$30:$J$200,"",0))</f>
        <v/>
      </c>
    </row>
    <row r="129">
      <c r="A129" s="8" t="n"/>
      <c r="B129" s="8" t="n"/>
      <c r="C129" s="8" t="n"/>
      <c r="D129" s="8" t="n"/>
      <c r="E129" s="8" t="n"/>
      <c r="F129" s="6">
        <f>IF(C129="","",XLOOKUP(C129,Constants!$H$30:$H$200,Constants!$I$30:$I$200,"",0))</f>
        <v/>
      </c>
      <c r="G129" s="6">
        <f>IF(C129="","",XLOOKUP(C129,Constants!$H$30:$H$200,Constants!$J$30:$J$200,"",0))</f>
        <v/>
      </c>
    </row>
    <row r="130">
      <c r="A130" s="8" t="n"/>
      <c r="B130" s="8" t="n"/>
      <c r="C130" s="8" t="n"/>
      <c r="D130" s="8" t="n"/>
      <c r="E130" s="8" t="n"/>
      <c r="F130" s="6">
        <f>IF(C130="","",XLOOKUP(C130,Constants!$H$30:$H$200,Constants!$I$30:$I$200,"",0))</f>
        <v/>
      </c>
      <c r="G130" s="6">
        <f>IF(C130="","",XLOOKUP(C130,Constants!$H$30:$H$200,Constants!$J$30:$J$200,"",0))</f>
        <v/>
      </c>
    </row>
    <row r="131">
      <c r="A131" s="8" t="n"/>
      <c r="B131" s="8" t="n"/>
      <c r="C131" s="8" t="n"/>
      <c r="D131" s="8" t="n"/>
      <c r="E131" s="8" t="n"/>
      <c r="F131" s="6">
        <f>IF(C131="","",XLOOKUP(C131,Constants!$H$30:$H$200,Constants!$I$30:$I$200,"",0))</f>
        <v/>
      </c>
      <c r="G131" s="6">
        <f>IF(C131="","",XLOOKUP(C131,Constants!$H$30:$H$200,Constants!$J$30:$J$200,"",0))</f>
        <v/>
      </c>
    </row>
    <row r="132">
      <c r="A132" s="8" t="n"/>
      <c r="B132" s="8" t="n"/>
      <c r="C132" s="8" t="n"/>
      <c r="D132" s="8" t="n"/>
      <c r="E132" s="8" t="n"/>
      <c r="F132" s="6">
        <f>IF(C132="","",XLOOKUP(C132,Constants!$H$30:$H$200,Constants!$I$30:$I$200,"",0))</f>
        <v/>
      </c>
      <c r="G132" s="6">
        <f>IF(C132="","",XLOOKUP(C132,Constants!$H$30:$H$200,Constants!$J$30:$J$200,"",0))</f>
        <v/>
      </c>
    </row>
    <row r="133">
      <c r="A133" s="8" t="n"/>
      <c r="B133" s="8" t="n"/>
      <c r="C133" s="8" t="n"/>
      <c r="D133" s="8" t="n"/>
      <c r="E133" s="8" t="n"/>
      <c r="F133" s="6">
        <f>IF(C133="","",XLOOKUP(C133,Constants!$H$30:$H$200,Constants!$I$30:$I$200,"",0))</f>
        <v/>
      </c>
      <c r="G133" s="6">
        <f>IF(C133="","",XLOOKUP(C133,Constants!$H$30:$H$200,Constants!$J$30:$J$200,"",0))</f>
        <v/>
      </c>
    </row>
    <row r="134">
      <c r="A134" s="8" t="n"/>
      <c r="B134" s="8" t="n"/>
      <c r="C134" s="8" t="n"/>
      <c r="D134" s="8" t="n"/>
      <c r="E134" s="8" t="n"/>
      <c r="F134" s="6">
        <f>IF(C134="","",XLOOKUP(C134,Constants!$H$30:$H$200,Constants!$I$30:$I$200,"",0))</f>
        <v/>
      </c>
      <c r="G134" s="6">
        <f>IF(C134="","",XLOOKUP(C134,Constants!$H$30:$H$200,Constants!$J$30:$J$200,"",0))</f>
        <v/>
      </c>
    </row>
    <row r="135">
      <c r="A135" s="8" t="n"/>
      <c r="B135" s="8" t="n"/>
      <c r="C135" s="8" t="n"/>
      <c r="D135" s="8" t="n"/>
      <c r="E135" s="8" t="n"/>
      <c r="F135" s="6">
        <f>IF(C135="","",XLOOKUP(C135,Constants!$H$30:$H$200,Constants!$I$30:$I$200,"",0))</f>
        <v/>
      </c>
      <c r="G135" s="6">
        <f>IF(C135="","",XLOOKUP(C135,Constants!$H$30:$H$200,Constants!$J$30:$J$200,"",0))</f>
        <v/>
      </c>
    </row>
    <row r="136">
      <c r="A136" s="8" t="n"/>
      <c r="B136" s="8" t="n"/>
      <c r="C136" s="8" t="n"/>
      <c r="D136" s="8" t="n"/>
      <c r="E136" s="8" t="n"/>
      <c r="F136" s="6">
        <f>IF(C136="","",XLOOKUP(C136,Constants!$H$30:$H$200,Constants!$I$30:$I$200,"",0))</f>
        <v/>
      </c>
      <c r="G136" s="6">
        <f>IF(C136="","",XLOOKUP(C136,Constants!$H$30:$H$200,Constants!$J$30:$J$200,"",0))</f>
        <v/>
      </c>
    </row>
    <row r="137">
      <c r="A137" s="8" t="n"/>
      <c r="B137" s="8" t="n"/>
      <c r="C137" s="8" t="n"/>
      <c r="D137" s="8" t="n"/>
      <c r="E137" s="8" t="n"/>
      <c r="F137" s="6">
        <f>IF(C137="","",XLOOKUP(C137,Constants!$H$30:$H$200,Constants!$I$30:$I$200,"",0))</f>
        <v/>
      </c>
      <c r="G137" s="6">
        <f>IF(C137="","",XLOOKUP(C137,Constants!$H$30:$H$200,Constants!$J$30:$J$200,"",0))</f>
        <v/>
      </c>
    </row>
    <row r="138">
      <c r="A138" s="8" t="n"/>
      <c r="B138" s="8" t="n"/>
      <c r="C138" s="8" t="n"/>
      <c r="D138" s="8" t="n"/>
      <c r="E138" s="8" t="n"/>
      <c r="F138" s="6">
        <f>IF(C138="","",XLOOKUP(C138,Constants!$H$30:$H$200,Constants!$I$30:$I$200,"",0))</f>
        <v/>
      </c>
      <c r="G138" s="6">
        <f>IF(C138="","",XLOOKUP(C138,Constants!$H$30:$H$200,Constants!$J$30:$J$200,"",0))</f>
        <v/>
      </c>
    </row>
    <row r="139">
      <c r="A139" s="8" t="n"/>
      <c r="B139" s="8" t="n"/>
      <c r="C139" s="8" t="n"/>
      <c r="D139" s="8" t="n"/>
      <c r="E139" s="8" t="n"/>
      <c r="F139" s="6">
        <f>IF(C139="","",XLOOKUP(C139,Constants!$H$30:$H$200,Constants!$I$30:$I$200,"",0))</f>
        <v/>
      </c>
      <c r="G139" s="6">
        <f>IF(C139="","",XLOOKUP(C139,Constants!$H$30:$H$200,Constants!$J$30:$J$200,"",0))</f>
        <v/>
      </c>
    </row>
    <row r="140">
      <c r="A140" s="8" t="n"/>
      <c r="B140" s="8" t="n"/>
      <c r="C140" s="8" t="n"/>
      <c r="D140" s="8" t="n"/>
      <c r="E140" s="8" t="n"/>
      <c r="F140" s="6">
        <f>IF(C140="","",XLOOKUP(C140,Constants!$H$30:$H$200,Constants!$I$30:$I$200,"",0))</f>
        <v/>
      </c>
      <c r="G140" s="6">
        <f>IF(C140="","",XLOOKUP(C140,Constants!$H$30:$H$200,Constants!$J$30:$J$200,"",0))</f>
        <v/>
      </c>
    </row>
    <row r="141">
      <c r="A141" s="8" t="n"/>
      <c r="B141" s="8" t="n"/>
      <c r="C141" s="8" t="n"/>
      <c r="D141" s="8" t="n"/>
      <c r="E141" s="8" t="n"/>
      <c r="F141" s="6">
        <f>IF(C141="","",XLOOKUP(C141,Constants!$H$30:$H$200,Constants!$I$30:$I$200,"",0))</f>
        <v/>
      </c>
      <c r="G141" s="6">
        <f>IF(C141="","",XLOOKUP(C141,Constants!$H$30:$H$200,Constants!$J$30:$J$200,"",0))</f>
        <v/>
      </c>
    </row>
    <row r="142">
      <c r="A142" s="8" t="n"/>
      <c r="B142" s="8" t="n"/>
      <c r="C142" s="8" t="n"/>
      <c r="D142" s="8" t="n"/>
      <c r="E142" s="8" t="n"/>
      <c r="F142" s="6">
        <f>IF(C142="","",XLOOKUP(C142,Constants!$H$30:$H$200,Constants!$I$30:$I$200,"",0))</f>
        <v/>
      </c>
      <c r="G142" s="6">
        <f>IF(C142="","",XLOOKUP(C142,Constants!$H$30:$H$200,Constants!$J$30:$J$200,"",0))</f>
        <v/>
      </c>
    </row>
    <row r="143">
      <c r="A143" s="8" t="n"/>
      <c r="B143" s="8" t="n"/>
      <c r="C143" s="8" t="n"/>
      <c r="D143" s="8" t="n"/>
      <c r="E143" s="8" t="n"/>
      <c r="F143" s="6">
        <f>IF(C143="","",XLOOKUP(C143,Constants!$H$30:$H$200,Constants!$I$30:$I$200,"",0))</f>
        <v/>
      </c>
      <c r="G143" s="6">
        <f>IF(C143="","",XLOOKUP(C143,Constants!$H$30:$H$200,Constants!$J$30:$J$200,"",0))</f>
        <v/>
      </c>
    </row>
    <row r="144">
      <c r="A144" s="8" t="n"/>
      <c r="B144" s="8" t="n"/>
      <c r="C144" s="8" t="n"/>
      <c r="D144" s="8" t="n"/>
      <c r="E144" s="8" t="n"/>
      <c r="F144" s="6">
        <f>IF(C144="","",XLOOKUP(C144,Constants!$H$30:$H$200,Constants!$I$30:$I$200,"",0))</f>
        <v/>
      </c>
      <c r="G144" s="6">
        <f>IF(C144="","",XLOOKUP(C144,Constants!$H$30:$H$200,Constants!$J$30:$J$200,"",0))</f>
        <v/>
      </c>
    </row>
    <row r="145">
      <c r="A145" s="8" t="n"/>
      <c r="B145" s="8" t="n"/>
      <c r="C145" s="8" t="n"/>
      <c r="D145" s="8" t="n"/>
      <c r="E145" s="8" t="n"/>
      <c r="F145" s="6">
        <f>IF(C145="","",XLOOKUP(C145,Constants!$H$30:$H$200,Constants!$I$30:$I$200,"",0))</f>
        <v/>
      </c>
      <c r="G145" s="6">
        <f>IF(C145="","",XLOOKUP(C145,Constants!$H$30:$H$200,Constants!$J$30:$J$200,"",0))</f>
        <v/>
      </c>
    </row>
    <row r="146">
      <c r="A146" s="8" t="n"/>
      <c r="B146" s="8" t="n"/>
      <c r="C146" s="8" t="n"/>
      <c r="D146" s="8" t="n"/>
      <c r="E146" s="8" t="n"/>
      <c r="F146" s="6">
        <f>IF(C146="","",XLOOKUP(C146,Constants!$H$30:$H$200,Constants!$I$30:$I$200,"",0))</f>
        <v/>
      </c>
      <c r="G146" s="6">
        <f>IF(C146="","",XLOOKUP(C146,Constants!$H$30:$H$200,Constants!$J$30:$J$200,"",0))</f>
        <v/>
      </c>
    </row>
    <row r="147">
      <c r="A147" s="8" t="n"/>
      <c r="B147" s="8" t="n"/>
      <c r="C147" s="8" t="n"/>
      <c r="D147" s="8" t="n"/>
      <c r="E147" s="8" t="n"/>
      <c r="F147" s="6">
        <f>IF(C147="","",XLOOKUP(C147,Constants!$H$30:$H$200,Constants!$I$30:$I$200,"",0))</f>
        <v/>
      </c>
      <c r="G147" s="6">
        <f>IF(C147="","",XLOOKUP(C147,Constants!$H$30:$H$200,Constants!$J$30:$J$200,"",0))</f>
        <v/>
      </c>
    </row>
    <row r="148">
      <c r="A148" s="8" t="n"/>
      <c r="B148" s="8" t="n"/>
      <c r="C148" s="8" t="n"/>
      <c r="D148" s="8" t="n"/>
      <c r="E148" s="8" t="n"/>
      <c r="F148" s="6">
        <f>IF(C148="","",XLOOKUP(C148,Constants!$H$30:$H$200,Constants!$I$30:$I$200,"",0))</f>
        <v/>
      </c>
      <c r="G148" s="6">
        <f>IF(C148="","",XLOOKUP(C148,Constants!$H$30:$H$200,Constants!$J$30:$J$200,"",0))</f>
        <v/>
      </c>
    </row>
    <row r="149">
      <c r="A149" s="8" t="n"/>
      <c r="B149" s="8" t="n"/>
      <c r="C149" s="8" t="n"/>
      <c r="D149" s="8" t="n"/>
      <c r="E149" s="8" t="n"/>
      <c r="F149" s="6">
        <f>IF(C149="","",XLOOKUP(C149,Constants!$H$30:$H$200,Constants!$I$30:$I$200,"",0))</f>
        <v/>
      </c>
      <c r="G149" s="6">
        <f>IF(C149="","",XLOOKUP(C149,Constants!$H$30:$H$200,Constants!$J$30:$J$200,"",0))</f>
        <v/>
      </c>
    </row>
    <row r="150">
      <c r="A150" s="8" t="n"/>
      <c r="B150" s="8" t="n"/>
      <c r="C150" s="8" t="n"/>
      <c r="D150" s="8" t="n"/>
      <c r="E150" s="8" t="n"/>
      <c r="F150" s="6">
        <f>IF(C150="","",XLOOKUP(C150,Constants!$H$30:$H$200,Constants!$I$30:$I$200,"",0))</f>
        <v/>
      </c>
      <c r="G150" s="6">
        <f>IF(C150="","",XLOOKUP(C150,Constants!$H$30:$H$200,Constants!$J$30:$J$200,"",0))</f>
        <v/>
      </c>
    </row>
    <row r="151">
      <c r="A151" s="8" t="n"/>
      <c r="B151" s="8" t="n"/>
      <c r="C151" s="8" t="n"/>
      <c r="D151" s="8" t="n"/>
      <c r="E151" s="8" t="n"/>
      <c r="F151" s="6">
        <f>IF(C151="","",XLOOKUP(C151,Constants!$H$30:$H$200,Constants!$I$30:$I$200,"",0))</f>
        <v/>
      </c>
      <c r="G151" s="6">
        <f>IF(C151="","",XLOOKUP(C151,Constants!$H$30:$H$200,Constants!$J$30:$J$200,"",0))</f>
        <v/>
      </c>
    </row>
    <row r="152">
      <c r="A152" s="8" t="n"/>
      <c r="B152" s="8" t="n"/>
      <c r="C152" s="8" t="n"/>
      <c r="D152" s="8" t="n"/>
      <c r="E152" s="8" t="n"/>
      <c r="F152" s="6">
        <f>IF(C152="","",XLOOKUP(C152,Constants!$H$30:$H$200,Constants!$I$30:$I$200,"",0))</f>
        <v/>
      </c>
      <c r="G152" s="6">
        <f>IF(C152="","",XLOOKUP(C152,Constants!$H$30:$H$200,Constants!$J$30:$J$200,"",0))</f>
        <v/>
      </c>
    </row>
    <row r="153">
      <c r="A153" s="8" t="n"/>
      <c r="B153" s="8" t="n"/>
      <c r="C153" s="8" t="n"/>
      <c r="D153" s="8" t="n"/>
      <c r="E153" s="8" t="n"/>
      <c r="F153" s="6">
        <f>IF(C153="","",XLOOKUP(C153,Constants!$H$30:$H$200,Constants!$I$30:$I$200,"",0))</f>
        <v/>
      </c>
      <c r="G153" s="6">
        <f>IF(C153="","",XLOOKUP(C153,Constants!$H$30:$H$200,Constants!$J$30:$J$200,"",0))</f>
        <v/>
      </c>
    </row>
    <row r="154">
      <c r="A154" s="8" t="n"/>
      <c r="B154" s="8" t="n"/>
      <c r="C154" s="8" t="n"/>
      <c r="D154" s="8" t="n"/>
      <c r="E154" s="8" t="n"/>
      <c r="F154" s="6">
        <f>IF(C154="","",XLOOKUP(C154,Constants!$H$30:$H$200,Constants!$I$30:$I$200,"",0))</f>
        <v/>
      </c>
      <c r="G154" s="6">
        <f>IF(C154="","",XLOOKUP(C154,Constants!$H$30:$H$200,Constants!$J$30:$J$200,"",0))</f>
        <v/>
      </c>
    </row>
    <row r="155">
      <c r="A155" s="8" t="n"/>
      <c r="B155" s="8" t="n"/>
      <c r="C155" s="8" t="n"/>
      <c r="D155" s="8" t="n"/>
      <c r="E155" s="8" t="n"/>
      <c r="F155" s="6">
        <f>IF(C155="","",XLOOKUP(C155,Constants!$H$30:$H$200,Constants!$I$30:$I$200,"",0))</f>
        <v/>
      </c>
      <c r="G155" s="6">
        <f>IF(C155="","",XLOOKUP(C155,Constants!$H$30:$H$200,Constants!$J$30:$J$200,"",0))</f>
        <v/>
      </c>
    </row>
    <row r="156">
      <c r="A156" s="8" t="n"/>
      <c r="B156" s="8" t="n"/>
      <c r="C156" s="8" t="n"/>
      <c r="D156" s="8" t="n"/>
      <c r="E156" s="8" t="n"/>
      <c r="F156" s="6">
        <f>IF(C156="","",XLOOKUP(C156,Constants!$H$30:$H$200,Constants!$I$30:$I$200,"",0))</f>
        <v/>
      </c>
      <c r="G156" s="6">
        <f>IF(C156="","",XLOOKUP(C156,Constants!$H$30:$H$200,Constants!$J$30:$J$200,"",0))</f>
        <v/>
      </c>
    </row>
    <row r="157">
      <c r="A157" s="8" t="n"/>
      <c r="B157" s="8" t="n"/>
      <c r="C157" s="8" t="n"/>
      <c r="D157" s="8" t="n"/>
      <c r="E157" s="8" t="n"/>
      <c r="F157" s="6">
        <f>IF(C157="","",XLOOKUP(C157,Constants!$H$30:$H$200,Constants!$I$30:$I$200,"",0))</f>
        <v/>
      </c>
      <c r="G157" s="6">
        <f>IF(C157="","",XLOOKUP(C157,Constants!$H$30:$H$200,Constants!$J$30:$J$200,"",0))</f>
        <v/>
      </c>
    </row>
    <row r="158">
      <c r="A158" s="8" t="n"/>
      <c r="B158" s="8" t="n"/>
      <c r="C158" s="8" t="n"/>
      <c r="D158" s="8" t="n"/>
      <c r="E158" s="8" t="n"/>
      <c r="F158" s="6">
        <f>IF(C158="","",XLOOKUP(C158,Constants!$H$30:$H$200,Constants!$I$30:$I$200,"",0))</f>
        <v/>
      </c>
      <c r="G158" s="6">
        <f>IF(C158="","",XLOOKUP(C158,Constants!$H$30:$H$200,Constants!$J$30:$J$200,"",0))</f>
        <v/>
      </c>
    </row>
    <row r="159">
      <c r="A159" s="8" t="n"/>
      <c r="B159" s="8" t="n"/>
      <c r="C159" s="8" t="n"/>
      <c r="D159" s="8" t="n"/>
      <c r="E159" s="8" t="n"/>
      <c r="F159" s="6">
        <f>IF(C159="","",XLOOKUP(C159,Constants!$H$30:$H$200,Constants!$I$30:$I$200,"",0))</f>
        <v/>
      </c>
      <c r="G159" s="6">
        <f>IF(C159="","",XLOOKUP(C159,Constants!$H$30:$H$200,Constants!$J$30:$J$200,"",0))</f>
        <v/>
      </c>
    </row>
    <row r="160">
      <c r="A160" s="8" t="n"/>
      <c r="B160" s="8" t="n"/>
      <c r="C160" s="8" t="n"/>
      <c r="D160" s="8" t="n"/>
      <c r="E160" s="8" t="n"/>
      <c r="F160" s="6">
        <f>IF(C160="","",XLOOKUP(C160,Constants!$H$30:$H$200,Constants!$I$30:$I$200,"",0))</f>
        <v/>
      </c>
      <c r="G160" s="6">
        <f>IF(C160="","",XLOOKUP(C160,Constants!$H$30:$H$200,Constants!$J$30:$J$200,"",0))</f>
        <v/>
      </c>
    </row>
    <row r="161">
      <c r="A161" s="8" t="n"/>
      <c r="B161" s="8" t="n"/>
      <c r="C161" s="8" t="n"/>
      <c r="D161" s="8" t="n"/>
      <c r="E161" s="8" t="n"/>
      <c r="F161" s="6">
        <f>IF(C161="","",XLOOKUP(C161,Constants!$H$30:$H$200,Constants!$I$30:$I$200,"",0))</f>
        <v/>
      </c>
      <c r="G161" s="6">
        <f>IF(C161="","",XLOOKUP(C161,Constants!$H$30:$H$200,Constants!$J$30:$J$200,"",0))</f>
        <v/>
      </c>
    </row>
    <row r="162">
      <c r="A162" s="8" t="n"/>
      <c r="B162" s="8" t="n"/>
      <c r="C162" s="8" t="n"/>
      <c r="D162" s="8" t="n"/>
      <c r="E162" s="8" t="n"/>
      <c r="F162" s="6">
        <f>IF(C162="","",XLOOKUP(C162,Constants!$H$30:$H$200,Constants!$I$30:$I$200,"",0))</f>
        <v/>
      </c>
      <c r="G162" s="6">
        <f>IF(C162="","",XLOOKUP(C162,Constants!$H$30:$H$200,Constants!$J$30:$J$200,"",0))</f>
        <v/>
      </c>
    </row>
    <row r="163">
      <c r="A163" s="8" t="n"/>
      <c r="B163" s="8" t="n"/>
      <c r="C163" s="8" t="n"/>
      <c r="D163" s="8" t="n"/>
      <c r="E163" s="8" t="n"/>
      <c r="F163" s="6">
        <f>IF(C163="","",XLOOKUP(C163,Constants!$H$30:$H$200,Constants!$I$30:$I$200,"",0))</f>
        <v/>
      </c>
      <c r="G163" s="6">
        <f>IF(C163="","",XLOOKUP(C163,Constants!$H$30:$H$200,Constants!$J$30:$J$200,"",0))</f>
        <v/>
      </c>
    </row>
    <row r="164">
      <c r="A164" s="8" t="n"/>
      <c r="B164" s="8" t="n"/>
      <c r="C164" s="8" t="n"/>
      <c r="D164" s="8" t="n"/>
      <c r="E164" s="8" t="n"/>
      <c r="F164" s="6">
        <f>IF(C164="","",XLOOKUP(C164,Constants!$H$30:$H$200,Constants!$I$30:$I$200,"",0))</f>
        <v/>
      </c>
      <c r="G164" s="6">
        <f>IF(C164="","",XLOOKUP(C164,Constants!$H$30:$H$200,Constants!$J$30:$J$200,"",0))</f>
        <v/>
      </c>
    </row>
    <row r="165">
      <c r="A165" s="8" t="n"/>
      <c r="B165" s="8" t="n"/>
      <c r="C165" s="8" t="n"/>
      <c r="D165" s="8" t="n"/>
      <c r="E165" s="8" t="n"/>
      <c r="F165" s="6">
        <f>IF(C165="","",XLOOKUP(C165,Constants!$H$30:$H$200,Constants!$I$30:$I$200,"",0))</f>
        <v/>
      </c>
      <c r="G165" s="6">
        <f>IF(C165="","",XLOOKUP(C165,Constants!$H$30:$H$200,Constants!$J$30:$J$200,"",0))</f>
        <v/>
      </c>
    </row>
    <row r="166">
      <c r="A166" s="8" t="n"/>
      <c r="B166" s="8" t="n"/>
      <c r="C166" s="8" t="n"/>
      <c r="D166" s="8" t="n"/>
      <c r="E166" s="8" t="n"/>
      <c r="F166" s="6">
        <f>IF(C166="","",XLOOKUP(C166,Constants!$H$30:$H$200,Constants!$I$30:$I$200,"",0))</f>
        <v/>
      </c>
      <c r="G166" s="6">
        <f>IF(C166="","",XLOOKUP(C166,Constants!$H$30:$H$200,Constants!$J$30:$J$200,"",0))</f>
        <v/>
      </c>
    </row>
    <row r="167">
      <c r="A167" s="8" t="n"/>
      <c r="B167" s="8" t="n"/>
      <c r="C167" s="8" t="n"/>
      <c r="D167" s="8" t="n"/>
      <c r="E167" s="8" t="n"/>
      <c r="F167" s="6">
        <f>IF(C167="","",XLOOKUP(C167,Constants!$H$30:$H$200,Constants!$I$30:$I$200,"",0))</f>
        <v/>
      </c>
      <c r="G167" s="6">
        <f>IF(C167="","",XLOOKUP(C167,Constants!$H$30:$H$200,Constants!$J$30:$J$200,"",0))</f>
        <v/>
      </c>
    </row>
    <row r="168">
      <c r="A168" s="8" t="n"/>
      <c r="B168" s="8" t="n"/>
      <c r="C168" s="8" t="n"/>
      <c r="D168" s="8" t="n"/>
      <c r="E168" s="8" t="n"/>
      <c r="F168" s="6">
        <f>IF(C168="","",XLOOKUP(C168,Constants!$H$30:$H$200,Constants!$I$30:$I$200,"",0))</f>
        <v/>
      </c>
      <c r="G168" s="6">
        <f>IF(C168="","",XLOOKUP(C168,Constants!$H$30:$H$200,Constants!$J$30:$J$200,"",0))</f>
        <v/>
      </c>
    </row>
    <row r="169">
      <c r="A169" s="8" t="n"/>
      <c r="B169" s="8" t="n"/>
      <c r="C169" s="8" t="n"/>
      <c r="D169" s="8" t="n"/>
      <c r="E169" s="8" t="n"/>
      <c r="F169" s="6">
        <f>IF(C169="","",XLOOKUP(C169,Constants!$H$30:$H$200,Constants!$I$30:$I$200,"",0))</f>
        <v/>
      </c>
      <c r="G169" s="6">
        <f>IF(C169="","",XLOOKUP(C169,Constants!$H$30:$H$200,Constants!$J$30:$J$200,"",0))</f>
        <v/>
      </c>
    </row>
    <row r="170">
      <c r="A170" s="8" t="n"/>
      <c r="B170" s="8" t="n"/>
      <c r="C170" s="8" t="n"/>
      <c r="D170" s="8" t="n"/>
      <c r="E170" s="8" t="n"/>
      <c r="F170" s="6">
        <f>IF(C170="","",XLOOKUP(C170,Constants!$H$30:$H$200,Constants!$I$30:$I$200,"",0))</f>
        <v/>
      </c>
      <c r="G170" s="6">
        <f>IF(C170="","",XLOOKUP(C170,Constants!$H$30:$H$200,Constants!$J$30:$J$200,"",0))</f>
        <v/>
      </c>
    </row>
    <row r="171">
      <c r="A171" s="8" t="n"/>
      <c r="B171" s="8" t="n"/>
      <c r="C171" s="8" t="n"/>
      <c r="D171" s="8" t="n"/>
      <c r="E171" s="8" t="n"/>
      <c r="F171" s="6">
        <f>IF(C171="","",XLOOKUP(C171,Constants!$H$30:$H$200,Constants!$I$30:$I$200,"",0))</f>
        <v/>
      </c>
      <c r="G171" s="6">
        <f>IF(C171="","",XLOOKUP(C171,Constants!$H$30:$H$200,Constants!$J$30:$J$200,"",0))</f>
        <v/>
      </c>
    </row>
    <row r="172">
      <c r="A172" s="8" t="n"/>
      <c r="B172" s="8" t="n"/>
      <c r="C172" s="8" t="n"/>
      <c r="D172" s="8" t="n"/>
      <c r="E172" s="8" t="n"/>
      <c r="F172" s="6">
        <f>IF(C172="","",XLOOKUP(C172,Constants!$H$30:$H$200,Constants!$I$30:$I$200,"",0))</f>
        <v/>
      </c>
      <c r="G172" s="6">
        <f>IF(C172="","",XLOOKUP(C172,Constants!$H$30:$H$200,Constants!$J$30:$J$200,"",0))</f>
        <v/>
      </c>
    </row>
    <row r="173">
      <c r="A173" s="8" t="n"/>
      <c r="B173" s="8" t="n"/>
      <c r="C173" s="8" t="n"/>
      <c r="D173" s="8" t="n"/>
      <c r="E173" s="8" t="n"/>
      <c r="F173" s="6">
        <f>IF(C173="","",XLOOKUP(C173,Constants!$H$30:$H$200,Constants!$I$30:$I$200,"",0))</f>
        <v/>
      </c>
      <c r="G173" s="6">
        <f>IF(C173="","",XLOOKUP(C173,Constants!$H$30:$H$200,Constants!$J$30:$J$200,"",0))</f>
        <v/>
      </c>
    </row>
    <row r="174">
      <c r="A174" s="8" t="n"/>
      <c r="B174" s="8" t="n"/>
      <c r="C174" s="8" t="n"/>
      <c r="D174" s="8" t="n"/>
      <c r="E174" s="8" t="n"/>
      <c r="F174" s="6">
        <f>IF(C174="","",XLOOKUP(C174,Constants!$H$30:$H$200,Constants!$I$30:$I$200,"",0))</f>
        <v/>
      </c>
      <c r="G174" s="6">
        <f>IF(C174="","",XLOOKUP(C174,Constants!$H$30:$H$200,Constants!$J$30:$J$200,"",0))</f>
        <v/>
      </c>
    </row>
    <row r="175">
      <c r="A175" s="8" t="n"/>
      <c r="B175" s="8" t="n"/>
      <c r="C175" s="8" t="n"/>
      <c r="D175" s="8" t="n"/>
      <c r="E175" s="8" t="n"/>
      <c r="F175" s="6">
        <f>IF(C175="","",XLOOKUP(C175,Constants!$H$30:$H$200,Constants!$I$30:$I$200,"",0))</f>
        <v/>
      </c>
      <c r="G175" s="6">
        <f>IF(C175="","",XLOOKUP(C175,Constants!$H$30:$H$200,Constants!$J$30:$J$200,"",0))</f>
        <v/>
      </c>
    </row>
    <row r="176">
      <c r="A176" s="8" t="n"/>
      <c r="B176" s="8" t="n"/>
      <c r="C176" s="8" t="n"/>
      <c r="D176" s="8" t="n"/>
      <c r="E176" s="8" t="n"/>
      <c r="F176" s="6">
        <f>IF(C176="","",XLOOKUP(C176,Constants!$H$30:$H$200,Constants!$I$30:$I$200,"",0))</f>
        <v/>
      </c>
      <c r="G176" s="6">
        <f>IF(C176="","",XLOOKUP(C176,Constants!$H$30:$H$200,Constants!$J$30:$J$200,"",0))</f>
        <v/>
      </c>
    </row>
    <row r="177">
      <c r="A177" s="8" t="n"/>
      <c r="B177" s="8" t="n"/>
      <c r="C177" s="8" t="n"/>
      <c r="D177" s="8" t="n"/>
      <c r="E177" s="8" t="n"/>
      <c r="F177" s="6">
        <f>IF(C177="","",XLOOKUP(C177,Constants!$H$30:$H$200,Constants!$I$30:$I$200,"",0))</f>
        <v/>
      </c>
      <c r="G177" s="6">
        <f>IF(C177="","",XLOOKUP(C177,Constants!$H$30:$H$200,Constants!$J$30:$J$200,"",0))</f>
        <v/>
      </c>
    </row>
    <row r="178">
      <c r="A178" s="8" t="n"/>
      <c r="B178" s="8" t="n"/>
      <c r="C178" s="8" t="n"/>
      <c r="D178" s="8" t="n"/>
      <c r="E178" s="8" t="n"/>
      <c r="F178" s="6">
        <f>IF(C178="","",XLOOKUP(C178,Constants!$H$30:$H$200,Constants!$I$30:$I$200,"",0))</f>
        <v/>
      </c>
      <c r="G178" s="6">
        <f>IF(C178="","",XLOOKUP(C178,Constants!$H$30:$H$200,Constants!$J$30:$J$200,"",0))</f>
        <v/>
      </c>
    </row>
    <row r="179">
      <c r="A179" s="8" t="n"/>
      <c r="B179" s="8" t="n"/>
      <c r="C179" s="8" t="n"/>
      <c r="D179" s="8" t="n"/>
      <c r="E179" s="8" t="n"/>
      <c r="F179" s="6">
        <f>IF(C179="","",XLOOKUP(C179,Constants!$H$30:$H$200,Constants!$I$30:$I$200,"",0))</f>
        <v/>
      </c>
      <c r="G179" s="6">
        <f>IF(C179="","",XLOOKUP(C179,Constants!$H$30:$H$200,Constants!$J$30:$J$200,"",0))</f>
        <v/>
      </c>
    </row>
    <row r="180">
      <c r="A180" s="8" t="n"/>
      <c r="B180" s="8" t="n"/>
      <c r="C180" s="8" t="n"/>
      <c r="D180" s="8" t="n"/>
      <c r="E180" s="8" t="n"/>
      <c r="F180" s="6">
        <f>IF(C180="","",XLOOKUP(C180,Constants!$H$30:$H$200,Constants!$I$30:$I$200,"",0))</f>
        <v/>
      </c>
      <c r="G180" s="6">
        <f>IF(C180="","",XLOOKUP(C180,Constants!$H$30:$H$200,Constants!$J$30:$J$200,"",0))</f>
        <v/>
      </c>
    </row>
    <row r="181">
      <c r="A181" s="8" t="n"/>
      <c r="B181" s="8" t="n"/>
      <c r="C181" s="8" t="n"/>
      <c r="D181" s="8" t="n"/>
      <c r="E181" s="8" t="n"/>
      <c r="F181" s="6">
        <f>IF(C181="","",XLOOKUP(C181,Constants!$H$30:$H$200,Constants!$I$30:$I$200,"",0))</f>
        <v/>
      </c>
      <c r="G181" s="6">
        <f>IF(C181="","",XLOOKUP(C181,Constants!$H$30:$H$200,Constants!$J$30:$J$200,"",0))</f>
        <v/>
      </c>
    </row>
    <row r="182">
      <c r="A182" s="8" t="n"/>
      <c r="B182" s="8" t="n"/>
      <c r="C182" s="8" t="n"/>
      <c r="D182" s="8" t="n"/>
      <c r="E182" s="8" t="n"/>
      <c r="F182" s="6">
        <f>IF(C182="","",XLOOKUP(C182,Constants!$H$30:$H$200,Constants!$I$30:$I$200,"",0))</f>
        <v/>
      </c>
      <c r="G182" s="6">
        <f>IF(C182="","",XLOOKUP(C182,Constants!$H$30:$H$200,Constants!$J$30:$J$200,"",0))</f>
        <v/>
      </c>
    </row>
    <row r="183">
      <c r="A183" s="8" t="n"/>
      <c r="B183" s="8" t="n"/>
      <c r="C183" s="8" t="n"/>
      <c r="D183" s="8" t="n"/>
      <c r="E183" s="8" t="n"/>
      <c r="F183" s="6">
        <f>IF(C183="","",XLOOKUP(C183,Constants!$H$30:$H$200,Constants!$I$30:$I$200,"",0))</f>
        <v/>
      </c>
      <c r="G183" s="6">
        <f>IF(C183="","",XLOOKUP(C183,Constants!$H$30:$H$200,Constants!$J$30:$J$200,"",0))</f>
        <v/>
      </c>
    </row>
    <row r="184">
      <c r="A184" s="8" t="n"/>
      <c r="B184" s="8" t="n"/>
      <c r="C184" s="8" t="n"/>
      <c r="D184" s="8" t="n"/>
      <c r="E184" s="8" t="n"/>
      <c r="F184" s="6">
        <f>IF(C184="","",XLOOKUP(C184,Constants!$H$30:$H$200,Constants!$I$30:$I$200,"",0))</f>
        <v/>
      </c>
      <c r="G184" s="6">
        <f>IF(C184="","",XLOOKUP(C184,Constants!$H$30:$H$200,Constants!$J$30:$J$200,"",0))</f>
        <v/>
      </c>
    </row>
    <row r="185">
      <c r="A185" s="8" t="n"/>
      <c r="B185" s="8" t="n"/>
      <c r="C185" s="8" t="n"/>
      <c r="D185" s="8" t="n"/>
      <c r="E185" s="8" t="n"/>
      <c r="F185" s="6">
        <f>IF(C185="","",XLOOKUP(C185,Constants!$H$30:$H$200,Constants!$I$30:$I$200,"",0))</f>
        <v/>
      </c>
      <c r="G185" s="6">
        <f>IF(C185="","",XLOOKUP(C185,Constants!$H$30:$H$200,Constants!$J$30:$J$200,"",0))</f>
        <v/>
      </c>
    </row>
    <row r="186">
      <c r="A186" s="8" t="n"/>
      <c r="B186" s="8" t="n"/>
      <c r="C186" s="8" t="n"/>
      <c r="D186" s="8" t="n"/>
      <c r="E186" s="8" t="n"/>
      <c r="F186" s="6">
        <f>IF(C186="","",XLOOKUP(C186,Constants!$H$30:$H$200,Constants!$I$30:$I$200,"",0))</f>
        <v/>
      </c>
      <c r="G186" s="6">
        <f>IF(C186="","",XLOOKUP(C186,Constants!$H$30:$H$200,Constants!$J$30:$J$200,"",0))</f>
        <v/>
      </c>
    </row>
    <row r="187">
      <c r="A187" s="8" t="n"/>
      <c r="B187" s="8" t="n"/>
      <c r="C187" s="8" t="n"/>
      <c r="D187" s="8" t="n"/>
      <c r="E187" s="8" t="n"/>
      <c r="F187" s="6">
        <f>IF(C187="","",XLOOKUP(C187,Constants!$H$30:$H$200,Constants!$I$30:$I$200,"",0))</f>
        <v/>
      </c>
      <c r="G187" s="6">
        <f>IF(C187="","",XLOOKUP(C187,Constants!$H$30:$H$200,Constants!$J$30:$J$200,"",0))</f>
        <v/>
      </c>
    </row>
    <row r="188">
      <c r="A188" s="8" t="n"/>
      <c r="B188" s="8" t="n"/>
      <c r="C188" s="8" t="n"/>
      <c r="D188" s="8" t="n"/>
      <c r="E188" s="8" t="n"/>
      <c r="F188" s="6">
        <f>IF(C188="","",XLOOKUP(C188,Constants!$H$30:$H$200,Constants!$I$30:$I$200,"",0))</f>
        <v/>
      </c>
      <c r="G188" s="6">
        <f>IF(C188="","",XLOOKUP(C188,Constants!$H$30:$H$200,Constants!$J$30:$J$200,"",0))</f>
        <v/>
      </c>
    </row>
    <row r="189">
      <c r="A189" s="8" t="n"/>
      <c r="B189" s="8" t="n"/>
      <c r="C189" s="8" t="n"/>
      <c r="D189" s="8" t="n"/>
      <c r="E189" s="8" t="n"/>
      <c r="F189" s="6">
        <f>IF(C189="","",XLOOKUP(C189,Constants!$H$30:$H$200,Constants!$I$30:$I$200,"",0))</f>
        <v/>
      </c>
      <c r="G189" s="6">
        <f>IF(C189="","",XLOOKUP(C189,Constants!$H$30:$H$200,Constants!$J$30:$J$200,"",0))</f>
        <v/>
      </c>
    </row>
    <row r="190">
      <c r="A190" s="8" t="n"/>
      <c r="B190" s="8" t="n"/>
      <c r="C190" s="8" t="n"/>
      <c r="D190" s="8" t="n"/>
      <c r="E190" s="8" t="n"/>
      <c r="F190" s="6">
        <f>IF(C190="","",XLOOKUP(C190,Constants!$H$30:$H$200,Constants!$I$30:$I$200,"",0))</f>
        <v/>
      </c>
      <c r="G190" s="6">
        <f>IF(C190="","",XLOOKUP(C190,Constants!$H$30:$H$200,Constants!$J$30:$J$200,"",0))</f>
        <v/>
      </c>
    </row>
    <row r="191">
      <c r="A191" s="8" t="n"/>
      <c r="B191" s="8" t="n"/>
      <c r="C191" s="8" t="n"/>
      <c r="D191" s="8" t="n"/>
      <c r="E191" s="8" t="n"/>
      <c r="F191" s="6">
        <f>IF(C191="","",XLOOKUP(C191,Constants!$H$30:$H$200,Constants!$I$30:$I$200,"",0))</f>
        <v/>
      </c>
      <c r="G191" s="6">
        <f>IF(C191="","",XLOOKUP(C191,Constants!$H$30:$H$200,Constants!$J$30:$J$200,"",0))</f>
        <v/>
      </c>
    </row>
    <row r="192">
      <c r="A192" s="8" t="n"/>
      <c r="B192" s="8" t="n"/>
      <c r="C192" s="8" t="n"/>
      <c r="D192" s="8" t="n"/>
      <c r="E192" s="8" t="n"/>
      <c r="F192" s="6">
        <f>IF(C192="","",XLOOKUP(C192,Constants!$H$30:$H$200,Constants!$I$30:$I$200,"",0))</f>
        <v/>
      </c>
      <c r="G192" s="6">
        <f>IF(C192="","",XLOOKUP(C192,Constants!$H$30:$H$200,Constants!$J$30:$J$200,"",0))</f>
        <v/>
      </c>
    </row>
    <row r="193">
      <c r="A193" s="8" t="n"/>
      <c r="B193" s="8" t="n"/>
      <c r="C193" s="8" t="n"/>
      <c r="D193" s="8" t="n"/>
      <c r="E193" s="8" t="n"/>
      <c r="F193" s="6">
        <f>IF(C193="","",XLOOKUP(C193,Constants!$H$30:$H$200,Constants!$I$30:$I$200,"",0))</f>
        <v/>
      </c>
      <c r="G193" s="6">
        <f>IF(C193="","",XLOOKUP(C193,Constants!$H$30:$H$200,Constants!$J$30:$J$200,"",0))</f>
        <v/>
      </c>
    </row>
    <row r="194">
      <c r="A194" s="8" t="n"/>
      <c r="B194" s="8" t="n"/>
      <c r="C194" s="8" t="n"/>
      <c r="D194" s="8" t="n"/>
      <c r="E194" s="8" t="n"/>
      <c r="F194" s="6">
        <f>IF(C194="","",XLOOKUP(C194,Constants!$H$30:$H$200,Constants!$I$30:$I$200,"",0))</f>
        <v/>
      </c>
      <c r="G194" s="6">
        <f>IF(C194="","",XLOOKUP(C194,Constants!$H$30:$H$200,Constants!$J$30:$J$200,"",0))</f>
        <v/>
      </c>
    </row>
    <row r="195">
      <c r="A195" s="8" t="n"/>
      <c r="B195" s="8" t="n"/>
      <c r="C195" s="8" t="n"/>
      <c r="D195" s="8" t="n"/>
      <c r="E195" s="8" t="n"/>
      <c r="F195" s="6">
        <f>IF(C195="","",XLOOKUP(C195,Constants!$H$30:$H$200,Constants!$I$30:$I$200,"",0))</f>
        <v/>
      </c>
      <c r="G195" s="6">
        <f>IF(C195="","",XLOOKUP(C195,Constants!$H$30:$H$200,Constants!$J$30:$J$200,"",0))</f>
        <v/>
      </c>
    </row>
    <row r="196">
      <c r="A196" s="8" t="n"/>
      <c r="B196" s="8" t="n"/>
      <c r="C196" s="8" t="n"/>
      <c r="D196" s="8" t="n"/>
      <c r="E196" s="8" t="n"/>
      <c r="F196" s="6">
        <f>IF(C196="","",XLOOKUP(C196,Constants!$H$30:$H$200,Constants!$I$30:$I$200,"",0))</f>
        <v/>
      </c>
      <c r="G196" s="6">
        <f>IF(C196="","",XLOOKUP(C196,Constants!$H$30:$H$200,Constants!$J$30:$J$200,"",0))</f>
        <v/>
      </c>
    </row>
    <row r="197">
      <c r="A197" s="8" t="n"/>
      <c r="B197" s="8" t="n"/>
      <c r="C197" s="8" t="n"/>
      <c r="D197" s="8" t="n"/>
      <c r="E197" s="8" t="n"/>
      <c r="F197" s="6">
        <f>IF(C197="","",XLOOKUP(C197,Constants!$H$30:$H$200,Constants!$I$30:$I$200,"",0))</f>
        <v/>
      </c>
      <c r="G197" s="6">
        <f>IF(C197="","",XLOOKUP(C197,Constants!$H$30:$H$200,Constants!$J$30:$J$200,"",0))</f>
        <v/>
      </c>
    </row>
    <row r="198">
      <c r="A198" s="8" t="n"/>
      <c r="B198" s="8" t="n"/>
      <c r="C198" s="8" t="n"/>
      <c r="D198" s="8" t="n"/>
      <c r="E198" s="8" t="n"/>
      <c r="F198" s="6">
        <f>IF(C198="","",XLOOKUP(C198,Constants!$H$30:$H$200,Constants!$I$30:$I$200,"",0))</f>
        <v/>
      </c>
      <c r="G198" s="6">
        <f>IF(C198="","",XLOOKUP(C198,Constants!$H$30:$H$200,Constants!$J$30:$J$200,"",0))</f>
        <v/>
      </c>
    </row>
    <row r="199">
      <c r="A199" s="8" t="n"/>
      <c r="B199" s="8" t="n"/>
      <c r="C199" s="8" t="n"/>
      <c r="D199" s="8" t="n"/>
      <c r="E199" s="8" t="n"/>
      <c r="F199" s="6">
        <f>IF(C199="","",XLOOKUP(C199,Constants!$H$30:$H$200,Constants!$I$30:$I$200,"",0))</f>
        <v/>
      </c>
      <c r="G199" s="6">
        <f>IF(C199="","",XLOOKUP(C199,Constants!$H$30:$H$200,Constants!$J$30:$J$200,"",0))</f>
        <v/>
      </c>
    </row>
    <row r="200">
      <c r="A200" s="8" t="n"/>
      <c r="B200" s="8" t="n"/>
      <c r="C200" s="8" t="n"/>
      <c r="D200" s="8" t="n"/>
      <c r="E200" s="8" t="n"/>
      <c r="F200" s="6">
        <f>IF(C200="","",XLOOKUP(C200,Constants!$H$30:$H$200,Constants!$I$30:$I$200,"",0))</f>
        <v/>
      </c>
      <c r="G200" s="6">
        <f>IF(C200="","",XLOOKUP(C200,Constants!$H$30:$H$200,Constants!$J$30:$J$200,"",0))</f>
        <v/>
      </c>
    </row>
    <row r="201">
      <c r="A201" s="8" t="n"/>
      <c r="B201" s="8" t="n"/>
      <c r="C201" s="8" t="n"/>
      <c r="D201" s="8" t="n"/>
      <c r="E201" s="8" t="n"/>
      <c r="F201" s="6">
        <f>IF(C201="","",XLOOKUP(C201,Constants!$H$30:$H$200,Constants!$I$30:$I$200,"",0))</f>
        <v/>
      </c>
      <c r="G201" s="6">
        <f>IF(C201="","",XLOOKUP(C201,Constants!$H$30:$H$200,Constants!$J$30:$J$200,"",0))</f>
        <v/>
      </c>
    </row>
    <row r="202">
      <c r="A202" s="8" t="n"/>
      <c r="B202" s="8" t="n"/>
      <c r="C202" s="8" t="n"/>
      <c r="D202" s="8" t="n"/>
      <c r="E202" s="8" t="n"/>
      <c r="F202" s="6">
        <f>IF(C202="","",XLOOKUP(C202,Constants!$H$30:$H$200,Constants!$I$30:$I$200,"",0))</f>
        <v/>
      </c>
      <c r="G202" s="6">
        <f>IF(C202="","",XLOOKUP(C202,Constants!$H$30:$H$200,Constants!$J$30:$J$200,"",0))</f>
        <v/>
      </c>
    </row>
    <row r="203">
      <c r="A203" s="8" t="n"/>
      <c r="B203" s="8" t="n"/>
      <c r="C203" s="8" t="n"/>
      <c r="D203" s="8" t="n"/>
      <c r="E203" s="8" t="n"/>
      <c r="F203" s="6">
        <f>IF(C203="","",XLOOKUP(C203,Constants!$H$30:$H$200,Constants!$I$30:$I$200,"",0))</f>
        <v/>
      </c>
      <c r="G203" s="6">
        <f>IF(C203="","",XLOOKUP(C203,Constants!$H$30:$H$200,Constants!$J$30:$J$200,"",0))</f>
        <v/>
      </c>
    </row>
    <row r="204">
      <c r="A204" s="8" t="n"/>
      <c r="B204" s="8" t="n"/>
      <c r="C204" s="8" t="n"/>
      <c r="D204" s="8" t="n"/>
      <c r="E204" s="8" t="n"/>
      <c r="F204" s="6">
        <f>IF(C204="","",XLOOKUP(C204,Constants!$H$30:$H$200,Constants!$I$30:$I$200,"",0))</f>
        <v/>
      </c>
      <c r="G204" s="6">
        <f>IF(C204="","",XLOOKUP(C204,Constants!$H$30:$H$200,Constants!$J$30:$J$200,"",0))</f>
        <v/>
      </c>
    </row>
    <row r="205">
      <c r="A205" s="8" t="n"/>
      <c r="B205" s="8" t="n"/>
      <c r="C205" s="8" t="n"/>
      <c r="D205" s="8" t="n"/>
      <c r="E205" s="8" t="n"/>
      <c r="F205" s="6">
        <f>IF(C205="","",XLOOKUP(C205,Constants!$H$30:$H$200,Constants!$I$30:$I$200,"",0))</f>
        <v/>
      </c>
      <c r="G205" s="6">
        <f>IF(C205="","",XLOOKUP(C205,Constants!$H$30:$H$200,Constants!$J$30:$J$200,"",0))</f>
        <v/>
      </c>
    </row>
    <row r="206">
      <c r="A206" s="8" t="n"/>
      <c r="B206" s="8" t="n"/>
      <c r="C206" s="8" t="n"/>
      <c r="D206" s="8" t="n"/>
      <c r="E206" s="8" t="n"/>
      <c r="F206" s="6">
        <f>IF(C206="","",XLOOKUP(C206,Constants!$H$30:$H$200,Constants!$I$30:$I$200,"",0))</f>
        <v/>
      </c>
      <c r="G206" s="6">
        <f>IF(C206="","",XLOOKUP(C206,Constants!$H$30:$H$200,Constants!$J$30:$J$200,"",0))</f>
        <v/>
      </c>
    </row>
    <row r="207">
      <c r="A207" s="8" t="n"/>
      <c r="B207" s="8" t="n"/>
      <c r="C207" s="8" t="n"/>
      <c r="D207" s="8" t="n"/>
      <c r="E207" s="8" t="n"/>
      <c r="F207" s="6">
        <f>IF(C207="","",XLOOKUP(C207,Constants!$H$30:$H$200,Constants!$I$30:$I$200,"",0))</f>
        <v/>
      </c>
      <c r="G207" s="6">
        <f>IF(C207="","",XLOOKUP(C207,Constants!$H$30:$H$200,Constants!$J$30:$J$200,"",0))</f>
        <v/>
      </c>
    </row>
    <row r="208">
      <c r="A208" s="8" t="n"/>
      <c r="B208" s="8" t="n"/>
      <c r="C208" s="8" t="n"/>
      <c r="D208" s="8" t="n"/>
      <c r="E208" s="8" t="n"/>
      <c r="F208" s="6">
        <f>IF(C208="","",XLOOKUP(C208,Constants!$H$30:$H$200,Constants!$I$30:$I$200,"",0))</f>
        <v/>
      </c>
      <c r="G208" s="6">
        <f>IF(C208="","",XLOOKUP(C208,Constants!$H$30:$H$200,Constants!$J$30:$J$200,"",0))</f>
        <v/>
      </c>
    </row>
    <row r="209">
      <c r="A209" s="8" t="n"/>
      <c r="B209" s="8" t="n"/>
      <c r="C209" s="8" t="n"/>
      <c r="D209" s="8" t="n"/>
      <c r="E209" s="8" t="n"/>
      <c r="F209" s="6">
        <f>IF(C209="","",XLOOKUP(C209,Constants!$H$30:$H$200,Constants!$I$30:$I$200,"",0))</f>
        <v/>
      </c>
      <c r="G209" s="6">
        <f>IF(C209="","",XLOOKUP(C209,Constants!$H$30:$H$200,Constants!$J$30:$J$200,"",0))</f>
        <v/>
      </c>
    </row>
    <row r="210">
      <c r="A210" s="8" t="n"/>
      <c r="B210" s="8" t="n"/>
      <c r="C210" s="8" t="n"/>
      <c r="D210" s="8" t="n"/>
      <c r="E210" s="8" t="n"/>
      <c r="F210" s="6">
        <f>IF(C210="","",XLOOKUP(C210,Constants!$H$30:$H$200,Constants!$I$30:$I$200,"",0))</f>
        <v/>
      </c>
      <c r="G210" s="6">
        <f>IF(C210="","",XLOOKUP(C210,Constants!$H$30:$H$200,Constants!$J$30:$J$200,"",0))</f>
        <v/>
      </c>
    </row>
    <row r="211">
      <c r="A211" s="8" t="n"/>
      <c r="B211" s="8" t="n"/>
      <c r="C211" s="8" t="n"/>
      <c r="D211" s="8" t="n"/>
      <c r="E211" s="8" t="n"/>
      <c r="F211" s="6">
        <f>IF(C211="","",XLOOKUP(C211,Constants!$H$30:$H$200,Constants!$I$30:$I$200,"",0))</f>
        <v/>
      </c>
      <c r="G211" s="6">
        <f>IF(C211="","",XLOOKUP(C211,Constants!$H$30:$H$200,Constants!$J$30:$J$200,"",0))</f>
        <v/>
      </c>
    </row>
    <row r="212">
      <c r="A212" s="8" t="n"/>
      <c r="B212" s="8" t="n"/>
      <c r="C212" s="8" t="n"/>
      <c r="D212" s="8" t="n"/>
      <c r="E212" s="8" t="n"/>
      <c r="F212" s="6">
        <f>IF(C212="","",XLOOKUP(C212,Constants!$H$30:$H$200,Constants!$I$30:$I$200,"",0))</f>
        <v/>
      </c>
      <c r="G212" s="6">
        <f>IF(C212="","",XLOOKUP(C212,Constants!$H$30:$H$200,Constants!$J$30:$J$200,"",0))</f>
        <v/>
      </c>
    </row>
    <row r="213">
      <c r="A213" s="8" t="n"/>
      <c r="B213" s="8" t="n"/>
      <c r="C213" s="8" t="n"/>
      <c r="D213" s="8" t="n"/>
      <c r="E213" s="8" t="n"/>
      <c r="F213" s="6">
        <f>IF(C213="","",XLOOKUP(C213,Constants!$H$30:$H$200,Constants!$I$30:$I$200,"",0))</f>
        <v/>
      </c>
      <c r="G213" s="6">
        <f>IF(C213="","",XLOOKUP(C213,Constants!$H$30:$H$200,Constants!$J$30:$J$200,"",0))</f>
        <v/>
      </c>
    </row>
    <row r="214">
      <c r="A214" s="8" t="n"/>
      <c r="B214" s="8" t="n"/>
      <c r="C214" s="8" t="n"/>
      <c r="D214" s="8" t="n"/>
      <c r="E214" s="8" t="n"/>
      <c r="F214" s="6">
        <f>IF(C214="","",XLOOKUP(C214,Constants!$H$30:$H$200,Constants!$I$30:$I$200,"",0))</f>
        <v/>
      </c>
      <c r="G214" s="6">
        <f>IF(C214="","",XLOOKUP(C214,Constants!$H$30:$H$200,Constants!$J$30:$J$200,"",0))</f>
        <v/>
      </c>
    </row>
    <row r="215">
      <c r="A215" s="8" t="n"/>
      <c r="B215" s="8" t="n"/>
      <c r="C215" s="8" t="n"/>
      <c r="D215" s="8" t="n"/>
      <c r="E215" s="8" t="n"/>
      <c r="F215" s="6">
        <f>IF(C215="","",XLOOKUP(C215,Constants!$H$30:$H$200,Constants!$I$30:$I$200,"",0))</f>
        <v/>
      </c>
      <c r="G215" s="6">
        <f>IF(C215="","",XLOOKUP(C215,Constants!$H$30:$H$200,Constants!$J$30:$J$200,"",0))</f>
        <v/>
      </c>
    </row>
    <row r="216">
      <c r="A216" s="8" t="n"/>
      <c r="B216" s="8" t="n"/>
      <c r="C216" s="8" t="n"/>
      <c r="D216" s="8" t="n"/>
      <c r="E216" s="8" t="n"/>
      <c r="F216" s="6">
        <f>IF(C216="","",XLOOKUP(C216,Constants!$H$30:$H$200,Constants!$I$30:$I$200,"",0))</f>
        <v/>
      </c>
      <c r="G216" s="6">
        <f>IF(C216="","",XLOOKUP(C216,Constants!$H$30:$H$200,Constants!$J$30:$J$200,"",0))</f>
        <v/>
      </c>
    </row>
    <row r="217">
      <c r="A217" s="8" t="n"/>
      <c r="B217" s="8" t="n"/>
      <c r="C217" s="8" t="n"/>
      <c r="D217" s="8" t="n"/>
      <c r="E217" s="8" t="n"/>
      <c r="F217" s="6">
        <f>IF(C217="","",XLOOKUP(C217,Constants!$H$30:$H$200,Constants!$I$30:$I$200,"",0))</f>
        <v/>
      </c>
      <c r="G217" s="6">
        <f>IF(C217="","",XLOOKUP(C217,Constants!$H$30:$H$200,Constants!$J$30:$J$200,"",0))</f>
        <v/>
      </c>
    </row>
    <row r="218">
      <c r="A218" s="8" t="n"/>
      <c r="B218" s="8" t="n"/>
      <c r="C218" s="8" t="n"/>
      <c r="D218" s="8" t="n"/>
      <c r="E218" s="8" t="n"/>
      <c r="F218" s="6">
        <f>IF(C218="","",XLOOKUP(C218,Constants!$H$30:$H$200,Constants!$I$30:$I$200,"",0))</f>
        <v/>
      </c>
      <c r="G218" s="6">
        <f>IF(C218="","",XLOOKUP(C218,Constants!$H$30:$H$200,Constants!$J$30:$J$200,"",0))</f>
        <v/>
      </c>
    </row>
    <row r="219">
      <c r="A219" s="8" t="n"/>
      <c r="B219" s="8" t="n"/>
      <c r="C219" s="8" t="n"/>
      <c r="D219" s="8" t="n"/>
      <c r="E219" s="8" t="n"/>
      <c r="F219" s="6">
        <f>IF(C219="","",XLOOKUP(C219,Constants!$H$30:$H$200,Constants!$I$30:$I$200,"",0))</f>
        <v/>
      </c>
      <c r="G219" s="6">
        <f>IF(C219="","",XLOOKUP(C219,Constants!$H$30:$H$200,Constants!$J$30:$J$200,"",0))</f>
        <v/>
      </c>
    </row>
    <row r="220">
      <c r="A220" s="8" t="n"/>
      <c r="B220" s="8" t="n"/>
      <c r="C220" s="8" t="n"/>
      <c r="D220" s="8" t="n"/>
      <c r="E220" s="8" t="n"/>
      <c r="F220" s="6">
        <f>IF(C220="","",XLOOKUP(C220,Constants!$H$30:$H$200,Constants!$I$30:$I$200,"",0))</f>
        <v/>
      </c>
      <c r="G220" s="6">
        <f>IF(C220="","",XLOOKUP(C220,Constants!$H$30:$H$200,Constants!$J$30:$J$200,"",0))</f>
        <v/>
      </c>
    </row>
    <row r="221">
      <c r="A221" s="8" t="n"/>
      <c r="B221" s="8" t="n"/>
      <c r="C221" s="8" t="n"/>
      <c r="D221" s="8" t="n"/>
      <c r="E221" s="8" t="n"/>
      <c r="F221" s="6">
        <f>IF(C221="","",XLOOKUP(C221,Constants!$H$30:$H$200,Constants!$I$30:$I$200,"",0))</f>
        <v/>
      </c>
      <c r="G221" s="6">
        <f>IF(C221="","",XLOOKUP(C221,Constants!$H$30:$H$200,Constants!$J$30:$J$200,"",0))</f>
        <v/>
      </c>
    </row>
    <row r="222">
      <c r="A222" s="8" t="n"/>
      <c r="B222" s="8" t="n"/>
      <c r="C222" s="8" t="n"/>
      <c r="D222" s="8" t="n"/>
      <c r="E222" s="8" t="n"/>
      <c r="F222" s="6">
        <f>IF(C222="","",XLOOKUP(C222,Constants!$H$30:$H$200,Constants!$I$30:$I$200,"",0))</f>
        <v/>
      </c>
      <c r="G222" s="6">
        <f>IF(C222="","",XLOOKUP(C222,Constants!$H$30:$H$200,Constants!$J$30:$J$200,"",0))</f>
        <v/>
      </c>
    </row>
    <row r="223">
      <c r="A223" s="8" t="n"/>
      <c r="B223" s="8" t="n"/>
      <c r="C223" s="8" t="n"/>
      <c r="D223" s="8" t="n"/>
      <c r="E223" s="8" t="n"/>
      <c r="F223" s="6">
        <f>IF(C223="","",XLOOKUP(C223,Constants!$H$30:$H$200,Constants!$I$30:$I$200,"",0))</f>
        <v/>
      </c>
      <c r="G223" s="6">
        <f>IF(C223="","",XLOOKUP(C223,Constants!$H$30:$H$200,Constants!$J$30:$J$200,"",0))</f>
        <v/>
      </c>
    </row>
    <row r="224">
      <c r="A224" s="8" t="n"/>
      <c r="B224" s="8" t="n"/>
      <c r="C224" s="8" t="n"/>
      <c r="D224" s="8" t="n"/>
      <c r="E224" s="8" t="n"/>
      <c r="F224" s="6">
        <f>IF(C224="","",XLOOKUP(C224,Constants!$H$30:$H$200,Constants!$I$30:$I$200,"",0))</f>
        <v/>
      </c>
      <c r="G224" s="6">
        <f>IF(C224="","",XLOOKUP(C224,Constants!$H$30:$H$200,Constants!$J$30:$J$200,"",0))</f>
        <v/>
      </c>
    </row>
    <row r="225">
      <c r="A225" s="8" t="n"/>
      <c r="B225" s="8" t="n"/>
      <c r="C225" s="8" t="n"/>
      <c r="D225" s="8" t="n"/>
      <c r="E225" s="8" t="n"/>
      <c r="F225" s="6">
        <f>IF(C225="","",XLOOKUP(C225,Constants!$H$30:$H$200,Constants!$I$30:$I$200,"",0))</f>
        <v/>
      </c>
      <c r="G225" s="6">
        <f>IF(C225="","",XLOOKUP(C225,Constants!$H$30:$H$200,Constants!$J$30:$J$200,"",0))</f>
        <v/>
      </c>
    </row>
    <row r="226">
      <c r="A226" s="8" t="n"/>
      <c r="B226" s="8" t="n"/>
      <c r="C226" s="8" t="n"/>
      <c r="D226" s="8" t="n"/>
      <c r="E226" s="8" t="n"/>
      <c r="F226" s="6">
        <f>IF(C226="","",XLOOKUP(C226,Constants!$H$30:$H$200,Constants!$I$30:$I$200,"",0))</f>
        <v/>
      </c>
      <c r="G226" s="6">
        <f>IF(C226="","",XLOOKUP(C226,Constants!$H$30:$H$200,Constants!$J$30:$J$200,"",0))</f>
        <v/>
      </c>
    </row>
    <row r="227">
      <c r="A227" s="8" t="n"/>
      <c r="B227" s="8" t="n"/>
      <c r="C227" s="8" t="n"/>
      <c r="D227" s="8" t="n"/>
      <c r="E227" s="8" t="n"/>
      <c r="F227" s="6">
        <f>IF(C227="","",XLOOKUP(C227,Constants!$H$30:$H$200,Constants!$I$30:$I$200,"",0))</f>
        <v/>
      </c>
      <c r="G227" s="6">
        <f>IF(C227="","",XLOOKUP(C227,Constants!$H$30:$H$200,Constants!$J$30:$J$200,"",0))</f>
        <v/>
      </c>
    </row>
    <row r="228">
      <c r="A228" s="8" t="n"/>
      <c r="B228" s="8" t="n"/>
      <c r="C228" s="8" t="n"/>
      <c r="D228" s="8" t="n"/>
      <c r="E228" s="8" t="n"/>
      <c r="F228" s="6">
        <f>IF(C228="","",XLOOKUP(C228,Constants!$H$30:$H$200,Constants!$I$30:$I$200,"",0))</f>
        <v/>
      </c>
      <c r="G228" s="6">
        <f>IF(C228="","",XLOOKUP(C228,Constants!$H$30:$H$200,Constants!$J$30:$J$200,"",0))</f>
        <v/>
      </c>
    </row>
    <row r="229">
      <c r="A229" s="8" t="n"/>
      <c r="B229" s="8" t="n"/>
      <c r="C229" s="8" t="n"/>
      <c r="D229" s="8" t="n"/>
      <c r="E229" s="8" t="n"/>
      <c r="F229" s="6">
        <f>IF(C229="","",XLOOKUP(C229,Constants!$H$30:$H$200,Constants!$I$30:$I$200,"",0))</f>
        <v/>
      </c>
      <c r="G229" s="6">
        <f>IF(C229="","",XLOOKUP(C229,Constants!$H$30:$H$200,Constants!$J$30:$J$200,"",0))</f>
        <v/>
      </c>
    </row>
    <row r="230">
      <c r="A230" s="8" t="n"/>
      <c r="B230" s="8" t="n"/>
      <c r="C230" s="8" t="n"/>
      <c r="D230" s="8" t="n"/>
      <c r="E230" s="8" t="n"/>
      <c r="F230" s="6">
        <f>IF(C230="","",XLOOKUP(C230,Constants!$H$30:$H$200,Constants!$I$30:$I$200,"",0))</f>
        <v/>
      </c>
      <c r="G230" s="6">
        <f>IF(C230="","",XLOOKUP(C230,Constants!$H$30:$H$200,Constants!$J$30:$J$200,"",0))</f>
        <v/>
      </c>
    </row>
    <row r="231">
      <c r="A231" s="8" t="n"/>
      <c r="B231" s="8" t="n"/>
      <c r="C231" s="8" t="n"/>
      <c r="D231" s="8" t="n"/>
      <c r="E231" s="8" t="n"/>
      <c r="F231" s="6">
        <f>IF(C231="","",XLOOKUP(C231,Constants!$H$30:$H$200,Constants!$I$30:$I$200,"",0))</f>
        <v/>
      </c>
      <c r="G231" s="6">
        <f>IF(C231="","",XLOOKUP(C231,Constants!$H$30:$H$200,Constants!$J$30:$J$200,"",0))</f>
        <v/>
      </c>
    </row>
    <row r="232">
      <c r="A232" s="8" t="n"/>
      <c r="B232" s="8" t="n"/>
      <c r="C232" s="8" t="n"/>
      <c r="D232" s="8" t="n"/>
      <c r="E232" s="8" t="n"/>
      <c r="F232" s="6">
        <f>IF(C232="","",XLOOKUP(C232,Constants!$H$30:$H$200,Constants!$I$30:$I$200,"",0))</f>
        <v/>
      </c>
      <c r="G232" s="6">
        <f>IF(C232="","",XLOOKUP(C232,Constants!$H$30:$H$200,Constants!$J$30:$J$200,"",0))</f>
        <v/>
      </c>
    </row>
    <row r="233">
      <c r="A233" s="8" t="n"/>
      <c r="B233" s="8" t="n"/>
      <c r="C233" s="8" t="n"/>
      <c r="D233" s="8" t="n"/>
      <c r="E233" s="8" t="n"/>
      <c r="F233" s="6">
        <f>IF(C233="","",XLOOKUP(C233,Constants!$H$30:$H$200,Constants!$I$30:$I$200,"",0))</f>
        <v/>
      </c>
      <c r="G233" s="6">
        <f>IF(C233="","",XLOOKUP(C233,Constants!$H$30:$H$200,Constants!$J$30:$J$200,"",0))</f>
        <v/>
      </c>
    </row>
    <row r="234">
      <c r="A234" s="8" t="n"/>
      <c r="B234" s="8" t="n"/>
      <c r="C234" s="8" t="n"/>
      <c r="D234" s="8" t="n"/>
      <c r="E234" s="8" t="n"/>
      <c r="F234" s="6">
        <f>IF(C234="","",XLOOKUP(C234,Constants!$H$30:$H$200,Constants!$I$30:$I$200,"",0))</f>
        <v/>
      </c>
      <c r="G234" s="6">
        <f>IF(C234="","",XLOOKUP(C234,Constants!$H$30:$H$200,Constants!$J$30:$J$200,"",0))</f>
        <v/>
      </c>
    </row>
    <row r="235">
      <c r="A235" s="8" t="n"/>
      <c r="B235" s="8" t="n"/>
      <c r="C235" s="8" t="n"/>
      <c r="D235" s="8" t="n"/>
      <c r="E235" s="8" t="n"/>
      <c r="F235" s="6">
        <f>IF(C235="","",XLOOKUP(C235,Constants!$H$30:$H$200,Constants!$I$30:$I$200,"",0))</f>
        <v/>
      </c>
      <c r="G235" s="6">
        <f>IF(C235="","",XLOOKUP(C235,Constants!$H$30:$H$200,Constants!$J$30:$J$200,"",0))</f>
        <v/>
      </c>
    </row>
    <row r="236">
      <c r="A236" s="8" t="n"/>
      <c r="B236" s="8" t="n"/>
      <c r="C236" s="8" t="n"/>
      <c r="D236" s="8" t="n"/>
      <c r="E236" s="8" t="n"/>
      <c r="F236" s="6">
        <f>IF(C236="","",XLOOKUP(C236,Constants!$H$30:$H$200,Constants!$I$30:$I$200,"",0))</f>
        <v/>
      </c>
      <c r="G236" s="6">
        <f>IF(C236="","",XLOOKUP(C236,Constants!$H$30:$H$200,Constants!$J$30:$J$200,"",0))</f>
        <v/>
      </c>
    </row>
    <row r="237">
      <c r="A237" s="8" t="n"/>
      <c r="B237" s="8" t="n"/>
      <c r="C237" s="8" t="n"/>
      <c r="D237" s="8" t="n"/>
      <c r="E237" s="8" t="n"/>
      <c r="F237" s="6">
        <f>IF(C237="","",XLOOKUP(C237,Constants!$H$30:$H$200,Constants!$I$30:$I$200,"",0))</f>
        <v/>
      </c>
      <c r="G237" s="6">
        <f>IF(C237="","",XLOOKUP(C237,Constants!$H$30:$H$200,Constants!$J$30:$J$200,"",0))</f>
        <v/>
      </c>
    </row>
    <row r="238">
      <c r="A238" s="8" t="n"/>
      <c r="B238" s="8" t="n"/>
      <c r="C238" s="8" t="n"/>
      <c r="D238" s="8" t="n"/>
      <c r="E238" s="8" t="n"/>
      <c r="F238" s="6">
        <f>IF(C238="","",XLOOKUP(C238,Constants!$H$30:$H$200,Constants!$I$30:$I$200,"",0))</f>
        <v/>
      </c>
      <c r="G238" s="6">
        <f>IF(C238="","",XLOOKUP(C238,Constants!$H$30:$H$200,Constants!$J$30:$J$200,"",0))</f>
        <v/>
      </c>
    </row>
    <row r="239">
      <c r="A239" s="8" t="n"/>
      <c r="B239" s="8" t="n"/>
      <c r="C239" s="8" t="n"/>
      <c r="D239" s="8" t="n"/>
      <c r="E239" s="8" t="n"/>
      <c r="F239" s="6">
        <f>IF(C239="","",XLOOKUP(C239,Constants!$H$30:$H$200,Constants!$I$30:$I$200,"",0))</f>
        <v/>
      </c>
      <c r="G239" s="6">
        <f>IF(C239="","",XLOOKUP(C239,Constants!$H$30:$H$200,Constants!$J$30:$J$200,"",0))</f>
        <v/>
      </c>
    </row>
    <row r="240">
      <c r="A240" s="8" t="n"/>
      <c r="B240" s="8" t="n"/>
      <c r="C240" s="8" t="n"/>
      <c r="D240" s="8" t="n"/>
      <c r="E240" s="8" t="n"/>
      <c r="F240" s="6">
        <f>IF(C240="","",XLOOKUP(C240,Constants!$H$30:$H$200,Constants!$I$30:$I$200,"",0))</f>
        <v/>
      </c>
      <c r="G240" s="6">
        <f>IF(C240="","",XLOOKUP(C240,Constants!$H$30:$H$200,Constants!$J$30:$J$200,"",0))</f>
        <v/>
      </c>
    </row>
    <row r="241">
      <c r="A241" s="8" t="n"/>
      <c r="B241" s="8" t="n"/>
      <c r="C241" s="8" t="n"/>
      <c r="D241" s="8" t="n"/>
      <c r="E241" s="8" t="n"/>
      <c r="F241" s="6">
        <f>IF(C241="","",XLOOKUP(C241,Constants!$H$30:$H$200,Constants!$I$30:$I$200,"",0))</f>
        <v/>
      </c>
      <c r="G241" s="6">
        <f>IF(C241="","",XLOOKUP(C241,Constants!$H$30:$H$200,Constants!$J$30:$J$200,"",0))</f>
        <v/>
      </c>
    </row>
    <row r="242">
      <c r="A242" s="8" t="n"/>
      <c r="B242" s="8" t="n"/>
      <c r="C242" s="8" t="n"/>
      <c r="D242" s="8" t="n"/>
      <c r="E242" s="8" t="n"/>
      <c r="F242" s="6">
        <f>IF(C242="","",XLOOKUP(C242,Constants!$H$30:$H$200,Constants!$I$30:$I$200,"",0))</f>
        <v/>
      </c>
      <c r="G242" s="6">
        <f>IF(C242="","",XLOOKUP(C242,Constants!$H$30:$H$200,Constants!$J$30:$J$200,"",0))</f>
        <v/>
      </c>
    </row>
    <row r="243">
      <c r="A243" s="8" t="n"/>
      <c r="B243" s="8" t="n"/>
      <c r="C243" s="8" t="n"/>
      <c r="D243" s="8" t="n"/>
      <c r="E243" s="8" t="n"/>
      <c r="F243" s="6">
        <f>IF(C243="","",XLOOKUP(C243,Constants!$H$30:$H$200,Constants!$I$30:$I$200,"",0))</f>
        <v/>
      </c>
      <c r="G243" s="6">
        <f>IF(C243="","",XLOOKUP(C243,Constants!$H$30:$H$200,Constants!$J$30:$J$200,"",0))</f>
        <v/>
      </c>
    </row>
    <row r="244">
      <c r="A244" s="8" t="n"/>
      <c r="B244" s="8" t="n"/>
      <c r="C244" s="8" t="n"/>
      <c r="D244" s="8" t="n"/>
      <c r="E244" s="8" t="n"/>
      <c r="F244" s="6">
        <f>IF(C244="","",XLOOKUP(C244,Constants!$H$30:$H$200,Constants!$I$30:$I$200,"",0))</f>
        <v/>
      </c>
      <c r="G244" s="6">
        <f>IF(C244="","",XLOOKUP(C244,Constants!$H$30:$H$200,Constants!$J$30:$J$200,"",0))</f>
        <v/>
      </c>
    </row>
    <row r="245">
      <c r="A245" s="8" t="n"/>
      <c r="B245" s="8" t="n"/>
      <c r="C245" s="8" t="n"/>
      <c r="D245" s="8" t="n"/>
      <c r="E245" s="8" t="n"/>
      <c r="F245" s="6">
        <f>IF(C245="","",XLOOKUP(C245,Constants!$H$30:$H$200,Constants!$I$30:$I$200,"",0))</f>
        <v/>
      </c>
      <c r="G245" s="6">
        <f>IF(C245="","",XLOOKUP(C245,Constants!$H$30:$H$200,Constants!$J$30:$J$200,"",0))</f>
        <v/>
      </c>
    </row>
    <row r="246">
      <c r="A246" s="8" t="n"/>
      <c r="B246" s="8" t="n"/>
      <c r="C246" s="8" t="n"/>
      <c r="D246" s="8" t="n"/>
      <c r="E246" s="8" t="n"/>
      <c r="F246" s="6">
        <f>IF(C246="","",XLOOKUP(C246,Constants!$H$30:$H$200,Constants!$I$30:$I$200,"",0))</f>
        <v/>
      </c>
      <c r="G246" s="6">
        <f>IF(C246="","",XLOOKUP(C246,Constants!$H$30:$H$200,Constants!$J$30:$J$200,"",0))</f>
        <v/>
      </c>
    </row>
    <row r="247">
      <c r="A247" s="8" t="n"/>
      <c r="B247" s="8" t="n"/>
      <c r="C247" s="8" t="n"/>
      <c r="D247" s="8" t="n"/>
      <c r="E247" s="8" t="n"/>
      <c r="F247" s="6">
        <f>IF(C247="","",XLOOKUP(C247,Constants!$H$30:$H$200,Constants!$I$30:$I$200,"",0))</f>
        <v/>
      </c>
      <c r="G247" s="6">
        <f>IF(C247="","",XLOOKUP(C247,Constants!$H$30:$H$200,Constants!$J$30:$J$200,"",0))</f>
        <v/>
      </c>
    </row>
    <row r="248">
      <c r="A248" s="8" t="n"/>
      <c r="B248" s="8" t="n"/>
      <c r="C248" s="8" t="n"/>
      <c r="D248" s="8" t="n"/>
      <c r="E248" s="8" t="n"/>
      <c r="F248" s="6">
        <f>IF(C248="","",XLOOKUP(C248,Constants!$H$30:$H$200,Constants!$I$30:$I$200,"",0))</f>
        <v/>
      </c>
      <c r="G248" s="6">
        <f>IF(C248="","",XLOOKUP(C248,Constants!$H$30:$H$200,Constants!$J$30:$J$200,"",0))</f>
        <v/>
      </c>
    </row>
    <row r="249">
      <c r="A249" s="8" t="n"/>
      <c r="B249" s="8" t="n"/>
      <c r="C249" s="8" t="n"/>
      <c r="D249" s="8" t="n"/>
      <c r="E249" s="8" t="n"/>
      <c r="F249" s="6">
        <f>IF(C249="","",XLOOKUP(C249,Constants!$H$30:$H$200,Constants!$I$30:$I$200,"",0))</f>
        <v/>
      </c>
      <c r="G249" s="6">
        <f>IF(C249="","",XLOOKUP(C249,Constants!$H$30:$H$200,Constants!$J$30:$J$200,"",0))</f>
        <v/>
      </c>
    </row>
    <row r="250">
      <c r="A250" s="8" t="n"/>
      <c r="B250" s="8" t="n"/>
      <c r="C250" s="8" t="n"/>
      <c r="D250" s="8" t="n"/>
      <c r="E250" s="8" t="n"/>
      <c r="F250" s="6">
        <f>IF(C250="","",XLOOKUP(C250,Constants!$H$30:$H$200,Constants!$I$30:$I$200,"",0))</f>
        <v/>
      </c>
      <c r="G250" s="6">
        <f>IF(C250="","",XLOOKUP(C250,Constants!$H$30:$H$200,Constants!$J$30:$J$200,"",0))</f>
        <v/>
      </c>
    </row>
    <row r="251">
      <c r="A251" s="8" t="n"/>
      <c r="B251" s="8" t="n"/>
      <c r="C251" s="8" t="n"/>
      <c r="D251" s="8" t="n"/>
      <c r="E251" s="8" t="n"/>
      <c r="F251" s="6">
        <f>IF(C251="","",XLOOKUP(C251,Constants!$H$30:$H$200,Constants!$I$30:$I$200,"",0))</f>
        <v/>
      </c>
      <c r="G251" s="6">
        <f>IF(C251="","",XLOOKUP(C251,Constants!$H$30:$H$200,Constants!$J$30:$J$200,"",0))</f>
        <v/>
      </c>
    </row>
    <row r="252">
      <c r="A252" s="8" t="n"/>
      <c r="B252" s="8" t="n"/>
      <c r="C252" s="8" t="n"/>
      <c r="D252" s="8" t="n"/>
      <c r="E252" s="8" t="n"/>
      <c r="F252" s="6">
        <f>IF(C252="","",XLOOKUP(C252,Constants!$H$30:$H$200,Constants!$I$30:$I$200,"",0))</f>
        <v/>
      </c>
      <c r="G252" s="6">
        <f>IF(C252="","",XLOOKUP(C252,Constants!$H$30:$H$200,Constants!$J$30:$J$200,"",0))</f>
        <v/>
      </c>
    </row>
    <row r="253">
      <c r="A253" s="8" t="n"/>
      <c r="B253" s="8" t="n"/>
      <c r="C253" s="8" t="n"/>
      <c r="D253" s="8" t="n"/>
      <c r="E253" s="8" t="n"/>
      <c r="F253" s="6">
        <f>IF(C253="","",XLOOKUP(C253,Constants!$H$30:$H$200,Constants!$I$30:$I$200,"",0))</f>
        <v/>
      </c>
      <c r="G253" s="6">
        <f>IF(C253="","",XLOOKUP(C253,Constants!$H$30:$H$200,Constants!$J$30:$J$200,"",0))</f>
        <v/>
      </c>
    </row>
    <row r="254">
      <c r="A254" s="8" t="n"/>
      <c r="B254" s="8" t="n"/>
      <c r="C254" s="8" t="n"/>
      <c r="D254" s="8" t="n"/>
      <c r="E254" s="8" t="n"/>
      <c r="F254" s="6">
        <f>IF(C254="","",XLOOKUP(C254,Constants!$H$30:$H$200,Constants!$I$30:$I$200,"",0))</f>
        <v/>
      </c>
      <c r="G254" s="6">
        <f>IF(C254="","",XLOOKUP(C254,Constants!$H$30:$H$200,Constants!$J$30:$J$200,"",0))</f>
        <v/>
      </c>
    </row>
    <row r="255">
      <c r="A255" s="8" t="n"/>
      <c r="B255" s="8" t="n"/>
      <c r="C255" s="8" t="n"/>
      <c r="D255" s="8" t="n"/>
      <c r="E255" s="8" t="n"/>
      <c r="F255" s="6">
        <f>IF(C255="","",XLOOKUP(C255,Constants!$H$30:$H$200,Constants!$I$30:$I$200,"",0))</f>
        <v/>
      </c>
      <c r="G255" s="6">
        <f>IF(C255="","",XLOOKUP(C255,Constants!$H$30:$H$200,Constants!$J$30:$J$200,"",0))</f>
        <v/>
      </c>
    </row>
    <row r="256">
      <c r="A256" s="8" t="n"/>
      <c r="B256" s="8" t="n"/>
      <c r="C256" s="8" t="n"/>
      <c r="D256" s="8" t="n"/>
      <c r="E256" s="8" t="n"/>
      <c r="F256" s="6">
        <f>IF(C256="","",XLOOKUP(C256,Constants!$H$30:$H$200,Constants!$I$30:$I$200,"",0))</f>
        <v/>
      </c>
      <c r="G256" s="6">
        <f>IF(C256="","",XLOOKUP(C256,Constants!$H$30:$H$200,Constants!$J$30:$J$200,"",0))</f>
        <v/>
      </c>
    </row>
    <row r="257">
      <c r="A257" s="8" t="n"/>
      <c r="B257" s="8" t="n"/>
      <c r="C257" s="8" t="n"/>
      <c r="D257" s="8" t="n"/>
      <c r="E257" s="8" t="n"/>
      <c r="F257" s="6">
        <f>IF(C257="","",XLOOKUP(C257,Constants!$H$30:$H$200,Constants!$I$30:$I$200,"",0))</f>
        <v/>
      </c>
      <c r="G257" s="6">
        <f>IF(C257="","",XLOOKUP(C257,Constants!$H$30:$H$200,Constants!$J$30:$J$200,"",0))</f>
        <v/>
      </c>
    </row>
    <row r="258">
      <c r="A258" s="8" t="n"/>
      <c r="B258" s="8" t="n"/>
      <c r="C258" s="8" t="n"/>
      <c r="D258" s="8" t="n"/>
      <c r="E258" s="8" t="n"/>
      <c r="F258" s="6">
        <f>IF(C258="","",XLOOKUP(C258,Constants!$H$30:$H$200,Constants!$I$30:$I$200,"",0))</f>
        <v/>
      </c>
      <c r="G258" s="6">
        <f>IF(C258="","",XLOOKUP(C258,Constants!$H$30:$H$200,Constants!$J$30:$J$200,"",0))</f>
        <v/>
      </c>
    </row>
    <row r="259">
      <c r="A259" s="8" t="n"/>
      <c r="B259" s="8" t="n"/>
      <c r="C259" s="8" t="n"/>
      <c r="D259" s="8" t="n"/>
      <c r="E259" s="8" t="n"/>
      <c r="F259" s="6">
        <f>IF(C259="","",XLOOKUP(C259,Constants!$H$30:$H$200,Constants!$I$30:$I$200,"",0))</f>
        <v/>
      </c>
      <c r="G259" s="6">
        <f>IF(C259="","",XLOOKUP(C259,Constants!$H$30:$H$200,Constants!$J$30:$J$200,"",0))</f>
        <v/>
      </c>
    </row>
    <row r="260">
      <c r="A260" s="8" t="n"/>
      <c r="B260" s="8" t="n"/>
      <c r="C260" s="8" t="n"/>
      <c r="D260" s="8" t="n"/>
      <c r="E260" s="8" t="n"/>
      <c r="F260" s="6">
        <f>IF(C260="","",XLOOKUP(C260,Constants!$H$30:$H$200,Constants!$I$30:$I$200,"",0))</f>
        <v/>
      </c>
      <c r="G260" s="6">
        <f>IF(C260="","",XLOOKUP(C260,Constants!$H$30:$H$200,Constants!$J$30:$J$200,"",0))</f>
        <v/>
      </c>
    </row>
    <row r="261">
      <c r="A261" s="8" t="n"/>
      <c r="B261" s="8" t="n"/>
      <c r="C261" s="8" t="n"/>
      <c r="D261" s="8" t="n"/>
      <c r="E261" s="8" t="n"/>
      <c r="F261" s="6">
        <f>IF(C261="","",XLOOKUP(C261,Constants!$H$30:$H$200,Constants!$I$30:$I$200,"",0))</f>
        <v/>
      </c>
      <c r="G261" s="6">
        <f>IF(C261="","",XLOOKUP(C261,Constants!$H$30:$H$200,Constants!$J$30:$J$200,"",0))</f>
        <v/>
      </c>
    </row>
    <row r="262">
      <c r="A262" s="8" t="n"/>
      <c r="B262" s="8" t="n"/>
      <c r="C262" s="8" t="n"/>
      <c r="D262" s="8" t="n"/>
      <c r="E262" s="8" t="n"/>
      <c r="F262" s="6">
        <f>IF(C262="","",XLOOKUP(C262,Constants!$H$30:$H$200,Constants!$I$30:$I$200,"",0))</f>
        <v/>
      </c>
      <c r="G262" s="6">
        <f>IF(C262="","",XLOOKUP(C262,Constants!$H$30:$H$200,Constants!$J$30:$J$200,"",0))</f>
        <v/>
      </c>
    </row>
    <row r="263">
      <c r="A263" s="8" t="n"/>
      <c r="B263" s="8" t="n"/>
      <c r="C263" s="8" t="n"/>
      <c r="D263" s="8" t="n"/>
      <c r="E263" s="8" t="n"/>
      <c r="F263" s="6">
        <f>IF(C263="","",XLOOKUP(C263,Constants!$H$30:$H$200,Constants!$I$30:$I$200,"",0))</f>
        <v/>
      </c>
      <c r="G263" s="6">
        <f>IF(C263="","",XLOOKUP(C263,Constants!$H$30:$H$200,Constants!$J$30:$J$200,"",0))</f>
        <v/>
      </c>
    </row>
    <row r="264">
      <c r="A264" s="8" t="n"/>
      <c r="B264" s="8" t="n"/>
      <c r="C264" s="8" t="n"/>
      <c r="D264" s="8" t="n"/>
      <c r="E264" s="8" t="n"/>
      <c r="F264" s="6">
        <f>IF(C264="","",XLOOKUP(C264,Constants!$H$30:$H$200,Constants!$I$30:$I$200,"",0))</f>
        <v/>
      </c>
      <c r="G264" s="6">
        <f>IF(C264="","",XLOOKUP(C264,Constants!$H$30:$H$200,Constants!$J$30:$J$200,"",0))</f>
        <v/>
      </c>
    </row>
    <row r="265">
      <c r="A265" s="8" t="n"/>
      <c r="B265" s="8" t="n"/>
      <c r="C265" s="8" t="n"/>
      <c r="D265" s="8" t="n"/>
      <c r="E265" s="8" t="n"/>
      <c r="F265" s="6">
        <f>IF(C265="","",XLOOKUP(C265,Constants!$H$30:$H$200,Constants!$I$30:$I$200,"",0))</f>
        <v/>
      </c>
      <c r="G265" s="6">
        <f>IF(C265="","",XLOOKUP(C265,Constants!$H$30:$H$200,Constants!$J$30:$J$200,"",0))</f>
        <v/>
      </c>
    </row>
    <row r="266">
      <c r="A266" s="8" t="n"/>
      <c r="B266" s="8" t="n"/>
      <c r="C266" s="8" t="n"/>
      <c r="D266" s="8" t="n"/>
      <c r="E266" s="8" t="n"/>
      <c r="F266" s="6">
        <f>IF(C266="","",XLOOKUP(C266,Constants!$H$30:$H$200,Constants!$I$30:$I$200,"",0))</f>
        <v/>
      </c>
      <c r="G266" s="6">
        <f>IF(C266="","",XLOOKUP(C266,Constants!$H$30:$H$200,Constants!$J$30:$J$200,"",0))</f>
        <v/>
      </c>
    </row>
    <row r="267">
      <c r="A267" s="8" t="n"/>
      <c r="B267" s="8" t="n"/>
      <c r="C267" s="8" t="n"/>
      <c r="D267" s="8" t="n"/>
      <c r="E267" s="8" t="n"/>
      <c r="F267" s="6">
        <f>IF(C267="","",XLOOKUP(C267,Constants!$H$30:$H$200,Constants!$I$30:$I$200,"",0))</f>
        <v/>
      </c>
      <c r="G267" s="6">
        <f>IF(C267="","",XLOOKUP(C267,Constants!$H$30:$H$200,Constants!$J$30:$J$200,"",0))</f>
        <v/>
      </c>
    </row>
    <row r="268">
      <c r="A268" s="8" t="n"/>
      <c r="B268" s="8" t="n"/>
      <c r="C268" s="8" t="n"/>
      <c r="D268" s="8" t="n"/>
      <c r="E268" s="8" t="n"/>
      <c r="F268" s="6">
        <f>IF(C268="","",XLOOKUP(C268,Constants!$H$30:$H$200,Constants!$I$30:$I$200,"",0))</f>
        <v/>
      </c>
      <c r="G268" s="6">
        <f>IF(C268="","",XLOOKUP(C268,Constants!$H$30:$H$200,Constants!$J$30:$J$200,"",0))</f>
        <v/>
      </c>
    </row>
    <row r="269">
      <c r="A269" s="8" t="n"/>
      <c r="B269" s="8" t="n"/>
      <c r="C269" s="8" t="n"/>
      <c r="D269" s="8" t="n"/>
      <c r="E269" s="8" t="n"/>
      <c r="F269" s="6">
        <f>IF(C269="","",XLOOKUP(C269,Constants!$H$30:$H$200,Constants!$I$30:$I$200,"",0))</f>
        <v/>
      </c>
      <c r="G269" s="6">
        <f>IF(C269="","",XLOOKUP(C269,Constants!$H$30:$H$200,Constants!$J$30:$J$200,"",0))</f>
        <v/>
      </c>
    </row>
    <row r="270">
      <c r="A270" s="8" t="n"/>
      <c r="B270" s="8" t="n"/>
      <c r="C270" s="8" t="n"/>
      <c r="D270" s="8" t="n"/>
      <c r="E270" s="8" t="n"/>
      <c r="F270" s="6">
        <f>IF(C270="","",XLOOKUP(C270,Constants!$H$30:$H$200,Constants!$I$30:$I$200,"",0))</f>
        <v/>
      </c>
      <c r="G270" s="6">
        <f>IF(C270="","",XLOOKUP(C270,Constants!$H$30:$H$200,Constants!$J$30:$J$200,"",0))</f>
        <v/>
      </c>
    </row>
    <row r="271">
      <c r="A271" s="8" t="n"/>
      <c r="B271" s="8" t="n"/>
      <c r="C271" s="8" t="n"/>
      <c r="D271" s="8" t="n"/>
      <c r="E271" s="8" t="n"/>
      <c r="F271" s="6">
        <f>IF(C271="","",XLOOKUP(C271,Constants!$H$30:$H$200,Constants!$I$30:$I$200,"",0))</f>
        <v/>
      </c>
      <c r="G271" s="6">
        <f>IF(C271="","",XLOOKUP(C271,Constants!$H$30:$H$200,Constants!$J$30:$J$200,"",0))</f>
        <v/>
      </c>
    </row>
    <row r="272">
      <c r="A272" s="8" t="n"/>
      <c r="B272" s="8" t="n"/>
      <c r="C272" s="8" t="n"/>
      <c r="D272" s="8" t="n"/>
      <c r="E272" s="8" t="n"/>
      <c r="F272" s="6">
        <f>IF(C272="","",XLOOKUP(C272,Constants!$H$30:$H$200,Constants!$I$30:$I$200,"",0))</f>
        <v/>
      </c>
      <c r="G272" s="6">
        <f>IF(C272="","",XLOOKUP(C272,Constants!$H$30:$H$200,Constants!$J$30:$J$200,"",0))</f>
        <v/>
      </c>
    </row>
    <row r="273">
      <c r="A273" s="8" t="n"/>
      <c r="B273" s="8" t="n"/>
      <c r="C273" s="8" t="n"/>
      <c r="D273" s="8" t="n"/>
      <c r="E273" s="8" t="n"/>
      <c r="F273" s="6">
        <f>IF(C273="","",XLOOKUP(C273,Constants!$H$30:$H$200,Constants!$I$30:$I$200,"",0))</f>
        <v/>
      </c>
      <c r="G273" s="6">
        <f>IF(C273="","",XLOOKUP(C273,Constants!$H$30:$H$200,Constants!$J$30:$J$200,"",0))</f>
        <v/>
      </c>
    </row>
    <row r="274">
      <c r="A274" s="8" t="n"/>
      <c r="B274" s="8" t="n"/>
      <c r="C274" s="8" t="n"/>
      <c r="D274" s="8" t="n"/>
      <c r="E274" s="8" t="n"/>
      <c r="F274" s="6">
        <f>IF(C274="","",XLOOKUP(C274,Constants!$H$30:$H$200,Constants!$I$30:$I$200,"",0))</f>
        <v/>
      </c>
      <c r="G274" s="6">
        <f>IF(C274="","",XLOOKUP(C274,Constants!$H$30:$H$200,Constants!$J$30:$J$200,"",0))</f>
        <v/>
      </c>
    </row>
    <row r="275">
      <c r="A275" s="8" t="n"/>
      <c r="B275" s="8" t="n"/>
      <c r="C275" s="8" t="n"/>
      <c r="D275" s="8" t="n"/>
      <c r="E275" s="8" t="n"/>
      <c r="F275" s="6">
        <f>IF(C275="","",XLOOKUP(C275,Constants!$H$30:$H$200,Constants!$I$30:$I$200,"",0))</f>
        <v/>
      </c>
      <c r="G275" s="6">
        <f>IF(C275="","",XLOOKUP(C275,Constants!$H$30:$H$200,Constants!$J$30:$J$200,"",0))</f>
        <v/>
      </c>
    </row>
    <row r="276">
      <c r="A276" s="8" t="n"/>
      <c r="B276" s="8" t="n"/>
      <c r="C276" s="8" t="n"/>
      <c r="D276" s="8" t="n"/>
      <c r="E276" s="8" t="n"/>
      <c r="F276" s="6">
        <f>IF(C276="","",XLOOKUP(C276,Constants!$H$30:$H$200,Constants!$I$30:$I$200,"",0))</f>
        <v/>
      </c>
      <c r="G276" s="6">
        <f>IF(C276="","",XLOOKUP(C276,Constants!$H$30:$H$200,Constants!$J$30:$J$200,"",0))</f>
        <v/>
      </c>
    </row>
    <row r="277">
      <c r="A277" s="8" t="n"/>
      <c r="B277" s="8" t="n"/>
      <c r="C277" s="8" t="n"/>
      <c r="D277" s="8" t="n"/>
      <c r="E277" s="8" t="n"/>
      <c r="F277" s="6">
        <f>IF(C277="","",XLOOKUP(C277,Constants!$H$30:$H$200,Constants!$I$30:$I$200,"",0))</f>
        <v/>
      </c>
      <c r="G277" s="6">
        <f>IF(C277="","",XLOOKUP(C277,Constants!$H$30:$H$200,Constants!$J$30:$J$200,"",0))</f>
        <v/>
      </c>
    </row>
    <row r="278">
      <c r="A278" s="8" t="n"/>
      <c r="B278" s="8" t="n"/>
      <c r="C278" s="8" t="n"/>
      <c r="D278" s="8" t="n"/>
      <c r="E278" s="8" t="n"/>
      <c r="F278" s="6">
        <f>IF(C278="","",XLOOKUP(C278,Constants!$H$30:$H$200,Constants!$I$30:$I$200,"",0))</f>
        <v/>
      </c>
      <c r="G278" s="6">
        <f>IF(C278="","",XLOOKUP(C278,Constants!$H$30:$H$200,Constants!$J$30:$J$200,"",0))</f>
        <v/>
      </c>
    </row>
    <row r="279">
      <c r="A279" s="8" t="n"/>
      <c r="B279" s="8" t="n"/>
      <c r="C279" s="8" t="n"/>
      <c r="D279" s="8" t="n"/>
      <c r="E279" s="8" t="n"/>
      <c r="F279" s="6">
        <f>IF(C279="","",XLOOKUP(C279,Constants!$H$30:$H$200,Constants!$I$30:$I$200,"",0))</f>
        <v/>
      </c>
      <c r="G279" s="6">
        <f>IF(C279="","",XLOOKUP(C279,Constants!$H$30:$H$200,Constants!$J$30:$J$200,"",0))</f>
        <v/>
      </c>
    </row>
    <row r="280">
      <c r="A280" s="8" t="n"/>
      <c r="B280" s="8" t="n"/>
      <c r="C280" s="8" t="n"/>
      <c r="D280" s="8" t="n"/>
      <c r="E280" s="8" t="n"/>
      <c r="F280" s="6">
        <f>IF(C280="","",XLOOKUP(C280,Constants!$H$30:$H$200,Constants!$I$30:$I$200,"",0))</f>
        <v/>
      </c>
      <c r="G280" s="6">
        <f>IF(C280="","",XLOOKUP(C280,Constants!$H$30:$H$200,Constants!$J$30:$J$200,"",0))</f>
        <v/>
      </c>
    </row>
    <row r="281">
      <c r="A281" s="8" t="n"/>
      <c r="B281" s="8" t="n"/>
      <c r="C281" s="8" t="n"/>
      <c r="D281" s="8" t="n"/>
      <c r="E281" s="8" t="n"/>
      <c r="F281" s="6">
        <f>IF(C281="","",XLOOKUP(C281,Constants!$H$30:$H$200,Constants!$I$30:$I$200,"",0))</f>
        <v/>
      </c>
      <c r="G281" s="6">
        <f>IF(C281="","",XLOOKUP(C281,Constants!$H$30:$H$200,Constants!$J$30:$J$200,"",0))</f>
        <v/>
      </c>
    </row>
    <row r="282">
      <c r="A282" s="8" t="n"/>
      <c r="B282" s="8" t="n"/>
      <c r="C282" s="8" t="n"/>
      <c r="D282" s="8" t="n"/>
      <c r="E282" s="8" t="n"/>
      <c r="F282" s="6">
        <f>IF(C282="","",XLOOKUP(C282,Constants!$H$30:$H$200,Constants!$I$30:$I$200,"",0))</f>
        <v/>
      </c>
      <c r="G282" s="6">
        <f>IF(C282="","",XLOOKUP(C282,Constants!$H$30:$H$200,Constants!$J$30:$J$200,"",0))</f>
        <v/>
      </c>
    </row>
    <row r="283">
      <c r="A283" s="8" t="n"/>
      <c r="B283" s="8" t="n"/>
      <c r="C283" s="8" t="n"/>
      <c r="D283" s="8" t="n"/>
      <c r="E283" s="8" t="n"/>
      <c r="F283" s="6">
        <f>IF(C283="","",XLOOKUP(C283,Constants!$H$30:$H$200,Constants!$I$30:$I$200,"",0))</f>
        <v/>
      </c>
      <c r="G283" s="6">
        <f>IF(C283="","",XLOOKUP(C283,Constants!$H$30:$H$200,Constants!$J$30:$J$200,"",0))</f>
        <v/>
      </c>
    </row>
    <row r="284">
      <c r="A284" s="8" t="n"/>
      <c r="B284" s="8" t="n"/>
      <c r="C284" s="8" t="n"/>
      <c r="D284" s="8" t="n"/>
      <c r="E284" s="8" t="n"/>
      <c r="F284" s="6">
        <f>IF(C284="","",XLOOKUP(C284,Constants!$H$30:$H$200,Constants!$I$30:$I$200,"",0))</f>
        <v/>
      </c>
      <c r="G284" s="6">
        <f>IF(C284="","",XLOOKUP(C284,Constants!$H$30:$H$200,Constants!$J$30:$J$200,"",0))</f>
        <v/>
      </c>
    </row>
    <row r="285">
      <c r="A285" s="8" t="n"/>
      <c r="B285" s="8" t="n"/>
      <c r="C285" s="8" t="n"/>
      <c r="D285" s="8" t="n"/>
      <c r="E285" s="8" t="n"/>
      <c r="F285" s="6">
        <f>IF(C285="","",XLOOKUP(C285,Constants!$H$30:$H$200,Constants!$I$30:$I$200,"",0))</f>
        <v/>
      </c>
      <c r="G285" s="6">
        <f>IF(C285="","",XLOOKUP(C285,Constants!$H$30:$H$200,Constants!$J$30:$J$200,"",0))</f>
        <v/>
      </c>
    </row>
    <row r="286">
      <c r="A286" s="8" t="n"/>
      <c r="B286" s="8" t="n"/>
      <c r="C286" s="8" t="n"/>
      <c r="D286" s="8" t="n"/>
      <c r="E286" s="8" t="n"/>
      <c r="F286" s="6">
        <f>IF(C286="","",XLOOKUP(C286,Constants!$H$30:$H$200,Constants!$I$30:$I$200,"",0))</f>
        <v/>
      </c>
      <c r="G286" s="6">
        <f>IF(C286="","",XLOOKUP(C286,Constants!$H$30:$H$200,Constants!$J$30:$J$200,"",0))</f>
        <v/>
      </c>
    </row>
    <row r="287">
      <c r="A287" s="8" t="n"/>
      <c r="B287" s="8" t="n"/>
      <c r="C287" s="8" t="n"/>
      <c r="D287" s="8" t="n"/>
      <c r="E287" s="8" t="n"/>
      <c r="F287" s="6">
        <f>IF(C287="","",XLOOKUP(C287,Constants!$H$30:$H$200,Constants!$I$30:$I$200,"",0))</f>
        <v/>
      </c>
      <c r="G287" s="6">
        <f>IF(C287="","",XLOOKUP(C287,Constants!$H$30:$H$200,Constants!$J$30:$J$200,"",0))</f>
        <v/>
      </c>
    </row>
    <row r="288">
      <c r="A288" s="8" t="n"/>
      <c r="B288" s="8" t="n"/>
      <c r="C288" s="8" t="n"/>
      <c r="D288" s="8" t="n"/>
      <c r="E288" s="8" t="n"/>
      <c r="F288" s="6">
        <f>IF(C288="","",XLOOKUP(C288,Constants!$H$30:$H$200,Constants!$I$30:$I$200,"",0))</f>
        <v/>
      </c>
      <c r="G288" s="6">
        <f>IF(C288="","",XLOOKUP(C288,Constants!$H$30:$H$200,Constants!$J$30:$J$200,"",0))</f>
        <v/>
      </c>
    </row>
    <row r="289">
      <c r="A289" s="8" t="n"/>
      <c r="B289" s="8" t="n"/>
      <c r="C289" s="8" t="n"/>
      <c r="D289" s="8" t="n"/>
      <c r="E289" s="8" t="n"/>
      <c r="F289" s="6">
        <f>IF(C289="","",XLOOKUP(C289,Constants!$H$30:$H$200,Constants!$I$30:$I$200,"",0))</f>
        <v/>
      </c>
      <c r="G289" s="6">
        <f>IF(C289="","",XLOOKUP(C289,Constants!$H$30:$H$200,Constants!$J$30:$J$200,"",0))</f>
        <v/>
      </c>
    </row>
    <row r="290">
      <c r="A290" s="8" t="n"/>
      <c r="B290" s="8" t="n"/>
      <c r="C290" s="8" t="n"/>
      <c r="D290" s="8" t="n"/>
      <c r="E290" s="8" t="n"/>
      <c r="F290" s="6">
        <f>IF(C290="","",XLOOKUP(C290,Constants!$H$30:$H$200,Constants!$I$30:$I$200,"",0))</f>
        <v/>
      </c>
      <c r="G290" s="6">
        <f>IF(C290="","",XLOOKUP(C290,Constants!$H$30:$H$200,Constants!$J$30:$J$200,"",0))</f>
        <v/>
      </c>
    </row>
    <row r="291">
      <c r="A291" s="8" t="n"/>
      <c r="B291" s="8" t="n"/>
      <c r="C291" s="8" t="n"/>
      <c r="D291" s="8" t="n"/>
      <c r="E291" s="8" t="n"/>
      <c r="F291" s="6">
        <f>IF(C291="","",XLOOKUP(C291,Constants!$H$30:$H$200,Constants!$I$30:$I$200,"",0))</f>
        <v/>
      </c>
      <c r="G291" s="6">
        <f>IF(C291="","",XLOOKUP(C291,Constants!$H$30:$H$200,Constants!$J$30:$J$200,"",0))</f>
        <v/>
      </c>
    </row>
    <row r="292">
      <c r="A292" s="8" t="n"/>
      <c r="B292" s="8" t="n"/>
      <c r="C292" s="8" t="n"/>
      <c r="D292" s="8" t="n"/>
      <c r="E292" s="8" t="n"/>
      <c r="F292" s="6">
        <f>IF(C292="","",XLOOKUP(C292,Constants!$H$30:$H$200,Constants!$I$30:$I$200,"",0))</f>
        <v/>
      </c>
      <c r="G292" s="6">
        <f>IF(C292="","",XLOOKUP(C292,Constants!$H$30:$H$200,Constants!$J$30:$J$200,"",0))</f>
        <v/>
      </c>
    </row>
    <row r="293">
      <c r="A293" s="8" t="n"/>
      <c r="B293" s="8" t="n"/>
      <c r="C293" s="8" t="n"/>
      <c r="D293" s="8" t="n"/>
      <c r="E293" s="8" t="n"/>
      <c r="F293" s="6">
        <f>IF(C293="","",XLOOKUP(C293,Constants!$H$30:$H$200,Constants!$I$30:$I$200,"",0))</f>
        <v/>
      </c>
      <c r="G293" s="6">
        <f>IF(C293="","",XLOOKUP(C293,Constants!$H$30:$H$200,Constants!$J$30:$J$200,"",0))</f>
        <v/>
      </c>
    </row>
    <row r="294">
      <c r="A294" s="8" t="n"/>
      <c r="B294" s="8" t="n"/>
      <c r="C294" s="8" t="n"/>
      <c r="D294" s="8" t="n"/>
      <c r="E294" s="8" t="n"/>
      <c r="F294" s="6">
        <f>IF(C294="","",XLOOKUP(C294,Constants!$H$30:$H$200,Constants!$I$30:$I$200,"",0))</f>
        <v/>
      </c>
      <c r="G294" s="6">
        <f>IF(C294="","",XLOOKUP(C294,Constants!$H$30:$H$200,Constants!$J$30:$J$200,"",0))</f>
        <v/>
      </c>
    </row>
    <row r="295">
      <c r="A295" s="8" t="n"/>
      <c r="B295" s="8" t="n"/>
      <c r="C295" s="8" t="n"/>
      <c r="D295" s="8" t="n"/>
      <c r="E295" s="8" t="n"/>
      <c r="F295" s="6">
        <f>IF(C295="","",XLOOKUP(C295,Constants!$H$30:$H$200,Constants!$I$30:$I$200,"",0))</f>
        <v/>
      </c>
      <c r="G295" s="6">
        <f>IF(C295="","",XLOOKUP(C295,Constants!$H$30:$H$200,Constants!$J$30:$J$200,"",0))</f>
        <v/>
      </c>
    </row>
    <row r="296">
      <c r="A296" s="8" t="n"/>
      <c r="B296" s="8" t="n"/>
      <c r="C296" s="8" t="n"/>
      <c r="D296" s="8" t="n"/>
      <c r="E296" s="8" t="n"/>
      <c r="F296" s="6">
        <f>IF(C296="","",XLOOKUP(C296,Constants!$H$30:$H$200,Constants!$I$30:$I$200,"",0))</f>
        <v/>
      </c>
      <c r="G296" s="6">
        <f>IF(C296="","",XLOOKUP(C296,Constants!$H$30:$H$200,Constants!$J$30:$J$200,"",0))</f>
        <v/>
      </c>
    </row>
    <row r="297">
      <c r="A297" s="8" t="n"/>
      <c r="B297" s="8" t="n"/>
      <c r="C297" s="8" t="n"/>
      <c r="D297" s="8" t="n"/>
      <c r="E297" s="8" t="n"/>
      <c r="F297" s="6">
        <f>IF(C297="","",XLOOKUP(C297,Constants!$H$30:$H$200,Constants!$I$30:$I$200,"",0))</f>
        <v/>
      </c>
      <c r="G297" s="6">
        <f>IF(C297="","",XLOOKUP(C297,Constants!$H$30:$H$200,Constants!$J$30:$J$200,"",0))</f>
        <v/>
      </c>
    </row>
    <row r="298">
      <c r="A298" s="8" t="n"/>
      <c r="B298" s="8" t="n"/>
      <c r="C298" s="8" t="n"/>
      <c r="D298" s="8" t="n"/>
      <c r="E298" s="8" t="n"/>
      <c r="F298" s="6">
        <f>IF(C298="","",XLOOKUP(C298,Constants!$H$30:$H$200,Constants!$I$30:$I$200,"",0))</f>
        <v/>
      </c>
      <c r="G298" s="6">
        <f>IF(C298="","",XLOOKUP(C298,Constants!$H$30:$H$200,Constants!$J$30:$J$200,"",0))</f>
        <v/>
      </c>
    </row>
    <row r="299">
      <c r="A299" s="8" t="n"/>
      <c r="B299" s="8" t="n"/>
      <c r="C299" s="8" t="n"/>
      <c r="D299" s="8" t="n"/>
      <c r="E299" s="8" t="n"/>
      <c r="F299" s="6">
        <f>IF(C299="","",XLOOKUP(C299,Constants!$H$30:$H$200,Constants!$I$30:$I$200,"",0))</f>
        <v/>
      </c>
      <c r="G299" s="6">
        <f>IF(C299="","",XLOOKUP(C299,Constants!$H$30:$H$200,Constants!$J$30:$J$200,"",0))</f>
        <v/>
      </c>
    </row>
    <row r="300">
      <c r="A300" s="8" t="n"/>
      <c r="B300" s="8" t="n"/>
      <c r="C300" s="8" t="n"/>
      <c r="D300" s="8" t="n"/>
      <c r="E300" s="8" t="n"/>
      <c r="F300" s="6">
        <f>IF(C300="","",XLOOKUP(C300,Constants!$H$30:$H$200,Constants!$I$30:$I$200,"",0))</f>
        <v/>
      </c>
      <c r="G300" s="6">
        <f>IF(C300="","",XLOOKUP(C300,Constants!$H$30:$H$200,Constants!$J$30:$J$200,"",0))</f>
        <v/>
      </c>
    </row>
    <row r="301">
      <c r="A301" s="8" t="n"/>
      <c r="B301" s="8" t="n"/>
      <c r="C301" s="8" t="n"/>
      <c r="D301" s="8" t="n"/>
      <c r="E301" s="8" t="n"/>
      <c r="F301" s="6">
        <f>IF(C301="","",XLOOKUP(C301,Constants!$H$30:$H$200,Constants!$I$30:$I$200,"",0))</f>
        <v/>
      </c>
      <c r="G301" s="6">
        <f>IF(C301="","",XLOOKUP(C301,Constants!$H$30:$H$200,Constants!$J$30:$J$200,"",0))</f>
        <v/>
      </c>
    </row>
    <row r="302">
      <c r="A302" s="8" t="n"/>
      <c r="B302" s="8" t="n"/>
      <c r="C302" s="8" t="n"/>
      <c r="D302" s="8" t="n"/>
      <c r="E302" s="8" t="n"/>
      <c r="F302" s="6">
        <f>IF(C302="","",XLOOKUP(C302,Constants!$H$30:$H$200,Constants!$I$30:$I$200,"",0))</f>
        <v/>
      </c>
      <c r="G302" s="6">
        <f>IF(C302="","",XLOOKUP(C302,Constants!$H$30:$H$200,Constants!$J$30:$J$200,"",0))</f>
        <v/>
      </c>
    </row>
    <row r="303">
      <c r="A303" s="8" t="n"/>
      <c r="B303" s="8" t="n"/>
      <c r="C303" s="8" t="n"/>
      <c r="D303" s="8" t="n"/>
      <c r="E303" s="8" t="n"/>
      <c r="F303" s="6">
        <f>IF(C303="","",XLOOKUP(C303,Constants!$H$30:$H$200,Constants!$I$30:$I$200,"",0))</f>
        <v/>
      </c>
      <c r="G303" s="6">
        <f>IF(C303="","",XLOOKUP(C303,Constants!$H$30:$H$200,Constants!$J$30:$J$200,"",0))</f>
        <v/>
      </c>
    </row>
  </sheetData>
  <mergeCells count="1">
    <mergeCell ref="A1:G1"/>
  </mergeCells>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showDropDown="0" showInputMessage="0" showErrorMessage="0" allowBlank="1" type="list">
      <formula1>=Constants!$H$30:$H$33</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showDropDown="0" showInputMessage="0" showErrorMessage="0" allowBlank="1" type="list">
      <formula1>"0.5,1"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3"/>
  <sheetViews>
    <sheetView workbookViewId="0">
      <selection activeCell="A1" sqref="A1"/>
    </sheetView>
  </sheetViews>
  <sheetFormatPr baseColWidth="8" defaultRowHeight="15"/>
  <cols>
    <col hidden="1" width="10" customWidth="1" min="1" max="1"/>
    <col width="22" customWidth="1" min="2" max="2"/>
    <col width="22" customWidth="1" min="3" max="3"/>
    <col width="6" customWidth="1" min="4" max="4"/>
    <col width="10" customWidth="1" min="5" max="5"/>
    <col width="10" customWidth="1" min="6" max="6"/>
    <col width="10" customWidth="1" min="7" max="7"/>
    <col width="14" customWidth="1" min="8" max="8"/>
    <col width="30" customWidth="1" min="9" max="9"/>
  </cols>
  <sheetData>
    <row r="1">
      <c r="A1" s="1" t="inlineStr">
        <is>
          <t>INPUT_PREJOB_TRIPS (separate from main rounding)</t>
        </is>
      </c>
    </row>
    <row r="2">
      <c r="B2" s="12" t="inlineStr">
        <is>
          <t>App-first mode: JobID column (A) is hidden; the app will fill JobID automatically.</t>
        </is>
      </c>
    </row>
    <row r="3">
      <c r="A3" s="5" t="inlineStr">
        <is>
          <t>JobID</t>
        </is>
      </c>
      <c r="B3" s="5" t="inlineStr">
        <is>
          <t>Category (Walls/Trim/Ceiling/Other)</t>
        </is>
      </c>
      <c r="C3" s="5" t="inlineStr">
        <is>
          <t>Trip Name</t>
        </is>
      </c>
      <c r="D3" s="5" t="inlineStr">
        <is>
          <t>Qty</t>
        </is>
      </c>
      <c r="E3" s="5" t="inlineStr">
        <is>
          <t>Hours_each</t>
        </is>
      </c>
      <c r="F3" s="5" t="inlineStr">
        <is>
          <t>LaborRate</t>
        </is>
      </c>
      <c r="G3" s="5" t="inlineStr">
        <is>
          <t>Markup</t>
        </is>
      </c>
      <c r="H3" s="5" t="inlineStr">
        <is>
          <t>Total (calc)</t>
        </is>
      </c>
      <c r="I3" s="5" t="inlineStr">
        <is>
          <t>Notes</t>
        </is>
      </c>
      <c r="J3" t="inlineStr">
        <is>
          <t>Active?</t>
        </is>
      </c>
    </row>
    <row r="4">
      <c r="A4" s="8" t="n"/>
      <c r="B4" s="8" t="n"/>
      <c r="C4" s="8" t="n"/>
      <c r="D4" s="8" t="n"/>
      <c r="E4" s="8" t="n"/>
      <c r="F4" s="6" t="n"/>
      <c r="G4" s="6" t="n"/>
      <c r="H4" s="6">
        <f>D4*E4*F4*G4</f>
        <v/>
      </c>
      <c r="I4" s="8" t="n"/>
    </row>
    <row r="5">
      <c r="A5" s="8" t="n"/>
      <c r="B5" s="8" t="n"/>
      <c r="C5" s="8" t="n"/>
      <c r="D5" s="8" t="n"/>
      <c r="E5" s="8" t="n"/>
      <c r="F5" s="6">
        <f>XLOOKUP("LaborRate",Constants!$A$10:$A$60,Constants!$B$10:$B$60)</f>
        <v/>
      </c>
      <c r="G5" s="6">
        <f>XLOOKUP("Markup",Constants!$A$10:$A$60,Constants!$B$10:$B$60)</f>
        <v/>
      </c>
      <c r="H5" s="6">
        <f>IF(OR(D5="",E5=""),"", D5*E5*F5*G5)</f>
        <v/>
      </c>
      <c r="I5" s="8" t="n"/>
    </row>
    <row r="6">
      <c r="A6" s="8" t="n"/>
      <c r="B6" s="8" t="n"/>
      <c r="C6" s="8" t="n"/>
      <c r="D6" s="8" t="n"/>
      <c r="E6" s="8" t="n"/>
      <c r="F6" s="6">
        <f>XLOOKUP("LaborRate",Constants!$A$10:$A$60,Constants!$B$10:$B$60)</f>
        <v/>
      </c>
      <c r="G6" s="6">
        <f>XLOOKUP("Markup",Constants!$A$10:$A$60,Constants!$B$10:$B$60)</f>
        <v/>
      </c>
      <c r="H6" s="6">
        <f>IF(OR(D6="",E6=""),"", D6*E6*F6*G6)</f>
        <v/>
      </c>
      <c r="I6" s="8" t="n"/>
    </row>
    <row r="7">
      <c r="A7" s="8" t="n"/>
      <c r="B7" s="8" t="n"/>
      <c r="C7" s="8" t="n"/>
      <c r="D7" s="8" t="n"/>
      <c r="E7" s="8" t="n"/>
      <c r="F7" s="6">
        <f>XLOOKUP("LaborRate",Constants!$A$10:$A$60,Constants!$B$10:$B$60)</f>
        <v/>
      </c>
      <c r="G7" s="6">
        <f>XLOOKUP("Markup",Constants!$A$10:$A$60,Constants!$B$10:$B$60)</f>
        <v/>
      </c>
      <c r="H7" s="6">
        <f>IF(OR(D7="",E7=""),"", D7*E7*F7*G7)</f>
        <v/>
      </c>
      <c r="I7" s="8" t="n"/>
    </row>
    <row r="8">
      <c r="A8" s="8" t="n"/>
      <c r="B8" s="8" t="n"/>
      <c r="C8" s="8" t="n"/>
      <c r="D8" s="8" t="n"/>
      <c r="E8" s="8" t="n"/>
      <c r="F8" s="6">
        <f>XLOOKUP("LaborRate",Constants!$A$10:$A$60,Constants!$B$10:$B$60)</f>
        <v/>
      </c>
      <c r="G8" s="6">
        <f>XLOOKUP("Markup",Constants!$A$10:$A$60,Constants!$B$10:$B$60)</f>
        <v/>
      </c>
      <c r="H8" s="6">
        <f>IF(OR(D8="",E8=""),"", D8*E8*F8*G8)</f>
        <v/>
      </c>
      <c r="I8" s="8" t="n"/>
    </row>
    <row r="9">
      <c r="A9" s="8" t="n"/>
      <c r="B9" s="8" t="n"/>
      <c r="C9" s="8" t="n"/>
      <c r="D9" s="8" t="n"/>
      <c r="E9" s="8" t="n"/>
      <c r="F9" s="6">
        <f>XLOOKUP("LaborRate",Constants!$A$10:$A$60,Constants!$B$10:$B$60)</f>
        <v/>
      </c>
      <c r="G9" s="6">
        <f>XLOOKUP("Markup",Constants!$A$10:$A$60,Constants!$B$10:$B$60)</f>
        <v/>
      </c>
      <c r="H9" s="6">
        <f>IF(OR(D9="",E9=""),"", D9*E9*F9*G9)</f>
        <v/>
      </c>
      <c r="I9" s="8" t="n"/>
    </row>
    <row r="10">
      <c r="A10" s="8" t="n"/>
      <c r="B10" s="8" t="n"/>
      <c r="C10" s="8" t="n"/>
      <c r="D10" s="8" t="n"/>
      <c r="E10" s="8" t="n"/>
      <c r="F10" s="6">
        <f>XLOOKUP("LaborRate",Constants!$A$10:$A$60,Constants!$B$10:$B$60)</f>
        <v/>
      </c>
      <c r="G10" s="6">
        <f>XLOOKUP("Markup",Constants!$A$10:$A$60,Constants!$B$10:$B$60)</f>
        <v/>
      </c>
      <c r="H10" s="6">
        <f>IF(OR(D10="",E10=""),"", D10*E10*F10*G10)</f>
        <v/>
      </c>
      <c r="I10" s="8" t="n"/>
    </row>
    <row r="11">
      <c r="A11" s="8" t="n"/>
      <c r="B11" s="8" t="n"/>
      <c r="C11" s="8" t="n"/>
      <c r="D11" s="8" t="n"/>
      <c r="E11" s="8" t="n"/>
      <c r="F11" s="6">
        <f>XLOOKUP("LaborRate",Constants!$A$10:$A$60,Constants!$B$10:$B$60)</f>
        <v/>
      </c>
      <c r="G11" s="6">
        <f>XLOOKUP("Markup",Constants!$A$10:$A$60,Constants!$B$10:$B$60)</f>
        <v/>
      </c>
      <c r="H11" s="6">
        <f>IF(OR(D11="",E11=""),"", D11*E11*F11*G11)</f>
        <v/>
      </c>
      <c r="I11" s="8" t="n"/>
    </row>
    <row r="12">
      <c r="A12" s="8" t="n"/>
      <c r="B12" s="8" t="n"/>
      <c r="C12" s="8" t="n"/>
      <c r="D12" s="8" t="n"/>
      <c r="E12" s="8" t="n"/>
      <c r="F12" s="6">
        <f>XLOOKUP("LaborRate",Constants!$A$10:$A$60,Constants!$B$10:$B$60)</f>
        <v/>
      </c>
      <c r="G12" s="6">
        <f>XLOOKUP("Markup",Constants!$A$10:$A$60,Constants!$B$10:$B$60)</f>
        <v/>
      </c>
      <c r="H12" s="6">
        <f>IF(OR(D12="",E12=""),"", D12*E12*F12*G12)</f>
        <v/>
      </c>
      <c r="I12" s="8" t="n"/>
    </row>
    <row r="13">
      <c r="A13" s="8" t="n"/>
      <c r="B13" s="8" t="n"/>
      <c r="C13" s="8" t="n"/>
      <c r="D13" s="8" t="n"/>
      <c r="E13" s="8" t="n"/>
      <c r="F13" s="6">
        <f>XLOOKUP("LaborRate",Constants!$A$10:$A$60,Constants!$B$10:$B$60)</f>
        <v/>
      </c>
      <c r="G13" s="6">
        <f>XLOOKUP("Markup",Constants!$A$10:$A$60,Constants!$B$10:$B$60)</f>
        <v/>
      </c>
      <c r="H13" s="6">
        <f>IF(OR(D13="",E13=""),"", D13*E13*F13*G13)</f>
        <v/>
      </c>
      <c r="I13" s="8" t="n"/>
    </row>
    <row r="14">
      <c r="A14" s="8" t="n"/>
      <c r="B14" s="8" t="n"/>
      <c r="C14" s="8" t="n"/>
      <c r="D14" s="8" t="n"/>
      <c r="E14" s="8" t="n"/>
      <c r="F14" s="6">
        <f>XLOOKUP("LaborRate",Constants!$A$10:$A$60,Constants!$B$10:$B$60)</f>
        <v/>
      </c>
      <c r="G14" s="6">
        <f>XLOOKUP("Markup",Constants!$A$10:$A$60,Constants!$B$10:$B$60)</f>
        <v/>
      </c>
      <c r="H14" s="6">
        <f>IF(OR(D14="",E14=""),"", D14*E14*F14*G14)</f>
        <v/>
      </c>
      <c r="I14" s="8" t="n"/>
    </row>
    <row r="15">
      <c r="A15" s="8" t="n"/>
      <c r="B15" s="8" t="n"/>
      <c r="C15" s="8" t="n"/>
      <c r="D15" s="8" t="n"/>
      <c r="E15" s="8" t="n"/>
      <c r="F15" s="6">
        <f>XLOOKUP("LaborRate",Constants!$A$10:$A$60,Constants!$B$10:$B$60)</f>
        <v/>
      </c>
      <c r="G15" s="6">
        <f>XLOOKUP("Markup",Constants!$A$10:$A$60,Constants!$B$10:$B$60)</f>
        <v/>
      </c>
      <c r="H15" s="6">
        <f>IF(OR(D15="",E15=""),"", D15*E15*F15*G15)</f>
        <v/>
      </c>
      <c r="I15" s="8" t="n"/>
    </row>
    <row r="16">
      <c r="A16" s="8" t="n"/>
      <c r="B16" s="8" t="n"/>
      <c r="C16" s="8" t="n"/>
      <c r="D16" s="8" t="n"/>
      <c r="E16" s="8" t="n"/>
      <c r="F16" s="6">
        <f>XLOOKUP("LaborRate",Constants!$A$10:$A$60,Constants!$B$10:$B$60)</f>
        <v/>
      </c>
      <c r="G16" s="6">
        <f>XLOOKUP("Markup",Constants!$A$10:$A$60,Constants!$B$10:$B$60)</f>
        <v/>
      </c>
      <c r="H16" s="6">
        <f>IF(OR(D16="",E16=""),"", D16*E16*F16*G16)</f>
        <v/>
      </c>
      <c r="I16" s="8" t="n"/>
    </row>
    <row r="17">
      <c r="A17" s="8" t="n"/>
      <c r="B17" s="8" t="n"/>
      <c r="C17" s="8" t="n"/>
      <c r="D17" s="8" t="n"/>
      <c r="E17" s="8" t="n"/>
      <c r="F17" s="6">
        <f>XLOOKUP("LaborRate",Constants!$A$10:$A$60,Constants!$B$10:$B$60)</f>
        <v/>
      </c>
      <c r="G17" s="6">
        <f>XLOOKUP("Markup",Constants!$A$10:$A$60,Constants!$B$10:$B$60)</f>
        <v/>
      </c>
      <c r="H17" s="6">
        <f>IF(OR(D17="",E17=""),"", D17*E17*F17*G17)</f>
        <v/>
      </c>
      <c r="I17" s="8" t="n"/>
    </row>
    <row r="18">
      <c r="A18" s="8" t="n"/>
      <c r="B18" s="8" t="n"/>
      <c r="C18" s="8" t="n"/>
      <c r="D18" s="8" t="n"/>
      <c r="E18" s="8" t="n"/>
      <c r="F18" s="6">
        <f>XLOOKUP("LaborRate",Constants!$A$10:$A$60,Constants!$B$10:$B$60)</f>
        <v/>
      </c>
      <c r="G18" s="6">
        <f>XLOOKUP("Markup",Constants!$A$10:$A$60,Constants!$B$10:$B$60)</f>
        <v/>
      </c>
      <c r="H18" s="6">
        <f>IF(OR(D18="",E18=""),"", D18*E18*F18*G18)</f>
        <v/>
      </c>
      <c r="I18" s="8" t="n"/>
    </row>
    <row r="19">
      <c r="A19" s="8" t="n"/>
      <c r="B19" s="8" t="n"/>
      <c r="C19" s="8" t="n"/>
      <c r="D19" s="8" t="n"/>
      <c r="E19" s="8" t="n"/>
      <c r="F19" s="6">
        <f>XLOOKUP("LaborRate",Constants!$A$10:$A$60,Constants!$B$10:$B$60)</f>
        <v/>
      </c>
      <c r="G19" s="6">
        <f>XLOOKUP("Markup",Constants!$A$10:$A$60,Constants!$B$10:$B$60)</f>
        <v/>
      </c>
      <c r="H19" s="6">
        <f>IF(OR(D19="",E19=""),"", D19*E19*F19*G19)</f>
        <v/>
      </c>
      <c r="I19" s="8" t="n"/>
    </row>
    <row r="20">
      <c r="A20" s="8" t="n"/>
      <c r="B20" s="8" t="n"/>
      <c r="C20" s="8" t="n"/>
      <c r="D20" s="8" t="n"/>
      <c r="E20" s="8" t="n"/>
      <c r="F20" s="6">
        <f>XLOOKUP("LaborRate",Constants!$A$10:$A$60,Constants!$B$10:$B$60)</f>
        <v/>
      </c>
      <c r="G20" s="6">
        <f>XLOOKUP("Markup",Constants!$A$10:$A$60,Constants!$B$10:$B$60)</f>
        <v/>
      </c>
      <c r="H20" s="6">
        <f>IF(OR(D20="",E20=""),"", D20*E20*F20*G20)</f>
        <v/>
      </c>
      <c r="I20" s="8" t="n"/>
    </row>
    <row r="21">
      <c r="A21" s="8" t="n"/>
      <c r="B21" s="8" t="n"/>
      <c r="C21" s="8" t="n"/>
      <c r="D21" s="8" t="n"/>
      <c r="E21" s="8" t="n"/>
      <c r="F21" s="6">
        <f>XLOOKUP("LaborRate",Constants!$A$10:$A$60,Constants!$B$10:$B$60)</f>
        <v/>
      </c>
      <c r="G21" s="6">
        <f>XLOOKUP("Markup",Constants!$A$10:$A$60,Constants!$B$10:$B$60)</f>
        <v/>
      </c>
      <c r="H21" s="6">
        <f>IF(OR(D21="",E21=""),"", D21*E21*F21*G21)</f>
        <v/>
      </c>
      <c r="I21" s="8" t="n"/>
    </row>
    <row r="22">
      <c r="A22" s="8" t="n"/>
      <c r="B22" s="8" t="n"/>
      <c r="C22" s="8" t="n"/>
      <c r="D22" s="8" t="n"/>
      <c r="E22" s="8" t="n"/>
      <c r="F22" s="6">
        <f>XLOOKUP("LaborRate",Constants!$A$10:$A$60,Constants!$B$10:$B$60)</f>
        <v/>
      </c>
      <c r="G22" s="6">
        <f>XLOOKUP("Markup",Constants!$A$10:$A$60,Constants!$B$10:$B$60)</f>
        <v/>
      </c>
      <c r="H22" s="6">
        <f>IF(OR(D22="",E22=""),"", D22*E22*F22*G22)</f>
        <v/>
      </c>
      <c r="I22" s="8" t="n"/>
    </row>
    <row r="23">
      <c r="A23" s="8" t="n"/>
      <c r="B23" s="8" t="n"/>
      <c r="C23" s="8" t="n"/>
      <c r="D23" s="8" t="n"/>
      <c r="E23" s="8" t="n"/>
      <c r="F23" s="6">
        <f>XLOOKUP("LaborRate",Constants!$A$10:$A$60,Constants!$B$10:$B$60)</f>
        <v/>
      </c>
      <c r="G23" s="6">
        <f>XLOOKUP("Markup",Constants!$A$10:$A$60,Constants!$B$10:$B$60)</f>
        <v/>
      </c>
      <c r="H23" s="6">
        <f>IF(OR(D23="",E23=""),"", D23*E23*F23*G23)</f>
        <v/>
      </c>
      <c r="I23" s="8" t="n"/>
    </row>
    <row r="24">
      <c r="A24" s="8" t="n"/>
      <c r="B24" s="8" t="n"/>
      <c r="C24" s="8" t="n"/>
      <c r="D24" s="8" t="n"/>
      <c r="E24" s="8" t="n"/>
      <c r="F24" s="6">
        <f>XLOOKUP("LaborRate",Constants!$A$10:$A$60,Constants!$B$10:$B$60)</f>
        <v/>
      </c>
      <c r="G24" s="6">
        <f>XLOOKUP("Markup",Constants!$A$10:$A$60,Constants!$B$10:$B$60)</f>
        <v/>
      </c>
      <c r="H24" s="6">
        <f>IF(OR(D24="",E24=""),"", D24*E24*F24*G24)</f>
        <v/>
      </c>
      <c r="I24" s="8" t="n"/>
    </row>
    <row r="25">
      <c r="A25" s="8" t="n"/>
      <c r="B25" s="8" t="n"/>
      <c r="C25" s="8" t="n"/>
      <c r="D25" s="8" t="n"/>
      <c r="E25" s="8" t="n"/>
      <c r="F25" s="6">
        <f>XLOOKUP("LaborRate",Constants!$A$10:$A$60,Constants!$B$10:$B$60)</f>
        <v/>
      </c>
      <c r="G25" s="6">
        <f>XLOOKUP("Markup",Constants!$A$10:$A$60,Constants!$B$10:$B$60)</f>
        <v/>
      </c>
      <c r="H25" s="6">
        <f>IF(OR(D25="",E25=""),"", D25*E25*F25*G25)</f>
        <v/>
      </c>
      <c r="I25" s="8" t="n"/>
    </row>
    <row r="26">
      <c r="A26" s="8" t="n"/>
      <c r="B26" s="8" t="n"/>
      <c r="C26" s="8" t="n"/>
      <c r="D26" s="8" t="n"/>
      <c r="E26" s="8" t="n"/>
      <c r="F26" s="6">
        <f>XLOOKUP("LaborRate",Constants!$A$10:$A$60,Constants!$B$10:$B$60)</f>
        <v/>
      </c>
      <c r="G26" s="6">
        <f>XLOOKUP("Markup",Constants!$A$10:$A$60,Constants!$B$10:$B$60)</f>
        <v/>
      </c>
      <c r="H26" s="6">
        <f>IF(OR(D26="",E26=""),"", D26*E26*F26*G26)</f>
        <v/>
      </c>
      <c r="I26" s="8" t="n"/>
    </row>
    <row r="27">
      <c r="A27" s="8" t="n"/>
      <c r="B27" s="8" t="n"/>
      <c r="C27" s="8" t="n"/>
      <c r="D27" s="8" t="n"/>
      <c r="E27" s="8" t="n"/>
      <c r="F27" s="6">
        <f>XLOOKUP("LaborRate",Constants!$A$10:$A$60,Constants!$B$10:$B$60)</f>
        <v/>
      </c>
      <c r="G27" s="6">
        <f>XLOOKUP("Markup",Constants!$A$10:$A$60,Constants!$B$10:$B$60)</f>
        <v/>
      </c>
      <c r="H27" s="6">
        <f>IF(OR(D27="",E27=""),"", D27*E27*F27*G27)</f>
        <v/>
      </c>
      <c r="I27" s="8" t="n"/>
    </row>
    <row r="28">
      <c r="A28" s="8" t="n"/>
      <c r="B28" s="8" t="n"/>
      <c r="C28" s="8" t="n"/>
      <c r="D28" s="8" t="n"/>
      <c r="E28" s="8" t="n"/>
      <c r="F28" s="6">
        <f>XLOOKUP("LaborRate",Constants!$A$10:$A$60,Constants!$B$10:$B$60)</f>
        <v/>
      </c>
      <c r="G28" s="6">
        <f>XLOOKUP("Markup",Constants!$A$10:$A$60,Constants!$B$10:$B$60)</f>
        <v/>
      </c>
      <c r="H28" s="6">
        <f>IF(OR(D28="",E28=""),"", D28*E28*F28*G28)</f>
        <v/>
      </c>
      <c r="I28" s="8" t="n"/>
    </row>
    <row r="29">
      <c r="A29" s="8" t="n"/>
      <c r="B29" s="8" t="n"/>
      <c r="C29" s="8" t="n"/>
      <c r="D29" s="8" t="n"/>
      <c r="E29" s="8" t="n"/>
      <c r="F29" s="6">
        <f>XLOOKUP("LaborRate",Constants!$A$10:$A$60,Constants!$B$10:$B$60)</f>
        <v/>
      </c>
      <c r="G29" s="6">
        <f>XLOOKUP("Markup",Constants!$A$10:$A$60,Constants!$B$10:$B$60)</f>
        <v/>
      </c>
      <c r="H29" s="6">
        <f>IF(OR(D29="",E29=""),"", D29*E29*F29*G29)</f>
        <v/>
      </c>
      <c r="I29" s="8" t="n"/>
    </row>
    <row r="30">
      <c r="A30" s="8" t="n"/>
      <c r="B30" s="8" t="n"/>
      <c r="C30" s="8" t="n"/>
      <c r="D30" s="8" t="n"/>
      <c r="E30" s="8" t="n"/>
      <c r="F30" s="6">
        <f>XLOOKUP("LaborRate",Constants!$A$10:$A$60,Constants!$B$10:$B$60)</f>
        <v/>
      </c>
      <c r="G30" s="6">
        <f>XLOOKUP("Markup",Constants!$A$10:$A$60,Constants!$B$10:$B$60)</f>
        <v/>
      </c>
      <c r="H30" s="6">
        <f>IF(OR(D30="",E30=""),"", D30*E30*F30*G30)</f>
        <v/>
      </c>
      <c r="I30" s="8" t="n"/>
    </row>
    <row r="31">
      <c r="A31" s="8" t="n"/>
      <c r="B31" s="8" t="n"/>
      <c r="C31" s="8" t="n"/>
      <c r="D31" s="8" t="n"/>
      <c r="E31" s="8" t="n"/>
      <c r="F31" s="6">
        <f>XLOOKUP("LaborRate",Constants!$A$10:$A$60,Constants!$B$10:$B$60)</f>
        <v/>
      </c>
      <c r="G31" s="6">
        <f>XLOOKUP("Markup",Constants!$A$10:$A$60,Constants!$B$10:$B$60)</f>
        <v/>
      </c>
      <c r="H31" s="6">
        <f>IF(OR(D31="",E31=""),"", D31*E31*F31*G31)</f>
        <v/>
      </c>
      <c r="I31" s="8" t="n"/>
    </row>
    <row r="32">
      <c r="A32" s="8" t="n"/>
      <c r="B32" s="8" t="n"/>
      <c r="C32" s="8" t="n"/>
      <c r="D32" s="8" t="n"/>
      <c r="E32" s="8" t="n"/>
      <c r="F32" s="6">
        <f>XLOOKUP("LaborRate",Constants!$A$10:$A$60,Constants!$B$10:$B$60)</f>
        <v/>
      </c>
      <c r="G32" s="6">
        <f>XLOOKUP("Markup",Constants!$A$10:$A$60,Constants!$B$10:$B$60)</f>
        <v/>
      </c>
      <c r="H32" s="6">
        <f>IF(OR(D32="",E32=""),"", D32*E32*F32*G32)</f>
        <v/>
      </c>
      <c r="I32" s="8" t="n"/>
    </row>
    <row r="33">
      <c r="A33" s="8" t="n"/>
      <c r="B33" s="8" t="n"/>
      <c r="C33" s="8" t="n"/>
      <c r="D33" s="8" t="n"/>
      <c r="E33" s="8" t="n"/>
      <c r="F33" s="6">
        <f>XLOOKUP("LaborRate",Constants!$A$10:$A$60,Constants!$B$10:$B$60)</f>
        <v/>
      </c>
      <c r="G33" s="6">
        <f>XLOOKUP("Markup",Constants!$A$10:$A$60,Constants!$B$10:$B$60)</f>
        <v/>
      </c>
      <c r="H33" s="6">
        <f>IF(OR(D33="",E33=""),"", D33*E33*F33*G33)</f>
        <v/>
      </c>
      <c r="I33" s="8" t="n"/>
    </row>
    <row r="34">
      <c r="A34" s="8" t="n"/>
      <c r="B34" s="8" t="n"/>
      <c r="C34" s="8" t="n"/>
      <c r="D34" s="8" t="n"/>
      <c r="E34" s="8" t="n"/>
      <c r="F34" s="6">
        <f>XLOOKUP("LaborRate",Constants!$A$10:$A$60,Constants!$B$10:$B$60)</f>
        <v/>
      </c>
      <c r="G34" s="6">
        <f>XLOOKUP("Markup",Constants!$A$10:$A$60,Constants!$B$10:$B$60)</f>
        <v/>
      </c>
      <c r="H34" s="6">
        <f>IF(OR(D34="",E34=""),"", D34*E34*F34*G34)</f>
        <v/>
      </c>
      <c r="I34" s="8" t="n"/>
    </row>
    <row r="35">
      <c r="A35" s="8" t="n"/>
      <c r="B35" s="8" t="n"/>
      <c r="C35" s="8" t="n"/>
      <c r="D35" s="8" t="n"/>
      <c r="E35" s="8" t="n"/>
      <c r="F35" s="6">
        <f>XLOOKUP("LaborRate",Constants!$A$10:$A$60,Constants!$B$10:$B$60)</f>
        <v/>
      </c>
      <c r="G35" s="6">
        <f>XLOOKUP("Markup",Constants!$A$10:$A$60,Constants!$B$10:$B$60)</f>
        <v/>
      </c>
      <c r="H35" s="6">
        <f>IF(OR(D35="",E35=""),"", D35*E35*F35*G35)</f>
        <v/>
      </c>
      <c r="I35" s="8" t="n"/>
    </row>
    <row r="36">
      <c r="A36" s="8" t="n"/>
      <c r="B36" s="8" t="n"/>
      <c r="C36" s="8" t="n"/>
      <c r="D36" s="8" t="n"/>
      <c r="E36" s="8" t="n"/>
      <c r="F36" s="6">
        <f>XLOOKUP("LaborRate",Constants!$A$10:$A$60,Constants!$B$10:$B$60)</f>
        <v/>
      </c>
      <c r="G36" s="6">
        <f>XLOOKUP("Markup",Constants!$A$10:$A$60,Constants!$B$10:$B$60)</f>
        <v/>
      </c>
      <c r="H36" s="6">
        <f>IF(OR(D36="",E36=""),"", D36*E36*F36*G36)</f>
        <v/>
      </c>
      <c r="I36" s="8" t="n"/>
    </row>
    <row r="37">
      <c r="A37" s="8" t="n"/>
      <c r="B37" s="8" t="n"/>
      <c r="C37" s="8" t="n"/>
      <c r="D37" s="8" t="n"/>
      <c r="E37" s="8" t="n"/>
      <c r="F37" s="6">
        <f>XLOOKUP("LaborRate",Constants!$A$10:$A$60,Constants!$B$10:$B$60)</f>
        <v/>
      </c>
      <c r="G37" s="6">
        <f>XLOOKUP("Markup",Constants!$A$10:$A$60,Constants!$B$10:$B$60)</f>
        <v/>
      </c>
      <c r="H37" s="6">
        <f>IF(OR(D37="",E37=""),"", D37*E37*F37*G37)</f>
        <v/>
      </c>
      <c r="I37" s="8" t="n"/>
    </row>
    <row r="38">
      <c r="A38" s="8" t="n"/>
      <c r="B38" s="8" t="n"/>
      <c r="C38" s="8" t="n"/>
      <c r="D38" s="8" t="n"/>
      <c r="E38" s="8" t="n"/>
      <c r="F38" s="6">
        <f>XLOOKUP("LaborRate",Constants!$A$10:$A$60,Constants!$B$10:$B$60)</f>
        <v/>
      </c>
      <c r="G38" s="6">
        <f>XLOOKUP("Markup",Constants!$A$10:$A$60,Constants!$B$10:$B$60)</f>
        <v/>
      </c>
      <c r="H38" s="6">
        <f>IF(OR(D38="",E38=""),"", D38*E38*F38*G38)</f>
        <v/>
      </c>
      <c r="I38" s="8" t="n"/>
    </row>
    <row r="39">
      <c r="A39" s="8" t="n"/>
      <c r="B39" s="8" t="n"/>
      <c r="C39" s="8" t="n"/>
      <c r="D39" s="8" t="n"/>
      <c r="E39" s="8" t="n"/>
      <c r="F39" s="6">
        <f>XLOOKUP("LaborRate",Constants!$A$10:$A$60,Constants!$B$10:$B$60)</f>
        <v/>
      </c>
      <c r="G39" s="6">
        <f>XLOOKUP("Markup",Constants!$A$10:$A$60,Constants!$B$10:$B$60)</f>
        <v/>
      </c>
      <c r="H39" s="6">
        <f>IF(OR(D39="",E39=""),"", D39*E39*F39*G39)</f>
        <v/>
      </c>
      <c r="I39" s="8" t="n"/>
    </row>
    <row r="40">
      <c r="A40" s="8" t="n"/>
      <c r="B40" s="8" t="n"/>
      <c r="C40" s="8" t="n"/>
      <c r="D40" s="8" t="n"/>
      <c r="E40" s="8" t="n"/>
      <c r="F40" s="6">
        <f>XLOOKUP("LaborRate",Constants!$A$10:$A$60,Constants!$B$10:$B$60)</f>
        <v/>
      </c>
      <c r="G40" s="6">
        <f>XLOOKUP("Markup",Constants!$A$10:$A$60,Constants!$B$10:$B$60)</f>
        <v/>
      </c>
      <c r="H40" s="6">
        <f>IF(OR(D40="",E40=""),"", D40*E40*F40*G40)</f>
        <v/>
      </c>
      <c r="I40" s="8" t="n"/>
    </row>
    <row r="41">
      <c r="A41" s="8" t="n"/>
      <c r="B41" s="8" t="n"/>
      <c r="C41" s="8" t="n"/>
      <c r="D41" s="8" t="n"/>
      <c r="E41" s="8" t="n"/>
      <c r="F41" s="6">
        <f>XLOOKUP("LaborRate",Constants!$A$10:$A$60,Constants!$B$10:$B$60)</f>
        <v/>
      </c>
      <c r="G41" s="6">
        <f>XLOOKUP("Markup",Constants!$A$10:$A$60,Constants!$B$10:$B$60)</f>
        <v/>
      </c>
      <c r="H41" s="6">
        <f>IF(OR(D41="",E41=""),"", D41*E41*F41*G41)</f>
        <v/>
      </c>
      <c r="I41" s="8" t="n"/>
    </row>
    <row r="42">
      <c r="A42" s="8" t="n"/>
      <c r="B42" s="8" t="n"/>
      <c r="C42" s="8" t="n"/>
      <c r="D42" s="8" t="n"/>
      <c r="E42" s="8" t="n"/>
      <c r="F42" s="6">
        <f>XLOOKUP("LaborRate",Constants!$A$10:$A$60,Constants!$B$10:$B$60)</f>
        <v/>
      </c>
      <c r="G42" s="6">
        <f>XLOOKUP("Markup",Constants!$A$10:$A$60,Constants!$B$10:$B$60)</f>
        <v/>
      </c>
      <c r="H42" s="6">
        <f>IF(OR(D42="",E42=""),"", D42*E42*F42*G42)</f>
        <v/>
      </c>
      <c r="I42" s="8" t="n"/>
    </row>
    <row r="43">
      <c r="A43" s="8" t="n"/>
      <c r="B43" s="8" t="n"/>
      <c r="C43" s="8" t="n"/>
      <c r="D43" s="8" t="n"/>
      <c r="E43" s="8" t="n"/>
      <c r="F43" s="6">
        <f>XLOOKUP("LaborRate",Constants!$A$10:$A$60,Constants!$B$10:$B$60)</f>
        <v/>
      </c>
      <c r="G43" s="6">
        <f>XLOOKUP("Markup",Constants!$A$10:$A$60,Constants!$B$10:$B$60)</f>
        <v/>
      </c>
      <c r="H43" s="6">
        <f>IF(OR(D43="",E43=""),"", D43*E43*F43*G43)</f>
        <v/>
      </c>
      <c r="I43" s="8" t="n"/>
    </row>
    <row r="44">
      <c r="A44" s="8" t="n"/>
      <c r="B44" s="8" t="n"/>
      <c r="C44" s="8" t="n"/>
      <c r="D44" s="8" t="n"/>
      <c r="E44" s="8" t="n"/>
      <c r="F44" s="6">
        <f>XLOOKUP("LaborRate",Constants!$A$10:$A$60,Constants!$B$10:$B$60)</f>
        <v/>
      </c>
      <c r="G44" s="6">
        <f>XLOOKUP("Markup",Constants!$A$10:$A$60,Constants!$B$10:$B$60)</f>
        <v/>
      </c>
      <c r="H44" s="6">
        <f>IF(OR(D44="",E44=""),"", D44*E44*F44*G44)</f>
        <v/>
      </c>
      <c r="I44" s="8" t="n"/>
    </row>
    <row r="45">
      <c r="A45" s="8" t="n"/>
      <c r="B45" s="8" t="n"/>
      <c r="C45" s="8" t="n"/>
      <c r="D45" s="8" t="n"/>
      <c r="E45" s="8" t="n"/>
      <c r="F45" s="6">
        <f>XLOOKUP("LaborRate",Constants!$A$10:$A$60,Constants!$B$10:$B$60)</f>
        <v/>
      </c>
      <c r="G45" s="6">
        <f>XLOOKUP("Markup",Constants!$A$10:$A$60,Constants!$B$10:$B$60)</f>
        <v/>
      </c>
      <c r="H45" s="6">
        <f>IF(OR(D45="",E45=""),"", D45*E45*F45*G45)</f>
        <v/>
      </c>
      <c r="I45" s="8" t="n"/>
    </row>
    <row r="46">
      <c r="A46" s="8" t="n"/>
      <c r="B46" s="8" t="n"/>
      <c r="C46" s="8" t="n"/>
      <c r="D46" s="8" t="n"/>
      <c r="E46" s="8" t="n"/>
      <c r="F46" s="6">
        <f>XLOOKUP("LaborRate",Constants!$A$10:$A$60,Constants!$B$10:$B$60)</f>
        <v/>
      </c>
      <c r="G46" s="6">
        <f>XLOOKUP("Markup",Constants!$A$10:$A$60,Constants!$B$10:$B$60)</f>
        <v/>
      </c>
      <c r="H46" s="6">
        <f>IF(OR(D46="",E46=""),"", D46*E46*F46*G46)</f>
        <v/>
      </c>
      <c r="I46" s="8" t="n"/>
    </row>
    <row r="47">
      <c r="A47" s="8" t="n"/>
      <c r="B47" s="8" t="n"/>
      <c r="C47" s="8" t="n"/>
      <c r="D47" s="8" t="n"/>
      <c r="E47" s="8" t="n"/>
      <c r="F47" s="6">
        <f>XLOOKUP("LaborRate",Constants!$A$10:$A$60,Constants!$B$10:$B$60)</f>
        <v/>
      </c>
      <c r="G47" s="6">
        <f>XLOOKUP("Markup",Constants!$A$10:$A$60,Constants!$B$10:$B$60)</f>
        <v/>
      </c>
      <c r="H47" s="6">
        <f>IF(OR(D47="",E47=""),"", D47*E47*F47*G47)</f>
        <v/>
      </c>
      <c r="I47" s="8" t="n"/>
    </row>
    <row r="48">
      <c r="A48" s="8" t="n"/>
      <c r="B48" s="8" t="n"/>
      <c r="C48" s="8" t="n"/>
      <c r="D48" s="8" t="n"/>
      <c r="E48" s="8" t="n"/>
      <c r="F48" s="6">
        <f>XLOOKUP("LaborRate",Constants!$A$10:$A$60,Constants!$B$10:$B$60)</f>
        <v/>
      </c>
      <c r="G48" s="6">
        <f>XLOOKUP("Markup",Constants!$A$10:$A$60,Constants!$B$10:$B$60)</f>
        <v/>
      </c>
      <c r="H48" s="6">
        <f>IF(OR(D48="",E48=""),"", D48*E48*F48*G48)</f>
        <v/>
      </c>
      <c r="I48" s="8" t="n"/>
    </row>
    <row r="49">
      <c r="A49" s="8" t="n"/>
      <c r="B49" s="8" t="n"/>
      <c r="C49" s="8" t="n"/>
      <c r="D49" s="8" t="n"/>
      <c r="E49" s="8" t="n"/>
      <c r="F49" s="6">
        <f>XLOOKUP("LaborRate",Constants!$A$10:$A$60,Constants!$B$10:$B$60)</f>
        <v/>
      </c>
      <c r="G49" s="6">
        <f>XLOOKUP("Markup",Constants!$A$10:$A$60,Constants!$B$10:$B$60)</f>
        <v/>
      </c>
      <c r="H49" s="6">
        <f>IF(OR(D49="",E49=""),"", D49*E49*F49*G49)</f>
        <v/>
      </c>
      <c r="I49" s="8" t="n"/>
    </row>
    <row r="50">
      <c r="A50" s="8" t="n"/>
      <c r="B50" s="8" t="n"/>
      <c r="C50" s="8" t="n"/>
      <c r="D50" s="8" t="n"/>
      <c r="E50" s="8" t="n"/>
      <c r="F50" s="6">
        <f>XLOOKUP("LaborRate",Constants!$A$10:$A$60,Constants!$B$10:$B$60)</f>
        <v/>
      </c>
      <c r="G50" s="6">
        <f>XLOOKUP("Markup",Constants!$A$10:$A$60,Constants!$B$10:$B$60)</f>
        <v/>
      </c>
      <c r="H50" s="6">
        <f>IF(OR(D50="",E50=""),"", D50*E50*F50*G50)</f>
        <v/>
      </c>
      <c r="I50" s="8" t="n"/>
    </row>
    <row r="51">
      <c r="A51" s="8" t="n"/>
      <c r="B51" s="8" t="n"/>
      <c r="C51" s="8" t="n"/>
      <c r="D51" s="8" t="n"/>
      <c r="E51" s="8" t="n"/>
      <c r="F51" s="6">
        <f>XLOOKUP("LaborRate",Constants!$A$10:$A$60,Constants!$B$10:$B$60)</f>
        <v/>
      </c>
      <c r="G51" s="6">
        <f>XLOOKUP("Markup",Constants!$A$10:$A$60,Constants!$B$10:$B$60)</f>
        <v/>
      </c>
      <c r="H51" s="6">
        <f>IF(OR(D51="",E51=""),"", D51*E51*F51*G51)</f>
        <v/>
      </c>
      <c r="I51" s="8" t="n"/>
    </row>
    <row r="52">
      <c r="A52" s="8" t="n"/>
      <c r="B52" s="8" t="n"/>
      <c r="C52" s="8" t="n"/>
      <c r="D52" s="8" t="n"/>
      <c r="E52" s="8" t="n"/>
      <c r="F52" s="6">
        <f>XLOOKUP("LaborRate",Constants!$A$10:$A$60,Constants!$B$10:$B$60)</f>
        <v/>
      </c>
      <c r="G52" s="6">
        <f>XLOOKUP("Markup",Constants!$A$10:$A$60,Constants!$B$10:$B$60)</f>
        <v/>
      </c>
      <c r="H52" s="6">
        <f>IF(OR(D52="",E52=""),"", D52*E52*F52*G52)</f>
        <v/>
      </c>
      <c r="I52" s="8" t="n"/>
    </row>
    <row r="53">
      <c r="A53" s="8" t="n"/>
      <c r="B53" s="8" t="n"/>
      <c r="C53" s="8" t="n"/>
      <c r="D53" s="8" t="n"/>
      <c r="E53" s="8" t="n"/>
      <c r="F53" s="6">
        <f>XLOOKUP("LaborRate",Constants!$A$10:$A$60,Constants!$B$10:$B$60)</f>
        <v/>
      </c>
      <c r="G53" s="6">
        <f>XLOOKUP("Markup",Constants!$A$10:$A$60,Constants!$B$10:$B$60)</f>
        <v/>
      </c>
      <c r="H53" s="6">
        <f>IF(OR(D53="",E53=""),"", D53*E53*F53*G53)</f>
        <v/>
      </c>
      <c r="I53" s="8" t="n"/>
    </row>
    <row r="54">
      <c r="A54" s="8" t="n"/>
      <c r="B54" s="8" t="n"/>
      <c r="C54" s="8" t="n"/>
      <c r="D54" s="8" t="n"/>
      <c r="E54" s="8" t="n"/>
      <c r="F54" s="6">
        <f>XLOOKUP("LaborRate",Constants!$A$10:$A$60,Constants!$B$10:$B$60)</f>
        <v/>
      </c>
      <c r="G54" s="6">
        <f>XLOOKUP("Markup",Constants!$A$10:$A$60,Constants!$B$10:$B$60)</f>
        <v/>
      </c>
      <c r="H54" s="6">
        <f>IF(OR(D54="",E54=""),"", D54*E54*F54*G54)</f>
        <v/>
      </c>
      <c r="I54" s="8" t="n"/>
    </row>
    <row r="55">
      <c r="A55" s="8" t="n"/>
      <c r="B55" s="8" t="n"/>
      <c r="C55" s="8" t="n"/>
      <c r="D55" s="8" t="n"/>
      <c r="E55" s="8" t="n"/>
      <c r="F55" s="6">
        <f>XLOOKUP("LaborRate",Constants!$A$10:$A$60,Constants!$B$10:$B$60)</f>
        <v/>
      </c>
      <c r="G55" s="6">
        <f>XLOOKUP("Markup",Constants!$A$10:$A$60,Constants!$B$10:$B$60)</f>
        <v/>
      </c>
      <c r="H55" s="6">
        <f>IF(OR(D55="",E55=""),"", D55*E55*F55*G55)</f>
        <v/>
      </c>
      <c r="I55" s="8" t="n"/>
    </row>
    <row r="56">
      <c r="A56" s="8" t="n"/>
      <c r="B56" s="8" t="n"/>
      <c r="C56" s="8" t="n"/>
      <c r="D56" s="8" t="n"/>
      <c r="E56" s="8" t="n"/>
      <c r="F56" s="6">
        <f>XLOOKUP("LaborRate",Constants!$A$10:$A$60,Constants!$B$10:$B$60)</f>
        <v/>
      </c>
      <c r="G56" s="6">
        <f>XLOOKUP("Markup",Constants!$A$10:$A$60,Constants!$B$10:$B$60)</f>
        <v/>
      </c>
      <c r="H56" s="6">
        <f>IF(OR(D56="",E56=""),"", D56*E56*F56*G56)</f>
        <v/>
      </c>
      <c r="I56" s="8" t="n"/>
    </row>
    <row r="57">
      <c r="A57" s="8" t="n"/>
      <c r="B57" s="8" t="n"/>
      <c r="C57" s="8" t="n"/>
      <c r="D57" s="8" t="n"/>
      <c r="E57" s="8" t="n"/>
      <c r="F57" s="6">
        <f>XLOOKUP("LaborRate",Constants!$A$10:$A$60,Constants!$B$10:$B$60)</f>
        <v/>
      </c>
      <c r="G57" s="6">
        <f>XLOOKUP("Markup",Constants!$A$10:$A$60,Constants!$B$10:$B$60)</f>
        <v/>
      </c>
      <c r="H57" s="6">
        <f>IF(OR(D57="",E57=""),"", D57*E57*F57*G57)</f>
        <v/>
      </c>
      <c r="I57" s="8" t="n"/>
    </row>
    <row r="58">
      <c r="A58" s="8" t="n"/>
      <c r="B58" s="8" t="n"/>
      <c r="C58" s="8" t="n"/>
      <c r="D58" s="8" t="n"/>
      <c r="E58" s="8" t="n"/>
      <c r="F58" s="6">
        <f>XLOOKUP("LaborRate",Constants!$A$10:$A$60,Constants!$B$10:$B$60)</f>
        <v/>
      </c>
      <c r="G58" s="6">
        <f>XLOOKUP("Markup",Constants!$A$10:$A$60,Constants!$B$10:$B$60)</f>
        <v/>
      </c>
      <c r="H58" s="6">
        <f>IF(OR(D58="",E58=""),"", D58*E58*F58*G58)</f>
        <v/>
      </c>
      <c r="I58" s="8" t="n"/>
    </row>
    <row r="59">
      <c r="A59" s="8" t="n"/>
      <c r="B59" s="8" t="n"/>
      <c r="C59" s="8" t="n"/>
      <c r="D59" s="8" t="n"/>
      <c r="E59" s="8" t="n"/>
      <c r="F59" s="6">
        <f>XLOOKUP("LaborRate",Constants!$A$10:$A$60,Constants!$B$10:$B$60)</f>
        <v/>
      </c>
      <c r="G59" s="6">
        <f>XLOOKUP("Markup",Constants!$A$10:$A$60,Constants!$B$10:$B$60)</f>
        <v/>
      </c>
      <c r="H59" s="6">
        <f>IF(OR(D59="",E59=""),"", D59*E59*F59*G59)</f>
        <v/>
      </c>
      <c r="I59" s="8" t="n"/>
    </row>
    <row r="60">
      <c r="A60" s="8" t="n"/>
      <c r="B60" s="8" t="n"/>
      <c r="C60" s="8" t="n"/>
      <c r="D60" s="8" t="n"/>
      <c r="E60" s="8" t="n"/>
      <c r="F60" s="6">
        <f>XLOOKUP("LaborRate",Constants!$A$10:$A$60,Constants!$B$10:$B$60)</f>
        <v/>
      </c>
      <c r="G60" s="6">
        <f>XLOOKUP("Markup",Constants!$A$10:$A$60,Constants!$B$10:$B$60)</f>
        <v/>
      </c>
      <c r="H60" s="6">
        <f>IF(OR(D60="",E60=""),"", D60*E60*F60*G60)</f>
        <v/>
      </c>
      <c r="I60" s="8" t="n"/>
    </row>
    <row r="61">
      <c r="A61" s="8" t="n"/>
      <c r="B61" s="8" t="n"/>
      <c r="C61" s="8" t="n"/>
      <c r="D61" s="8" t="n"/>
      <c r="E61" s="8" t="n"/>
      <c r="F61" s="6">
        <f>XLOOKUP("LaborRate",Constants!$A$10:$A$60,Constants!$B$10:$B$60)</f>
        <v/>
      </c>
      <c r="G61" s="6">
        <f>XLOOKUP("Markup",Constants!$A$10:$A$60,Constants!$B$10:$B$60)</f>
        <v/>
      </c>
      <c r="H61" s="6">
        <f>IF(OR(D61="",E61=""),"", D61*E61*F61*G61)</f>
        <v/>
      </c>
      <c r="I61" s="8" t="n"/>
    </row>
    <row r="62">
      <c r="A62" s="8" t="n"/>
      <c r="B62" s="8" t="n"/>
      <c r="C62" s="8" t="n"/>
      <c r="D62" s="8" t="n"/>
      <c r="E62" s="8" t="n"/>
      <c r="F62" s="6">
        <f>XLOOKUP("LaborRate",Constants!$A$10:$A$60,Constants!$B$10:$B$60)</f>
        <v/>
      </c>
      <c r="G62" s="6">
        <f>XLOOKUP("Markup",Constants!$A$10:$A$60,Constants!$B$10:$B$60)</f>
        <v/>
      </c>
      <c r="H62" s="6">
        <f>IF(OR(D62="",E62=""),"", D62*E62*F62*G62)</f>
        <v/>
      </c>
      <c r="I62" s="8" t="n"/>
    </row>
    <row r="63">
      <c r="A63" s="8" t="n"/>
      <c r="B63" s="8" t="n"/>
      <c r="C63" s="8" t="n"/>
      <c r="D63" s="8" t="n"/>
      <c r="E63" s="8" t="n"/>
      <c r="F63" s="6">
        <f>XLOOKUP("LaborRate",Constants!$A$10:$A$60,Constants!$B$10:$B$60)</f>
        <v/>
      </c>
      <c r="G63" s="6">
        <f>XLOOKUP("Markup",Constants!$A$10:$A$60,Constants!$B$10:$B$60)</f>
        <v/>
      </c>
      <c r="H63" s="6">
        <f>IF(OR(D63="",E63=""),"", D63*E63*F63*G63)</f>
        <v/>
      </c>
      <c r="I63" s="8" t="n"/>
    </row>
    <row r="64">
      <c r="A64" s="8" t="n"/>
      <c r="B64" s="8" t="n"/>
      <c r="C64" s="8" t="n"/>
      <c r="D64" s="8" t="n"/>
      <c r="E64" s="8" t="n"/>
      <c r="F64" s="6">
        <f>XLOOKUP("LaborRate",Constants!$A$10:$A$60,Constants!$B$10:$B$60)</f>
        <v/>
      </c>
      <c r="G64" s="6">
        <f>XLOOKUP("Markup",Constants!$A$10:$A$60,Constants!$B$10:$B$60)</f>
        <v/>
      </c>
      <c r="H64" s="6">
        <f>IF(OR(D64="",E64=""),"", D64*E64*F64*G64)</f>
        <v/>
      </c>
      <c r="I64" s="8" t="n"/>
    </row>
    <row r="65">
      <c r="A65" s="8" t="n"/>
      <c r="B65" s="8" t="n"/>
      <c r="C65" s="8" t="n"/>
      <c r="D65" s="8" t="n"/>
      <c r="E65" s="8" t="n"/>
      <c r="F65" s="6">
        <f>XLOOKUP("LaborRate",Constants!$A$10:$A$60,Constants!$B$10:$B$60)</f>
        <v/>
      </c>
      <c r="G65" s="6">
        <f>XLOOKUP("Markup",Constants!$A$10:$A$60,Constants!$B$10:$B$60)</f>
        <v/>
      </c>
      <c r="H65" s="6">
        <f>IF(OR(D65="",E65=""),"", D65*E65*F65*G65)</f>
        <v/>
      </c>
      <c r="I65" s="8" t="n"/>
    </row>
    <row r="66">
      <c r="A66" s="8" t="n"/>
      <c r="B66" s="8" t="n"/>
      <c r="C66" s="8" t="n"/>
      <c r="D66" s="8" t="n"/>
      <c r="E66" s="8" t="n"/>
      <c r="F66" s="6">
        <f>XLOOKUP("LaborRate",Constants!$A$10:$A$60,Constants!$B$10:$B$60)</f>
        <v/>
      </c>
      <c r="G66" s="6">
        <f>XLOOKUP("Markup",Constants!$A$10:$A$60,Constants!$B$10:$B$60)</f>
        <v/>
      </c>
      <c r="H66" s="6">
        <f>IF(OR(D66="",E66=""),"", D66*E66*F66*G66)</f>
        <v/>
      </c>
      <c r="I66" s="8" t="n"/>
    </row>
    <row r="67">
      <c r="A67" s="8" t="n"/>
      <c r="B67" s="8" t="n"/>
      <c r="C67" s="8" t="n"/>
      <c r="D67" s="8" t="n"/>
      <c r="E67" s="8" t="n"/>
      <c r="F67" s="6">
        <f>XLOOKUP("LaborRate",Constants!$A$10:$A$60,Constants!$B$10:$B$60)</f>
        <v/>
      </c>
      <c r="G67" s="6">
        <f>XLOOKUP("Markup",Constants!$A$10:$A$60,Constants!$B$10:$B$60)</f>
        <v/>
      </c>
      <c r="H67" s="6">
        <f>IF(OR(D67="",E67=""),"", D67*E67*F67*G67)</f>
        <v/>
      </c>
      <c r="I67" s="8" t="n"/>
    </row>
    <row r="68">
      <c r="A68" s="8" t="n"/>
      <c r="B68" s="8" t="n"/>
      <c r="C68" s="8" t="n"/>
      <c r="D68" s="8" t="n"/>
      <c r="E68" s="8" t="n"/>
      <c r="F68" s="6">
        <f>XLOOKUP("LaborRate",Constants!$A$10:$A$60,Constants!$B$10:$B$60)</f>
        <v/>
      </c>
      <c r="G68" s="6">
        <f>XLOOKUP("Markup",Constants!$A$10:$A$60,Constants!$B$10:$B$60)</f>
        <v/>
      </c>
      <c r="H68" s="6">
        <f>IF(OR(D68="",E68=""),"", D68*E68*F68*G68)</f>
        <v/>
      </c>
      <c r="I68" s="8" t="n"/>
    </row>
    <row r="69">
      <c r="A69" s="8" t="n"/>
      <c r="B69" s="8" t="n"/>
      <c r="C69" s="8" t="n"/>
      <c r="D69" s="8" t="n"/>
      <c r="E69" s="8" t="n"/>
      <c r="F69" s="6">
        <f>XLOOKUP("LaborRate",Constants!$A$10:$A$60,Constants!$B$10:$B$60)</f>
        <v/>
      </c>
      <c r="G69" s="6">
        <f>XLOOKUP("Markup",Constants!$A$10:$A$60,Constants!$B$10:$B$60)</f>
        <v/>
      </c>
      <c r="H69" s="6">
        <f>IF(OR(D69="",E69=""),"", D69*E69*F69*G69)</f>
        <v/>
      </c>
      <c r="I69" s="8" t="n"/>
    </row>
    <row r="70">
      <c r="A70" s="8" t="n"/>
      <c r="B70" s="8" t="n"/>
      <c r="C70" s="8" t="n"/>
      <c r="D70" s="8" t="n"/>
      <c r="E70" s="8" t="n"/>
      <c r="F70" s="6">
        <f>XLOOKUP("LaborRate",Constants!$A$10:$A$60,Constants!$B$10:$B$60)</f>
        <v/>
      </c>
      <c r="G70" s="6">
        <f>XLOOKUP("Markup",Constants!$A$10:$A$60,Constants!$B$10:$B$60)</f>
        <v/>
      </c>
      <c r="H70" s="6">
        <f>IF(OR(D70="",E70=""),"", D70*E70*F70*G70)</f>
        <v/>
      </c>
      <c r="I70" s="8" t="n"/>
    </row>
    <row r="71">
      <c r="A71" s="8" t="n"/>
      <c r="B71" s="8" t="n"/>
      <c r="C71" s="8" t="n"/>
      <c r="D71" s="8" t="n"/>
      <c r="E71" s="8" t="n"/>
      <c r="F71" s="6">
        <f>XLOOKUP("LaborRate",Constants!$A$10:$A$60,Constants!$B$10:$B$60)</f>
        <v/>
      </c>
      <c r="G71" s="6">
        <f>XLOOKUP("Markup",Constants!$A$10:$A$60,Constants!$B$10:$B$60)</f>
        <v/>
      </c>
      <c r="H71" s="6">
        <f>IF(OR(D71="",E71=""),"", D71*E71*F71*G71)</f>
        <v/>
      </c>
      <c r="I71" s="8" t="n"/>
    </row>
    <row r="72">
      <c r="A72" s="8" t="n"/>
      <c r="B72" s="8" t="n"/>
      <c r="C72" s="8" t="n"/>
      <c r="D72" s="8" t="n"/>
      <c r="E72" s="8" t="n"/>
      <c r="F72" s="6">
        <f>XLOOKUP("LaborRate",Constants!$A$10:$A$60,Constants!$B$10:$B$60)</f>
        <v/>
      </c>
      <c r="G72" s="6">
        <f>XLOOKUP("Markup",Constants!$A$10:$A$60,Constants!$B$10:$B$60)</f>
        <v/>
      </c>
      <c r="H72" s="6">
        <f>IF(OR(D72="",E72=""),"", D72*E72*F72*G72)</f>
        <v/>
      </c>
      <c r="I72" s="8" t="n"/>
    </row>
    <row r="73">
      <c r="A73" s="8" t="n"/>
      <c r="B73" s="8" t="n"/>
      <c r="C73" s="8" t="n"/>
      <c r="D73" s="8" t="n"/>
      <c r="E73" s="8" t="n"/>
      <c r="F73" s="6">
        <f>XLOOKUP("LaborRate",Constants!$A$10:$A$60,Constants!$B$10:$B$60)</f>
        <v/>
      </c>
      <c r="G73" s="6">
        <f>XLOOKUP("Markup",Constants!$A$10:$A$60,Constants!$B$10:$B$60)</f>
        <v/>
      </c>
      <c r="H73" s="6">
        <f>IF(OR(D73="",E73=""),"", D73*E73*F73*G73)</f>
        <v/>
      </c>
      <c r="I73" s="8" t="n"/>
    </row>
    <row r="74">
      <c r="A74" s="8" t="n"/>
      <c r="B74" s="8" t="n"/>
      <c r="C74" s="8" t="n"/>
      <c r="D74" s="8" t="n"/>
      <c r="E74" s="8" t="n"/>
      <c r="F74" s="6">
        <f>XLOOKUP("LaborRate",Constants!$A$10:$A$60,Constants!$B$10:$B$60)</f>
        <v/>
      </c>
      <c r="G74" s="6">
        <f>XLOOKUP("Markup",Constants!$A$10:$A$60,Constants!$B$10:$B$60)</f>
        <v/>
      </c>
      <c r="H74" s="6">
        <f>IF(OR(D74="",E74=""),"", D74*E74*F74*G74)</f>
        <v/>
      </c>
      <c r="I74" s="8" t="n"/>
    </row>
    <row r="75">
      <c r="A75" s="8" t="n"/>
      <c r="B75" s="8" t="n"/>
      <c r="C75" s="8" t="n"/>
      <c r="D75" s="8" t="n"/>
      <c r="E75" s="8" t="n"/>
      <c r="F75" s="6">
        <f>XLOOKUP("LaborRate",Constants!$A$10:$A$60,Constants!$B$10:$B$60)</f>
        <v/>
      </c>
      <c r="G75" s="6">
        <f>XLOOKUP("Markup",Constants!$A$10:$A$60,Constants!$B$10:$B$60)</f>
        <v/>
      </c>
      <c r="H75" s="6">
        <f>IF(OR(D75="",E75=""),"", D75*E75*F75*G75)</f>
        <v/>
      </c>
      <c r="I75" s="8" t="n"/>
    </row>
    <row r="76">
      <c r="A76" s="8" t="n"/>
      <c r="B76" s="8" t="n"/>
      <c r="C76" s="8" t="n"/>
      <c r="D76" s="8" t="n"/>
      <c r="E76" s="8" t="n"/>
      <c r="F76" s="6">
        <f>XLOOKUP("LaborRate",Constants!$A$10:$A$60,Constants!$B$10:$B$60)</f>
        <v/>
      </c>
      <c r="G76" s="6">
        <f>XLOOKUP("Markup",Constants!$A$10:$A$60,Constants!$B$10:$B$60)</f>
        <v/>
      </c>
      <c r="H76" s="6">
        <f>IF(OR(D76="",E76=""),"", D76*E76*F76*G76)</f>
        <v/>
      </c>
      <c r="I76" s="8" t="n"/>
    </row>
    <row r="77">
      <c r="A77" s="8" t="n"/>
      <c r="B77" s="8" t="n"/>
      <c r="C77" s="8" t="n"/>
      <c r="D77" s="8" t="n"/>
      <c r="E77" s="8" t="n"/>
      <c r="F77" s="6">
        <f>XLOOKUP("LaborRate",Constants!$A$10:$A$60,Constants!$B$10:$B$60)</f>
        <v/>
      </c>
      <c r="G77" s="6">
        <f>XLOOKUP("Markup",Constants!$A$10:$A$60,Constants!$B$10:$B$60)</f>
        <v/>
      </c>
      <c r="H77" s="6">
        <f>IF(OR(D77="",E77=""),"", D77*E77*F77*G77)</f>
        <v/>
      </c>
      <c r="I77" s="8" t="n"/>
    </row>
    <row r="78">
      <c r="A78" s="8" t="n"/>
      <c r="B78" s="8" t="n"/>
      <c r="C78" s="8" t="n"/>
      <c r="D78" s="8" t="n"/>
      <c r="E78" s="8" t="n"/>
      <c r="F78" s="6">
        <f>XLOOKUP("LaborRate",Constants!$A$10:$A$60,Constants!$B$10:$B$60)</f>
        <v/>
      </c>
      <c r="G78" s="6">
        <f>XLOOKUP("Markup",Constants!$A$10:$A$60,Constants!$B$10:$B$60)</f>
        <v/>
      </c>
      <c r="H78" s="6">
        <f>IF(OR(D78="",E78=""),"", D78*E78*F78*G78)</f>
        <v/>
      </c>
      <c r="I78" s="8" t="n"/>
    </row>
    <row r="79">
      <c r="A79" s="8" t="n"/>
      <c r="B79" s="8" t="n"/>
      <c r="C79" s="8" t="n"/>
      <c r="D79" s="8" t="n"/>
      <c r="E79" s="8" t="n"/>
      <c r="F79" s="6">
        <f>XLOOKUP("LaborRate",Constants!$A$10:$A$60,Constants!$B$10:$B$60)</f>
        <v/>
      </c>
      <c r="G79" s="6">
        <f>XLOOKUP("Markup",Constants!$A$10:$A$60,Constants!$B$10:$B$60)</f>
        <v/>
      </c>
      <c r="H79" s="6">
        <f>IF(OR(D79="",E79=""),"", D79*E79*F79*G79)</f>
        <v/>
      </c>
      <c r="I79" s="8" t="n"/>
    </row>
    <row r="80">
      <c r="A80" s="8" t="n"/>
      <c r="B80" s="8" t="n"/>
      <c r="C80" s="8" t="n"/>
      <c r="D80" s="8" t="n"/>
      <c r="E80" s="8" t="n"/>
      <c r="F80" s="6">
        <f>XLOOKUP("LaborRate",Constants!$A$10:$A$60,Constants!$B$10:$B$60)</f>
        <v/>
      </c>
      <c r="G80" s="6">
        <f>XLOOKUP("Markup",Constants!$A$10:$A$60,Constants!$B$10:$B$60)</f>
        <v/>
      </c>
      <c r="H80" s="6">
        <f>IF(OR(D80="",E80=""),"", D80*E80*F80*G80)</f>
        <v/>
      </c>
      <c r="I80" s="8" t="n"/>
    </row>
    <row r="81">
      <c r="A81" s="8" t="n"/>
      <c r="B81" s="8" t="n"/>
      <c r="C81" s="8" t="n"/>
      <c r="D81" s="8" t="n"/>
      <c r="E81" s="8" t="n"/>
      <c r="F81" s="6">
        <f>XLOOKUP("LaborRate",Constants!$A$10:$A$60,Constants!$B$10:$B$60)</f>
        <v/>
      </c>
      <c r="G81" s="6">
        <f>XLOOKUP("Markup",Constants!$A$10:$A$60,Constants!$B$10:$B$60)</f>
        <v/>
      </c>
      <c r="H81" s="6">
        <f>IF(OR(D81="",E81=""),"", D81*E81*F81*G81)</f>
        <v/>
      </c>
      <c r="I81" s="8" t="n"/>
    </row>
    <row r="82">
      <c r="A82" s="8" t="n"/>
      <c r="B82" s="8" t="n"/>
      <c r="C82" s="8" t="n"/>
      <c r="D82" s="8" t="n"/>
      <c r="E82" s="8" t="n"/>
      <c r="F82" s="6">
        <f>XLOOKUP("LaborRate",Constants!$A$10:$A$60,Constants!$B$10:$B$60)</f>
        <v/>
      </c>
      <c r="G82" s="6">
        <f>XLOOKUP("Markup",Constants!$A$10:$A$60,Constants!$B$10:$B$60)</f>
        <v/>
      </c>
      <c r="H82" s="6">
        <f>IF(OR(D82="",E82=""),"", D82*E82*F82*G82)</f>
        <v/>
      </c>
      <c r="I82" s="8" t="n"/>
    </row>
    <row r="83">
      <c r="A83" s="8" t="n"/>
      <c r="B83" s="8" t="n"/>
      <c r="C83" s="8" t="n"/>
      <c r="D83" s="8" t="n"/>
      <c r="E83" s="8" t="n"/>
      <c r="F83" s="6">
        <f>XLOOKUP("LaborRate",Constants!$A$10:$A$60,Constants!$B$10:$B$60)</f>
        <v/>
      </c>
      <c r="G83" s="6">
        <f>XLOOKUP("Markup",Constants!$A$10:$A$60,Constants!$B$10:$B$60)</f>
        <v/>
      </c>
      <c r="H83" s="6">
        <f>IF(OR(D83="",E83=""),"", D83*E83*F83*G83)</f>
        <v/>
      </c>
      <c r="I83" s="8" t="n"/>
    </row>
    <row r="84">
      <c r="A84" s="8" t="n"/>
      <c r="B84" s="8" t="n"/>
      <c r="C84" s="8" t="n"/>
      <c r="D84" s="8" t="n"/>
      <c r="E84" s="8" t="n"/>
      <c r="F84" s="6">
        <f>XLOOKUP("LaborRate",Constants!$A$10:$A$60,Constants!$B$10:$B$60)</f>
        <v/>
      </c>
      <c r="G84" s="6">
        <f>XLOOKUP("Markup",Constants!$A$10:$A$60,Constants!$B$10:$B$60)</f>
        <v/>
      </c>
      <c r="H84" s="6">
        <f>IF(OR(D84="",E84=""),"", D84*E84*F84*G84)</f>
        <v/>
      </c>
      <c r="I84" s="8" t="n"/>
    </row>
    <row r="85">
      <c r="A85" s="8" t="n"/>
      <c r="B85" s="8" t="n"/>
      <c r="C85" s="8" t="n"/>
      <c r="D85" s="8" t="n"/>
      <c r="E85" s="8" t="n"/>
      <c r="F85" s="6">
        <f>XLOOKUP("LaborRate",Constants!$A$10:$A$60,Constants!$B$10:$B$60)</f>
        <v/>
      </c>
      <c r="G85" s="6">
        <f>XLOOKUP("Markup",Constants!$A$10:$A$60,Constants!$B$10:$B$60)</f>
        <v/>
      </c>
      <c r="H85" s="6">
        <f>IF(OR(D85="",E85=""),"", D85*E85*F85*G85)</f>
        <v/>
      </c>
      <c r="I85" s="8" t="n"/>
    </row>
    <row r="86">
      <c r="A86" s="8" t="n"/>
      <c r="B86" s="8" t="n"/>
      <c r="C86" s="8" t="n"/>
      <c r="D86" s="8" t="n"/>
      <c r="E86" s="8" t="n"/>
      <c r="F86" s="6">
        <f>XLOOKUP("LaborRate",Constants!$A$10:$A$60,Constants!$B$10:$B$60)</f>
        <v/>
      </c>
      <c r="G86" s="6">
        <f>XLOOKUP("Markup",Constants!$A$10:$A$60,Constants!$B$10:$B$60)</f>
        <v/>
      </c>
      <c r="H86" s="6">
        <f>IF(OR(D86="",E86=""),"", D86*E86*F86*G86)</f>
        <v/>
      </c>
      <c r="I86" s="8" t="n"/>
    </row>
    <row r="87">
      <c r="A87" s="8" t="n"/>
      <c r="B87" s="8" t="n"/>
      <c r="C87" s="8" t="n"/>
      <c r="D87" s="8" t="n"/>
      <c r="E87" s="8" t="n"/>
      <c r="F87" s="6">
        <f>XLOOKUP("LaborRate",Constants!$A$10:$A$60,Constants!$B$10:$B$60)</f>
        <v/>
      </c>
      <c r="G87" s="6">
        <f>XLOOKUP("Markup",Constants!$A$10:$A$60,Constants!$B$10:$B$60)</f>
        <v/>
      </c>
      <c r="H87" s="6">
        <f>IF(OR(D87="",E87=""),"", D87*E87*F87*G87)</f>
        <v/>
      </c>
      <c r="I87" s="8" t="n"/>
    </row>
    <row r="88">
      <c r="A88" s="8" t="n"/>
      <c r="B88" s="8" t="n"/>
      <c r="C88" s="8" t="n"/>
      <c r="D88" s="8" t="n"/>
      <c r="E88" s="8" t="n"/>
      <c r="F88" s="6">
        <f>XLOOKUP("LaborRate",Constants!$A$10:$A$60,Constants!$B$10:$B$60)</f>
        <v/>
      </c>
      <c r="G88" s="6">
        <f>XLOOKUP("Markup",Constants!$A$10:$A$60,Constants!$B$10:$B$60)</f>
        <v/>
      </c>
      <c r="H88" s="6">
        <f>IF(OR(D88="",E88=""),"", D88*E88*F88*G88)</f>
        <v/>
      </c>
      <c r="I88" s="8" t="n"/>
    </row>
    <row r="89">
      <c r="A89" s="8" t="n"/>
      <c r="B89" s="8" t="n"/>
      <c r="C89" s="8" t="n"/>
      <c r="D89" s="8" t="n"/>
      <c r="E89" s="8" t="n"/>
      <c r="F89" s="6">
        <f>XLOOKUP("LaborRate",Constants!$A$10:$A$60,Constants!$B$10:$B$60)</f>
        <v/>
      </c>
      <c r="G89" s="6">
        <f>XLOOKUP("Markup",Constants!$A$10:$A$60,Constants!$B$10:$B$60)</f>
        <v/>
      </c>
      <c r="H89" s="6">
        <f>IF(OR(D89="",E89=""),"", D89*E89*F89*G89)</f>
        <v/>
      </c>
      <c r="I89" s="8" t="n"/>
    </row>
    <row r="90">
      <c r="A90" s="8" t="n"/>
      <c r="B90" s="8" t="n"/>
      <c r="C90" s="8" t="n"/>
      <c r="D90" s="8" t="n"/>
      <c r="E90" s="8" t="n"/>
      <c r="F90" s="6">
        <f>XLOOKUP("LaborRate",Constants!$A$10:$A$60,Constants!$B$10:$B$60)</f>
        <v/>
      </c>
      <c r="G90" s="6">
        <f>XLOOKUP("Markup",Constants!$A$10:$A$60,Constants!$B$10:$B$60)</f>
        <v/>
      </c>
      <c r="H90" s="6">
        <f>IF(OR(D90="",E90=""),"", D90*E90*F90*G90)</f>
        <v/>
      </c>
      <c r="I90" s="8" t="n"/>
    </row>
    <row r="91">
      <c r="A91" s="8" t="n"/>
      <c r="B91" s="8" t="n"/>
      <c r="C91" s="8" t="n"/>
      <c r="D91" s="8" t="n"/>
      <c r="E91" s="8" t="n"/>
      <c r="F91" s="6">
        <f>XLOOKUP("LaborRate",Constants!$A$10:$A$60,Constants!$B$10:$B$60)</f>
        <v/>
      </c>
      <c r="G91" s="6">
        <f>XLOOKUP("Markup",Constants!$A$10:$A$60,Constants!$B$10:$B$60)</f>
        <v/>
      </c>
      <c r="H91" s="6">
        <f>IF(OR(D91="",E91=""),"", D91*E91*F91*G91)</f>
        <v/>
      </c>
      <c r="I91" s="8" t="n"/>
    </row>
    <row r="92">
      <c r="A92" s="8" t="n"/>
      <c r="B92" s="8" t="n"/>
      <c r="C92" s="8" t="n"/>
      <c r="D92" s="8" t="n"/>
      <c r="E92" s="8" t="n"/>
      <c r="F92" s="6">
        <f>XLOOKUP("LaborRate",Constants!$A$10:$A$60,Constants!$B$10:$B$60)</f>
        <v/>
      </c>
      <c r="G92" s="6">
        <f>XLOOKUP("Markup",Constants!$A$10:$A$60,Constants!$B$10:$B$60)</f>
        <v/>
      </c>
      <c r="H92" s="6">
        <f>IF(OR(D92="",E92=""),"", D92*E92*F92*G92)</f>
        <v/>
      </c>
      <c r="I92" s="8" t="n"/>
    </row>
    <row r="93">
      <c r="A93" s="8" t="n"/>
      <c r="B93" s="8" t="n"/>
      <c r="C93" s="8" t="n"/>
      <c r="D93" s="8" t="n"/>
      <c r="E93" s="8" t="n"/>
      <c r="F93" s="6">
        <f>XLOOKUP("LaborRate",Constants!$A$10:$A$60,Constants!$B$10:$B$60)</f>
        <v/>
      </c>
      <c r="G93" s="6">
        <f>XLOOKUP("Markup",Constants!$A$10:$A$60,Constants!$B$10:$B$60)</f>
        <v/>
      </c>
      <c r="H93" s="6">
        <f>IF(OR(D93="",E93=""),"", D93*E93*F93*G93)</f>
        <v/>
      </c>
      <c r="I93" s="8" t="n"/>
    </row>
    <row r="94">
      <c r="A94" s="8" t="n"/>
      <c r="B94" s="8" t="n"/>
      <c r="C94" s="8" t="n"/>
      <c r="D94" s="8" t="n"/>
      <c r="E94" s="8" t="n"/>
      <c r="F94" s="6">
        <f>XLOOKUP("LaborRate",Constants!$A$10:$A$60,Constants!$B$10:$B$60)</f>
        <v/>
      </c>
      <c r="G94" s="6">
        <f>XLOOKUP("Markup",Constants!$A$10:$A$60,Constants!$B$10:$B$60)</f>
        <v/>
      </c>
      <c r="H94" s="6">
        <f>IF(OR(D94="",E94=""),"", D94*E94*F94*G94)</f>
        <v/>
      </c>
      <c r="I94" s="8" t="n"/>
    </row>
    <row r="95">
      <c r="A95" s="8" t="n"/>
      <c r="B95" s="8" t="n"/>
      <c r="C95" s="8" t="n"/>
      <c r="D95" s="8" t="n"/>
      <c r="E95" s="8" t="n"/>
      <c r="F95" s="6">
        <f>XLOOKUP("LaborRate",Constants!$A$10:$A$60,Constants!$B$10:$B$60)</f>
        <v/>
      </c>
      <c r="G95" s="6">
        <f>XLOOKUP("Markup",Constants!$A$10:$A$60,Constants!$B$10:$B$60)</f>
        <v/>
      </c>
      <c r="H95" s="6">
        <f>IF(OR(D95="",E95=""),"", D95*E95*F95*G95)</f>
        <v/>
      </c>
      <c r="I95" s="8" t="n"/>
    </row>
    <row r="96">
      <c r="A96" s="8" t="n"/>
      <c r="B96" s="8" t="n"/>
      <c r="C96" s="8" t="n"/>
      <c r="D96" s="8" t="n"/>
      <c r="E96" s="8" t="n"/>
      <c r="F96" s="6">
        <f>XLOOKUP("LaborRate",Constants!$A$10:$A$60,Constants!$B$10:$B$60)</f>
        <v/>
      </c>
      <c r="G96" s="6">
        <f>XLOOKUP("Markup",Constants!$A$10:$A$60,Constants!$B$10:$B$60)</f>
        <v/>
      </c>
      <c r="H96" s="6">
        <f>IF(OR(D96="",E96=""),"", D96*E96*F96*G96)</f>
        <v/>
      </c>
      <c r="I96" s="8" t="n"/>
    </row>
    <row r="97">
      <c r="A97" s="8" t="n"/>
      <c r="B97" s="8" t="n"/>
      <c r="C97" s="8" t="n"/>
      <c r="D97" s="8" t="n"/>
      <c r="E97" s="8" t="n"/>
      <c r="F97" s="6">
        <f>XLOOKUP("LaborRate",Constants!$A$10:$A$60,Constants!$B$10:$B$60)</f>
        <v/>
      </c>
      <c r="G97" s="6">
        <f>XLOOKUP("Markup",Constants!$A$10:$A$60,Constants!$B$10:$B$60)</f>
        <v/>
      </c>
      <c r="H97" s="6">
        <f>IF(OR(D97="",E97=""),"", D97*E97*F97*G97)</f>
        <v/>
      </c>
      <c r="I97" s="8" t="n"/>
    </row>
    <row r="98">
      <c r="A98" s="8" t="n"/>
      <c r="B98" s="8" t="n"/>
      <c r="C98" s="8" t="n"/>
      <c r="D98" s="8" t="n"/>
      <c r="E98" s="8" t="n"/>
      <c r="F98" s="6">
        <f>XLOOKUP("LaborRate",Constants!$A$10:$A$60,Constants!$B$10:$B$60)</f>
        <v/>
      </c>
      <c r="G98" s="6">
        <f>XLOOKUP("Markup",Constants!$A$10:$A$60,Constants!$B$10:$B$60)</f>
        <v/>
      </c>
      <c r="H98" s="6">
        <f>IF(OR(D98="",E98=""),"", D98*E98*F98*G98)</f>
        <v/>
      </c>
      <c r="I98" s="8" t="n"/>
    </row>
    <row r="99">
      <c r="A99" s="8" t="n"/>
      <c r="B99" s="8" t="n"/>
      <c r="C99" s="8" t="n"/>
      <c r="D99" s="8" t="n"/>
      <c r="E99" s="8" t="n"/>
      <c r="F99" s="6">
        <f>XLOOKUP("LaborRate",Constants!$A$10:$A$60,Constants!$B$10:$B$60)</f>
        <v/>
      </c>
      <c r="G99" s="6">
        <f>XLOOKUP("Markup",Constants!$A$10:$A$60,Constants!$B$10:$B$60)</f>
        <v/>
      </c>
      <c r="H99" s="6">
        <f>IF(OR(D99="",E99=""),"", D99*E99*F99*G99)</f>
        <v/>
      </c>
      <c r="I99" s="8" t="n"/>
    </row>
    <row r="100">
      <c r="A100" s="8" t="n"/>
      <c r="B100" s="8" t="n"/>
      <c r="C100" s="8" t="n"/>
      <c r="D100" s="8" t="n"/>
      <c r="E100" s="8" t="n"/>
      <c r="F100" s="6">
        <f>XLOOKUP("LaborRate",Constants!$A$10:$A$60,Constants!$B$10:$B$60)</f>
        <v/>
      </c>
      <c r="G100" s="6">
        <f>XLOOKUP("Markup",Constants!$A$10:$A$60,Constants!$B$10:$B$60)</f>
        <v/>
      </c>
      <c r="H100" s="6">
        <f>IF(OR(D100="",E100=""),"", D100*E100*F100*G100)</f>
        <v/>
      </c>
      <c r="I100" s="8" t="n"/>
    </row>
    <row r="101">
      <c r="A101" s="8" t="n"/>
      <c r="B101" s="8" t="n"/>
      <c r="C101" s="8" t="n"/>
      <c r="D101" s="8" t="n"/>
      <c r="E101" s="8" t="n"/>
      <c r="F101" s="6">
        <f>XLOOKUP("LaborRate",Constants!$A$10:$A$60,Constants!$B$10:$B$60)</f>
        <v/>
      </c>
      <c r="G101" s="6">
        <f>XLOOKUP("Markup",Constants!$A$10:$A$60,Constants!$B$10:$B$60)</f>
        <v/>
      </c>
      <c r="H101" s="6">
        <f>IF(OR(D101="",E101=""),"", D101*E101*F101*G101)</f>
        <v/>
      </c>
      <c r="I101" s="8" t="n"/>
    </row>
    <row r="102">
      <c r="A102" s="8" t="n"/>
      <c r="B102" s="8" t="n"/>
      <c r="C102" s="8" t="n"/>
      <c r="D102" s="8" t="n"/>
      <c r="E102" s="8" t="n"/>
      <c r="F102" s="6">
        <f>XLOOKUP("LaborRate",Constants!$A$10:$A$60,Constants!$B$10:$B$60)</f>
        <v/>
      </c>
      <c r="G102" s="6">
        <f>XLOOKUP("Markup",Constants!$A$10:$A$60,Constants!$B$10:$B$60)</f>
        <v/>
      </c>
      <c r="H102" s="6">
        <f>IF(OR(D102="",E102=""),"", D102*E102*F102*G102)</f>
        <v/>
      </c>
      <c r="I102" s="8" t="n"/>
    </row>
    <row r="103">
      <c r="A103" s="8" t="n"/>
      <c r="B103" s="8" t="n"/>
      <c r="C103" s="8" t="n"/>
      <c r="D103" s="8" t="n"/>
      <c r="E103" s="8" t="n"/>
      <c r="F103" s="6">
        <f>XLOOKUP("LaborRate",Constants!$A$10:$A$60,Constants!$B$10:$B$60)</f>
        <v/>
      </c>
      <c r="G103" s="6">
        <f>XLOOKUP("Markup",Constants!$A$10:$A$60,Constants!$B$10:$B$60)</f>
        <v/>
      </c>
      <c r="H103" s="6">
        <f>IF(OR(D103="",E103=""),"", D103*E103*F103*G103)</f>
        <v/>
      </c>
      <c r="I103" s="8" t="n"/>
    </row>
    <row r="104">
      <c r="A104" s="8" t="n"/>
      <c r="B104" s="8" t="n"/>
      <c r="C104" s="8" t="n"/>
      <c r="D104" s="8" t="n"/>
      <c r="E104" s="8" t="n"/>
      <c r="F104" s="6">
        <f>XLOOKUP("LaborRate",Constants!$A$10:$A$60,Constants!$B$10:$B$60)</f>
        <v/>
      </c>
      <c r="G104" s="6">
        <f>XLOOKUP("Markup",Constants!$A$10:$A$60,Constants!$B$10:$B$60)</f>
        <v/>
      </c>
      <c r="H104" s="6">
        <f>IF(OR(D104="",E104=""),"", D104*E104*F104*G104)</f>
        <v/>
      </c>
      <c r="I104" s="8" t="n"/>
    </row>
    <row r="105">
      <c r="A105" s="8" t="n"/>
      <c r="B105" s="8" t="n"/>
      <c r="C105" s="8" t="n"/>
      <c r="D105" s="8" t="n"/>
      <c r="E105" s="8" t="n"/>
      <c r="F105" s="6">
        <f>XLOOKUP("LaborRate",Constants!$A$10:$A$60,Constants!$B$10:$B$60)</f>
        <v/>
      </c>
      <c r="G105" s="6">
        <f>XLOOKUP("Markup",Constants!$A$10:$A$60,Constants!$B$10:$B$60)</f>
        <v/>
      </c>
      <c r="H105" s="6">
        <f>IF(OR(D105="",E105=""),"", D105*E105*F105*G105)</f>
        <v/>
      </c>
      <c r="I105" s="8" t="n"/>
    </row>
    <row r="106">
      <c r="A106" s="8" t="n"/>
      <c r="B106" s="8" t="n"/>
      <c r="C106" s="8" t="n"/>
      <c r="D106" s="8" t="n"/>
      <c r="E106" s="8" t="n"/>
      <c r="F106" s="6">
        <f>XLOOKUP("LaborRate",Constants!$A$10:$A$60,Constants!$B$10:$B$60)</f>
        <v/>
      </c>
      <c r="G106" s="6">
        <f>XLOOKUP("Markup",Constants!$A$10:$A$60,Constants!$B$10:$B$60)</f>
        <v/>
      </c>
      <c r="H106" s="6">
        <f>IF(OR(D106="",E106=""),"", D106*E106*F106*G106)</f>
        <v/>
      </c>
      <c r="I106" s="8" t="n"/>
    </row>
    <row r="107">
      <c r="A107" s="8" t="n"/>
      <c r="B107" s="8" t="n"/>
      <c r="C107" s="8" t="n"/>
      <c r="D107" s="8" t="n"/>
      <c r="E107" s="8" t="n"/>
      <c r="F107" s="6">
        <f>XLOOKUP("LaborRate",Constants!$A$10:$A$60,Constants!$B$10:$B$60)</f>
        <v/>
      </c>
      <c r="G107" s="6">
        <f>XLOOKUP("Markup",Constants!$A$10:$A$60,Constants!$B$10:$B$60)</f>
        <v/>
      </c>
      <c r="H107" s="6">
        <f>IF(OR(D107="",E107=""),"", D107*E107*F107*G107)</f>
        <v/>
      </c>
      <c r="I107" s="8" t="n"/>
    </row>
    <row r="108">
      <c r="A108" s="8" t="n"/>
      <c r="B108" s="8" t="n"/>
      <c r="C108" s="8" t="n"/>
      <c r="D108" s="8" t="n"/>
      <c r="E108" s="8" t="n"/>
      <c r="F108" s="6">
        <f>XLOOKUP("LaborRate",Constants!$A$10:$A$60,Constants!$B$10:$B$60)</f>
        <v/>
      </c>
      <c r="G108" s="6">
        <f>XLOOKUP("Markup",Constants!$A$10:$A$60,Constants!$B$10:$B$60)</f>
        <v/>
      </c>
      <c r="H108" s="6">
        <f>IF(OR(D108="",E108=""),"", D108*E108*F108*G108)</f>
        <v/>
      </c>
      <c r="I108" s="8" t="n"/>
    </row>
    <row r="109">
      <c r="A109" s="8" t="n"/>
      <c r="B109" s="8" t="n"/>
      <c r="C109" s="8" t="n"/>
      <c r="D109" s="8" t="n"/>
      <c r="E109" s="8" t="n"/>
      <c r="F109" s="6">
        <f>XLOOKUP("LaborRate",Constants!$A$10:$A$60,Constants!$B$10:$B$60)</f>
        <v/>
      </c>
      <c r="G109" s="6">
        <f>XLOOKUP("Markup",Constants!$A$10:$A$60,Constants!$B$10:$B$60)</f>
        <v/>
      </c>
      <c r="H109" s="6">
        <f>IF(OR(D109="",E109=""),"", D109*E109*F109*G109)</f>
        <v/>
      </c>
      <c r="I109" s="8" t="n"/>
    </row>
    <row r="110">
      <c r="A110" s="8" t="n"/>
      <c r="B110" s="8" t="n"/>
      <c r="C110" s="8" t="n"/>
      <c r="D110" s="8" t="n"/>
      <c r="E110" s="8" t="n"/>
      <c r="F110" s="6">
        <f>XLOOKUP("LaborRate",Constants!$A$10:$A$60,Constants!$B$10:$B$60)</f>
        <v/>
      </c>
      <c r="G110" s="6">
        <f>XLOOKUP("Markup",Constants!$A$10:$A$60,Constants!$B$10:$B$60)</f>
        <v/>
      </c>
      <c r="H110" s="6">
        <f>IF(OR(D110="",E110=""),"", D110*E110*F110*G110)</f>
        <v/>
      </c>
      <c r="I110" s="8" t="n"/>
    </row>
    <row r="111">
      <c r="A111" s="8" t="n"/>
      <c r="B111" s="8" t="n"/>
      <c r="C111" s="8" t="n"/>
      <c r="D111" s="8" t="n"/>
      <c r="E111" s="8" t="n"/>
      <c r="F111" s="6">
        <f>XLOOKUP("LaborRate",Constants!$A$10:$A$60,Constants!$B$10:$B$60)</f>
        <v/>
      </c>
      <c r="G111" s="6">
        <f>XLOOKUP("Markup",Constants!$A$10:$A$60,Constants!$B$10:$B$60)</f>
        <v/>
      </c>
      <c r="H111" s="6">
        <f>IF(OR(D111="",E111=""),"", D111*E111*F111*G111)</f>
        <v/>
      </c>
      <c r="I111" s="8" t="n"/>
    </row>
    <row r="112">
      <c r="A112" s="8" t="n"/>
      <c r="B112" s="8" t="n"/>
      <c r="C112" s="8" t="n"/>
      <c r="D112" s="8" t="n"/>
      <c r="E112" s="8" t="n"/>
      <c r="F112" s="6">
        <f>XLOOKUP("LaborRate",Constants!$A$10:$A$60,Constants!$B$10:$B$60)</f>
        <v/>
      </c>
      <c r="G112" s="6">
        <f>XLOOKUP("Markup",Constants!$A$10:$A$60,Constants!$B$10:$B$60)</f>
        <v/>
      </c>
      <c r="H112" s="6">
        <f>IF(OR(D112="",E112=""),"", D112*E112*F112*G112)</f>
        <v/>
      </c>
      <c r="I112" s="8" t="n"/>
    </row>
    <row r="113">
      <c r="A113" s="8" t="n"/>
      <c r="B113" s="8" t="n"/>
      <c r="C113" s="8" t="n"/>
      <c r="D113" s="8" t="n"/>
      <c r="E113" s="8" t="n"/>
      <c r="F113" s="6">
        <f>XLOOKUP("LaborRate",Constants!$A$10:$A$60,Constants!$B$10:$B$60)</f>
        <v/>
      </c>
      <c r="G113" s="6">
        <f>XLOOKUP("Markup",Constants!$A$10:$A$60,Constants!$B$10:$B$60)</f>
        <v/>
      </c>
      <c r="H113" s="6">
        <f>IF(OR(D113="",E113=""),"", D113*E113*F113*G113)</f>
        <v/>
      </c>
      <c r="I113" s="8" t="n"/>
    </row>
    <row r="114">
      <c r="A114" s="8" t="n"/>
      <c r="B114" s="8" t="n"/>
      <c r="C114" s="8" t="n"/>
      <c r="D114" s="8" t="n"/>
      <c r="E114" s="8" t="n"/>
      <c r="F114" s="6">
        <f>XLOOKUP("LaborRate",Constants!$A$10:$A$60,Constants!$B$10:$B$60)</f>
        <v/>
      </c>
      <c r="G114" s="6">
        <f>XLOOKUP("Markup",Constants!$A$10:$A$60,Constants!$B$10:$B$60)</f>
        <v/>
      </c>
      <c r="H114" s="6">
        <f>IF(OR(D114="",E114=""),"", D114*E114*F114*G114)</f>
        <v/>
      </c>
      <c r="I114" s="8" t="n"/>
    </row>
    <row r="115">
      <c r="A115" s="8" t="n"/>
      <c r="B115" s="8" t="n"/>
      <c r="C115" s="8" t="n"/>
      <c r="D115" s="8" t="n"/>
      <c r="E115" s="8" t="n"/>
      <c r="F115" s="6">
        <f>XLOOKUP("LaborRate",Constants!$A$10:$A$60,Constants!$B$10:$B$60)</f>
        <v/>
      </c>
      <c r="G115" s="6">
        <f>XLOOKUP("Markup",Constants!$A$10:$A$60,Constants!$B$10:$B$60)</f>
        <v/>
      </c>
      <c r="H115" s="6">
        <f>IF(OR(D115="",E115=""),"", D115*E115*F115*G115)</f>
        <v/>
      </c>
      <c r="I115" s="8" t="n"/>
    </row>
    <row r="116">
      <c r="A116" s="8" t="n"/>
      <c r="B116" s="8" t="n"/>
      <c r="C116" s="8" t="n"/>
      <c r="D116" s="8" t="n"/>
      <c r="E116" s="8" t="n"/>
      <c r="F116" s="6">
        <f>XLOOKUP("LaborRate",Constants!$A$10:$A$60,Constants!$B$10:$B$60)</f>
        <v/>
      </c>
      <c r="G116" s="6">
        <f>XLOOKUP("Markup",Constants!$A$10:$A$60,Constants!$B$10:$B$60)</f>
        <v/>
      </c>
      <c r="H116" s="6">
        <f>IF(OR(D116="",E116=""),"", D116*E116*F116*G116)</f>
        <v/>
      </c>
      <c r="I116" s="8" t="n"/>
    </row>
    <row r="117">
      <c r="A117" s="8" t="n"/>
      <c r="B117" s="8" t="n"/>
      <c r="C117" s="8" t="n"/>
      <c r="D117" s="8" t="n"/>
      <c r="E117" s="8" t="n"/>
      <c r="F117" s="6">
        <f>XLOOKUP("LaborRate",Constants!$A$10:$A$60,Constants!$B$10:$B$60)</f>
        <v/>
      </c>
      <c r="G117" s="6">
        <f>XLOOKUP("Markup",Constants!$A$10:$A$60,Constants!$B$10:$B$60)</f>
        <v/>
      </c>
      <c r="H117" s="6">
        <f>IF(OR(D117="",E117=""),"", D117*E117*F117*G117)</f>
        <v/>
      </c>
      <c r="I117" s="8" t="n"/>
    </row>
    <row r="118">
      <c r="A118" s="8" t="n"/>
      <c r="B118" s="8" t="n"/>
      <c r="C118" s="8" t="n"/>
      <c r="D118" s="8" t="n"/>
      <c r="E118" s="8" t="n"/>
      <c r="F118" s="6">
        <f>XLOOKUP("LaborRate",Constants!$A$10:$A$60,Constants!$B$10:$B$60)</f>
        <v/>
      </c>
      <c r="G118" s="6">
        <f>XLOOKUP("Markup",Constants!$A$10:$A$60,Constants!$B$10:$B$60)</f>
        <v/>
      </c>
      <c r="H118" s="6">
        <f>IF(OR(D118="",E118=""),"", D118*E118*F118*G118)</f>
        <v/>
      </c>
      <c r="I118" s="8" t="n"/>
    </row>
    <row r="119">
      <c r="A119" s="8" t="n"/>
      <c r="B119" s="8" t="n"/>
      <c r="C119" s="8" t="n"/>
      <c r="D119" s="8" t="n"/>
      <c r="E119" s="8" t="n"/>
      <c r="F119" s="6">
        <f>XLOOKUP("LaborRate",Constants!$A$10:$A$60,Constants!$B$10:$B$60)</f>
        <v/>
      </c>
      <c r="G119" s="6">
        <f>XLOOKUP("Markup",Constants!$A$10:$A$60,Constants!$B$10:$B$60)</f>
        <v/>
      </c>
      <c r="H119" s="6">
        <f>IF(OR(D119="",E119=""),"", D119*E119*F119*G119)</f>
        <v/>
      </c>
      <c r="I119" s="8" t="n"/>
    </row>
    <row r="120">
      <c r="A120" s="8" t="n"/>
      <c r="B120" s="8" t="n"/>
      <c r="C120" s="8" t="n"/>
      <c r="D120" s="8" t="n"/>
      <c r="E120" s="8" t="n"/>
      <c r="F120" s="6">
        <f>XLOOKUP("LaborRate",Constants!$A$10:$A$60,Constants!$B$10:$B$60)</f>
        <v/>
      </c>
      <c r="G120" s="6">
        <f>XLOOKUP("Markup",Constants!$A$10:$A$60,Constants!$B$10:$B$60)</f>
        <v/>
      </c>
      <c r="H120" s="6">
        <f>IF(OR(D120="",E120=""),"", D120*E120*F120*G120)</f>
        <v/>
      </c>
      <c r="I120" s="8" t="n"/>
    </row>
    <row r="121">
      <c r="A121" s="8" t="n"/>
      <c r="B121" s="8" t="n"/>
      <c r="C121" s="8" t="n"/>
      <c r="D121" s="8" t="n"/>
      <c r="E121" s="8" t="n"/>
      <c r="F121" s="6">
        <f>XLOOKUP("LaborRate",Constants!$A$10:$A$60,Constants!$B$10:$B$60)</f>
        <v/>
      </c>
      <c r="G121" s="6">
        <f>XLOOKUP("Markup",Constants!$A$10:$A$60,Constants!$B$10:$B$60)</f>
        <v/>
      </c>
      <c r="H121" s="6">
        <f>IF(OR(D121="",E121=""),"", D121*E121*F121*G121)</f>
        <v/>
      </c>
      <c r="I121" s="8" t="n"/>
    </row>
    <row r="122">
      <c r="A122" s="8" t="n"/>
      <c r="B122" s="8" t="n"/>
      <c r="C122" s="8" t="n"/>
      <c r="D122" s="8" t="n"/>
      <c r="E122" s="8" t="n"/>
      <c r="F122" s="6">
        <f>XLOOKUP("LaborRate",Constants!$A$10:$A$60,Constants!$B$10:$B$60)</f>
        <v/>
      </c>
      <c r="G122" s="6">
        <f>XLOOKUP("Markup",Constants!$A$10:$A$60,Constants!$B$10:$B$60)</f>
        <v/>
      </c>
      <c r="H122" s="6">
        <f>IF(OR(D122="",E122=""),"", D122*E122*F122*G122)</f>
        <v/>
      </c>
      <c r="I122" s="8" t="n"/>
    </row>
    <row r="123">
      <c r="A123" s="8" t="n"/>
      <c r="B123" s="8" t="n"/>
      <c r="C123" s="8" t="n"/>
      <c r="D123" s="8" t="n"/>
      <c r="E123" s="8" t="n"/>
      <c r="F123" s="6">
        <f>XLOOKUP("LaborRate",Constants!$A$10:$A$60,Constants!$B$10:$B$60)</f>
        <v/>
      </c>
      <c r="G123" s="6">
        <f>XLOOKUP("Markup",Constants!$A$10:$A$60,Constants!$B$10:$B$60)</f>
        <v/>
      </c>
      <c r="H123" s="6">
        <f>IF(OR(D123="",E123=""),"", D123*E123*F123*G123)</f>
        <v/>
      </c>
      <c r="I123" s="8" t="n"/>
    </row>
    <row r="124">
      <c r="A124" s="8" t="n"/>
      <c r="B124" s="8" t="n"/>
      <c r="C124" s="8" t="n"/>
      <c r="D124" s="8" t="n"/>
      <c r="E124" s="8" t="n"/>
      <c r="F124" s="6">
        <f>XLOOKUP("LaborRate",Constants!$A$10:$A$60,Constants!$B$10:$B$60)</f>
        <v/>
      </c>
      <c r="G124" s="6">
        <f>XLOOKUP("Markup",Constants!$A$10:$A$60,Constants!$B$10:$B$60)</f>
        <v/>
      </c>
      <c r="H124" s="6">
        <f>IF(OR(D124="",E124=""),"", D124*E124*F124*G124)</f>
        <v/>
      </c>
      <c r="I124" s="8" t="n"/>
    </row>
    <row r="125">
      <c r="A125" s="8" t="n"/>
      <c r="B125" s="8" t="n"/>
      <c r="C125" s="8" t="n"/>
      <c r="D125" s="8" t="n"/>
      <c r="E125" s="8" t="n"/>
      <c r="F125" s="6">
        <f>XLOOKUP("LaborRate",Constants!$A$10:$A$60,Constants!$B$10:$B$60)</f>
        <v/>
      </c>
      <c r="G125" s="6">
        <f>XLOOKUP("Markup",Constants!$A$10:$A$60,Constants!$B$10:$B$60)</f>
        <v/>
      </c>
      <c r="H125" s="6">
        <f>IF(OR(D125="",E125=""),"", D125*E125*F125*G125)</f>
        <v/>
      </c>
      <c r="I125" s="8" t="n"/>
    </row>
    <row r="126">
      <c r="A126" s="8" t="n"/>
      <c r="B126" s="8" t="n"/>
      <c r="C126" s="8" t="n"/>
      <c r="D126" s="8" t="n"/>
      <c r="E126" s="8" t="n"/>
      <c r="F126" s="6">
        <f>XLOOKUP("LaborRate",Constants!$A$10:$A$60,Constants!$B$10:$B$60)</f>
        <v/>
      </c>
      <c r="G126" s="6">
        <f>XLOOKUP("Markup",Constants!$A$10:$A$60,Constants!$B$10:$B$60)</f>
        <v/>
      </c>
      <c r="H126" s="6">
        <f>IF(OR(D126="",E126=""),"", D126*E126*F126*G126)</f>
        <v/>
      </c>
      <c r="I126" s="8" t="n"/>
    </row>
    <row r="127">
      <c r="A127" s="8" t="n"/>
      <c r="B127" s="8" t="n"/>
      <c r="C127" s="8" t="n"/>
      <c r="D127" s="8" t="n"/>
      <c r="E127" s="8" t="n"/>
      <c r="F127" s="6">
        <f>XLOOKUP("LaborRate",Constants!$A$10:$A$60,Constants!$B$10:$B$60)</f>
        <v/>
      </c>
      <c r="G127" s="6">
        <f>XLOOKUP("Markup",Constants!$A$10:$A$60,Constants!$B$10:$B$60)</f>
        <v/>
      </c>
      <c r="H127" s="6">
        <f>IF(OR(D127="",E127=""),"", D127*E127*F127*G127)</f>
        <v/>
      </c>
      <c r="I127" s="8" t="n"/>
    </row>
    <row r="128">
      <c r="A128" s="8" t="n"/>
      <c r="B128" s="8" t="n"/>
      <c r="C128" s="8" t="n"/>
      <c r="D128" s="8" t="n"/>
      <c r="E128" s="8" t="n"/>
      <c r="F128" s="6">
        <f>XLOOKUP("LaborRate",Constants!$A$10:$A$60,Constants!$B$10:$B$60)</f>
        <v/>
      </c>
      <c r="G128" s="6">
        <f>XLOOKUP("Markup",Constants!$A$10:$A$60,Constants!$B$10:$B$60)</f>
        <v/>
      </c>
      <c r="H128" s="6">
        <f>IF(OR(D128="",E128=""),"", D128*E128*F128*G128)</f>
        <v/>
      </c>
      <c r="I128" s="8" t="n"/>
    </row>
    <row r="129">
      <c r="A129" s="8" t="n"/>
      <c r="B129" s="8" t="n"/>
      <c r="C129" s="8" t="n"/>
      <c r="D129" s="8" t="n"/>
      <c r="E129" s="8" t="n"/>
      <c r="F129" s="6">
        <f>XLOOKUP("LaborRate",Constants!$A$10:$A$60,Constants!$B$10:$B$60)</f>
        <v/>
      </c>
      <c r="G129" s="6">
        <f>XLOOKUP("Markup",Constants!$A$10:$A$60,Constants!$B$10:$B$60)</f>
        <v/>
      </c>
      <c r="H129" s="6">
        <f>IF(OR(D129="",E129=""),"", D129*E129*F129*G129)</f>
        <v/>
      </c>
      <c r="I129" s="8" t="n"/>
    </row>
    <row r="130">
      <c r="A130" s="8" t="n"/>
      <c r="B130" s="8" t="n"/>
      <c r="C130" s="8" t="n"/>
      <c r="D130" s="8" t="n"/>
      <c r="E130" s="8" t="n"/>
      <c r="F130" s="6">
        <f>XLOOKUP("LaborRate",Constants!$A$10:$A$60,Constants!$B$10:$B$60)</f>
        <v/>
      </c>
      <c r="G130" s="6">
        <f>XLOOKUP("Markup",Constants!$A$10:$A$60,Constants!$B$10:$B$60)</f>
        <v/>
      </c>
      <c r="H130" s="6">
        <f>IF(OR(D130="",E130=""),"", D130*E130*F130*G130)</f>
        <v/>
      </c>
      <c r="I130" s="8" t="n"/>
    </row>
    <row r="131">
      <c r="A131" s="8" t="n"/>
      <c r="B131" s="8" t="n"/>
      <c r="C131" s="8" t="n"/>
      <c r="D131" s="8" t="n"/>
      <c r="E131" s="8" t="n"/>
      <c r="F131" s="6">
        <f>XLOOKUP("LaborRate",Constants!$A$10:$A$60,Constants!$B$10:$B$60)</f>
        <v/>
      </c>
      <c r="G131" s="6">
        <f>XLOOKUP("Markup",Constants!$A$10:$A$60,Constants!$B$10:$B$60)</f>
        <v/>
      </c>
      <c r="H131" s="6">
        <f>IF(OR(D131="",E131=""),"", D131*E131*F131*G131)</f>
        <v/>
      </c>
      <c r="I131" s="8" t="n"/>
    </row>
    <row r="132">
      <c r="A132" s="8" t="n"/>
      <c r="B132" s="8" t="n"/>
      <c r="C132" s="8" t="n"/>
      <c r="D132" s="8" t="n"/>
      <c r="E132" s="8" t="n"/>
      <c r="F132" s="6">
        <f>XLOOKUP("LaborRate",Constants!$A$10:$A$60,Constants!$B$10:$B$60)</f>
        <v/>
      </c>
      <c r="G132" s="6">
        <f>XLOOKUP("Markup",Constants!$A$10:$A$60,Constants!$B$10:$B$60)</f>
        <v/>
      </c>
      <c r="H132" s="6">
        <f>IF(OR(D132="",E132=""),"", D132*E132*F132*G132)</f>
        <v/>
      </c>
      <c r="I132" s="8" t="n"/>
    </row>
    <row r="133">
      <c r="A133" s="8" t="n"/>
      <c r="B133" s="8" t="n"/>
      <c r="C133" s="8" t="n"/>
      <c r="D133" s="8" t="n"/>
      <c r="E133" s="8" t="n"/>
      <c r="F133" s="6">
        <f>XLOOKUP("LaborRate",Constants!$A$10:$A$60,Constants!$B$10:$B$60)</f>
        <v/>
      </c>
      <c r="G133" s="6">
        <f>XLOOKUP("Markup",Constants!$A$10:$A$60,Constants!$B$10:$B$60)</f>
        <v/>
      </c>
      <c r="H133" s="6">
        <f>IF(OR(D133="",E133=""),"", D133*E133*F133*G133)</f>
        <v/>
      </c>
      <c r="I133" s="8" t="n"/>
    </row>
    <row r="134">
      <c r="A134" s="8" t="n"/>
      <c r="B134" s="8" t="n"/>
      <c r="C134" s="8" t="n"/>
      <c r="D134" s="8" t="n"/>
      <c r="E134" s="8" t="n"/>
      <c r="F134" s="6">
        <f>XLOOKUP("LaborRate",Constants!$A$10:$A$60,Constants!$B$10:$B$60)</f>
        <v/>
      </c>
      <c r="G134" s="6">
        <f>XLOOKUP("Markup",Constants!$A$10:$A$60,Constants!$B$10:$B$60)</f>
        <v/>
      </c>
      <c r="H134" s="6">
        <f>IF(OR(D134="",E134=""),"", D134*E134*F134*G134)</f>
        <v/>
      </c>
      <c r="I134" s="8" t="n"/>
    </row>
    <row r="135">
      <c r="A135" s="8" t="n"/>
      <c r="B135" s="8" t="n"/>
      <c r="C135" s="8" t="n"/>
      <c r="D135" s="8" t="n"/>
      <c r="E135" s="8" t="n"/>
      <c r="F135" s="6">
        <f>XLOOKUP("LaborRate",Constants!$A$10:$A$60,Constants!$B$10:$B$60)</f>
        <v/>
      </c>
      <c r="G135" s="6">
        <f>XLOOKUP("Markup",Constants!$A$10:$A$60,Constants!$B$10:$B$60)</f>
        <v/>
      </c>
      <c r="H135" s="6">
        <f>IF(OR(D135="",E135=""),"", D135*E135*F135*G135)</f>
        <v/>
      </c>
      <c r="I135" s="8" t="n"/>
    </row>
    <row r="136">
      <c r="A136" s="8" t="n"/>
      <c r="B136" s="8" t="n"/>
      <c r="C136" s="8" t="n"/>
      <c r="D136" s="8" t="n"/>
      <c r="E136" s="8" t="n"/>
      <c r="F136" s="6">
        <f>XLOOKUP("LaborRate",Constants!$A$10:$A$60,Constants!$B$10:$B$60)</f>
        <v/>
      </c>
      <c r="G136" s="6">
        <f>XLOOKUP("Markup",Constants!$A$10:$A$60,Constants!$B$10:$B$60)</f>
        <v/>
      </c>
      <c r="H136" s="6">
        <f>IF(OR(D136="",E136=""),"", D136*E136*F136*G136)</f>
        <v/>
      </c>
      <c r="I136" s="8" t="n"/>
    </row>
    <row r="137">
      <c r="A137" s="8" t="n"/>
      <c r="B137" s="8" t="n"/>
      <c r="C137" s="8" t="n"/>
      <c r="D137" s="8" t="n"/>
      <c r="E137" s="8" t="n"/>
      <c r="F137" s="6">
        <f>XLOOKUP("LaborRate",Constants!$A$10:$A$60,Constants!$B$10:$B$60)</f>
        <v/>
      </c>
      <c r="G137" s="6">
        <f>XLOOKUP("Markup",Constants!$A$10:$A$60,Constants!$B$10:$B$60)</f>
        <v/>
      </c>
      <c r="H137" s="6">
        <f>IF(OR(D137="",E137=""),"", D137*E137*F137*G137)</f>
        <v/>
      </c>
      <c r="I137" s="8" t="n"/>
    </row>
    <row r="138">
      <c r="A138" s="8" t="n"/>
      <c r="B138" s="8" t="n"/>
      <c r="C138" s="8" t="n"/>
      <c r="D138" s="8" t="n"/>
      <c r="E138" s="8" t="n"/>
      <c r="F138" s="6">
        <f>XLOOKUP("LaborRate",Constants!$A$10:$A$60,Constants!$B$10:$B$60)</f>
        <v/>
      </c>
      <c r="G138" s="6">
        <f>XLOOKUP("Markup",Constants!$A$10:$A$60,Constants!$B$10:$B$60)</f>
        <v/>
      </c>
      <c r="H138" s="6">
        <f>IF(OR(D138="",E138=""),"", D138*E138*F138*G138)</f>
        <v/>
      </c>
      <c r="I138" s="8" t="n"/>
    </row>
    <row r="139">
      <c r="A139" s="8" t="n"/>
      <c r="B139" s="8" t="n"/>
      <c r="C139" s="8" t="n"/>
      <c r="D139" s="8" t="n"/>
      <c r="E139" s="8" t="n"/>
      <c r="F139" s="6">
        <f>XLOOKUP("LaborRate",Constants!$A$10:$A$60,Constants!$B$10:$B$60)</f>
        <v/>
      </c>
      <c r="G139" s="6">
        <f>XLOOKUP("Markup",Constants!$A$10:$A$60,Constants!$B$10:$B$60)</f>
        <v/>
      </c>
      <c r="H139" s="6">
        <f>IF(OR(D139="",E139=""),"", D139*E139*F139*G139)</f>
        <v/>
      </c>
      <c r="I139" s="8" t="n"/>
    </row>
    <row r="140">
      <c r="A140" s="8" t="n"/>
      <c r="B140" s="8" t="n"/>
      <c r="C140" s="8" t="n"/>
      <c r="D140" s="8" t="n"/>
      <c r="E140" s="8" t="n"/>
      <c r="F140" s="6">
        <f>XLOOKUP("LaborRate",Constants!$A$10:$A$60,Constants!$B$10:$B$60)</f>
        <v/>
      </c>
      <c r="G140" s="6">
        <f>XLOOKUP("Markup",Constants!$A$10:$A$60,Constants!$B$10:$B$60)</f>
        <v/>
      </c>
      <c r="H140" s="6">
        <f>IF(OR(D140="",E140=""),"", D140*E140*F140*G140)</f>
        <v/>
      </c>
      <c r="I140" s="8" t="n"/>
    </row>
    <row r="141">
      <c r="A141" s="8" t="n"/>
      <c r="B141" s="8" t="n"/>
      <c r="C141" s="8" t="n"/>
      <c r="D141" s="8" t="n"/>
      <c r="E141" s="8" t="n"/>
      <c r="F141" s="6">
        <f>XLOOKUP("LaborRate",Constants!$A$10:$A$60,Constants!$B$10:$B$60)</f>
        <v/>
      </c>
      <c r="G141" s="6">
        <f>XLOOKUP("Markup",Constants!$A$10:$A$60,Constants!$B$10:$B$60)</f>
        <v/>
      </c>
      <c r="H141" s="6">
        <f>IF(OR(D141="",E141=""),"", D141*E141*F141*G141)</f>
        <v/>
      </c>
      <c r="I141" s="8" t="n"/>
    </row>
    <row r="142">
      <c r="A142" s="8" t="n"/>
      <c r="B142" s="8" t="n"/>
      <c r="C142" s="8" t="n"/>
      <c r="D142" s="8" t="n"/>
      <c r="E142" s="8" t="n"/>
      <c r="F142" s="6">
        <f>XLOOKUP("LaborRate",Constants!$A$10:$A$60,Constants!$B$10:$B$60)</f>
        <v/>
      </c>
      <c r="G142" s="6">
        <f>XLOOKUP("Markup",Constants!$A$10:$A$60,Constants!$B$10:$B$60)</f>
        <v/>
      </c>
      <c r="H142" s="6">
        <f>IF(OR(D142="",E142=""),"", D142*E142*F142*G142)</f>
        <v/>
      </c>
      <c r="I142" s="8" t="n"/>
    </row>
    <row r="143">
      <c r="A143" s="8" t="n"/>
      <c r="B143" s="8" t="n"/>
      <c r="C143" s="8" t="n"/>
      <c r="D143" s="8" t="n"/>
      <c r="E143" s="8" t="n"/>
      <c r="F143" s="6">
        <f>XLOOKUP("LaborRate",Constants!$A$10:$A$60,Constants!$B$10:$B$60)</f>
        <v/>
      </c>
      <c r="G143" s="6">
        <f>XLOOKUP("Markup",Constants!$A$10:$A$60,Constants!$B$10:$B$60)</f>
        <v/>
      </c>
      <c r="H143" s="6">
        <f>IF(OR(D143="",E143=""),"", D143*E143*F143*G143)</f>
        <v/>
      </c>
      <c r="I143" s="8" t="n"/>
    </row>
    <row r="144">
      <c r="A144" s="8" t="n"/>
      <c r="B144" s="8" t="n"/>
      <c r="C144" s="8" t="n"/>
      <c r="D144" s="8" t="n"/>
      <c r="E144" s="8" t="n"/>
      <c r="F144" s="6">
        <f>XLOOKUP("LaborRate",Constants!$A$10:$A$60,Constants!$B$10:$B$60)</f>
        <v/>
      </c>
      <c r="G144" s="6">
        <f>XLOOKUP("Markup",Constants!$A$10:$A$60,Constants!$B$10:$B$60)</f>
        <v/>
      </c>
      <c r="H144" s="6">
        <f>IF(OR(D144="",E144=""),"", D144*E144*F144*G144)</f>
        <v/>
      </c>
      <c r="I144" s="8" t="n"/>
    </row>
    <row r="145">
      <c r="A145" s="8" t="n"/>
      <c r="B145" s="8" t="n"/>
      <c r="C145" s="8" t="n"/>
      <c r="D145" s="8" t="n"/>
      <c r="E145" s="8" t="n"/>
      <c r="F145" s="6">
        <f>XLOOKUP("LaborRate",Constants!$A$10:$A$60,Constants!$B$10:$B$60)</f>
        <v/>
      </c>
      <c r="G145" s="6">
        <f>XLOOKUP("Markup",Constants!$A$10:$A$60,Constants!$B$10:$B$60)</f>
        <v/>
      </c>
      <c r="H145" s="6">
        <f>IF(OR(D145="",E145=""),"", D145*E145*F145*G145)</f>
        <v/>
      </c>
      <c r="I145" s="8" t="n"/>
    </row>
    <row r="146">
      <c r="A146" s="8" t="n"/>
      <c r="B146" s="8" t="n"/>
      <c r="C146" s="8" t="n"/>
      <c r="D146" s="8" t="n"/>
      <c r="E146" s="8" t="n"/>
      <c r="F146" s="6">
        <f>XLOOKUP("LaborRate",Constants!$A$10:$A$60,Constants!$B$10:$B$60)</f>
        <v/>
      </c>
      <c r="G146" s="6">
        <f>XLOOKUP("Markup",Constants!$A$10:$A$60,Constants!$B$10:$B$60)</f>
        <v/>
      </c>
      <c r="H146" s="6">
        <f>IF(OR(D146="",E146=""),"", D146*E146*F146*G146)</f>
        <v/>
      </c>
      <c r="I146" s="8" t="n"/>
    </row>
    <row r="147">
      <c r="A147" s="8" t="n"/>
      <c r="B147" s="8" t="n"/>
      <c r="C147" s="8" t="n"/>
      <c r="D147" s="8" t="n"/>
      <c r="E147" s="8" t="n"/>
      <c r="F147" s="6">
        <f>XLOOKUP("LaborRate",Constants!$A$10:$A$60,Constants!$B$10:$B$60)</f>
        <v/>
      </c>
      <c r="G147" s="6">
        <f>XLOOKUP("Markup",Constants!$A$10:$A$60,Constants!$B$10:$B$60)</f>
        <v/>
      </c>
      <c r="H147" s="6">
        <f>IF(OR(D147="",E147=""),"", D147*E147*F147*G147)</f>
        <v/>
      </c>
      <c r="I147" s="8" t="n"/>
    </row>
    <row r="148">
      <c r="A148" s="8" t="n"/>
      <c r="B148" s="8" t="n"/>
      <c r="C148" s="8" t="n"/>
      <c r="D148" s="8" t="n"/>
      <c r="E148" s="8" t="n"/>
      <c r="F148" s="6">
        <f>XLOOKUP("LaborRate",Constants!$A$10:$A$60,Constants!$B$10:$B$60)</f>
        <v/>
      </c>
      <c r="G148" s="6">
        <f>XLOOKUP("Markup",Constants!$A$10:$A$60,Constants!$B$10:$B$60)</f>
        <v/>
      </c>
      <c r="H148" s="6">
        <f>IF(OR(D148="",E148=""),"", D148*E148*F148*G148)</f>
        <v/>
      </c>
      <c r="I148" s="8" t="n"/>
    </row>
    <row r="149">
      <c r="A149" s="8" t="n"/>
      <c r="B149" s="8" t="n"/>
      <c r="C149" s="8" t="n"/>
      <c r="D149" s="8" t="n"/>
      <c r="E149" s="8" t="n"/>
      <c r="F149" s="6">
        <f>XLOOKUP("LaborRate",Constants!$A$10:$A$60,Constants!$B$10:$B$60)</f>
        <v/>
      </c>
      <c r="G149" s="6">
        <f>XLOOKUP("Markup",Constants!$A$10:$A$60,Constants!$B$10:$B$60)</f>
        <v/>
      </c>
      <c r="H149" s="6">
        <f>IF(OR(D149="",E149=""),"", D149*E149*F149*G149)</f>
        <v/>
      </c>
      <c r="I149" s="8" t="n"/>
    </row>
    <row r="150">
      <c r="A150" s="8" t="n"/>
      <c r="B150" s="8" t="n"/>
      <c r="C150" s="8" t="n"/>
      <c r="D150" s="8" t="n"/>
      <c r="E150" s="8" t="n"/>
      <c r="F150" s="6">
        <f>XLOOKUP("LaborRate",Constants!$A$10:$A$60,Constants!$B$10:$B$60)</f>
        <v/>
      </c>
      <c r="G150" s="6">
        <f>XLOOKUP("Markup",Constants!$A$10:$A$60,Constants!$B$10:$B$60)</f>
        <v/>
      </c>
      <c r="H150" s="6">
        <f>IF(OR(D150="",E150=""),"", D150*E150*F150*G150)</f>
        <v/>
      </c>
      <c r="I150" s="8" t="n"/>
    </row>
    <row r="151">
      <c r="A151" s="8" t="n"/>
      <c r="B151" s="8" t="n"/>
      <c r="C151" s="8" t="n"/>
      <c r="D151" s="8" t="n"/>
      <c r="E151" s="8" t="n"/>
      <c r="F151" s="6">
        <f>XLOOKUP("LaborRate",Constants!$A$10:$A$60,Constants!$B$10:$B$60)</f>
        <v/>
      </c>
      <c r="G151" s="6">
        <f>XLOOKUP("Markup",Constants!$A$10:$A$60,Constants!$B$10:$B$60)</f>
        <v/>
      </c>
      <c r="H151" s="6">
        <f>IF(OR(D151="",E151=""),"", D151*E151*F151*G151)</f>
        <v/>
      </c>
      <c r="I151" s="8" t="n"/>
    </row>
    <row r="152">
      <c r="A152" s="8" t="n"/>
      <c r="B152" s="8" t="n"/>
      <c r="C152" s="8" t="n"/>
      <c r="D152" s="8" t="n"/>
      <c r="E152" s="8" t="n"/>
      <c r="F152" s="6">
        <f>XLOOKUP("LaborRate",Constants!$A$10:$A$60,Constants!$B$10:$B$60)</f>
        <v/>
      </c>
      <c r="G152" s="6">
        <f>XLOOKUP("Markup",Constants!$A$10:$A$60,Constants!$B$10:$B$60)</f>
        <v/>
      </c>
      <c r="H152" s="6">
        <f>IF(OR(D152="",E152=""),"", D152*E152*F152*G152)</f>
        <v/>
      </c>
      <c r="I152" s="8" t="n"/>
    </row>
    <row r="153">
      <c r="A153" s="8" t="n"/>
      <c r="B153" s="8" t="n"/>
      <c r="C153" s="8" t="n"/>
      <c r="D153" s="8" t="n"/>
      <c r="E153" s="8" t="n"/>
      <c r="F153" s="6">
        <f>XLOOKUP("LaborRate",Constants!$A$10:$A$60,Constants!$B$10:$B$60)</f>
        <v/>
      </c>
      <c r="G153" s="6">
        <f>XLOOKUP("Markup",Constants!$A$10:$A$60,Constants!$B$10:$B$60)</f>
        <v/>
      </c>
      <c r="H153" s="6">
        <f>IF(OR(D153="",E153=""),"", D153*E153*F153*G153)</f>
        <v/>
      </c>
      <c r="I153" s="8" t="n"/>
    </row>
    <row r="154">
      <c r="A154" s="8" t="n"/>
      <c r="B154" s="8" t="n"/>
      <c r="C154" s="8" t="n"/>
      <c r="D154" s="8" t="n"/>
      <c r="E154" s="8" t="n"/>
      <c r="F154" s="6">
        <f>XLOOKUP("LaborRate",Constants!$A$10:$A$60,Constants!$B$10:$B$60)</f>
        <v/>
      </c>
      <c r="G154" s="6">
        <f>XLOOKUP("Markup",Constants!$A$10:$A$60,Constants!$B$10:$B$60)</f>
        <v/>
      </c>
      <c r="H154" s="6">
        <f>IF(OR(D154="",E154=""),"", D154*E154*F154*G154)</f>
        <v/>
      </c>
      <c r="I154" s="8" t="n"/>
    </row>
    <row r="155">
      <c r="A155" s="8" t="n"/>
      <c r="B155" s="8" t="n"/>
      <c r="C155" s="8" t="n"/>
      <c r="D155" s="8" t="n"/>
      <c r="E155" s="8" t="n"/>
      <c r="F155" s="6">
        <f>XLOOKUP("LaborRate",Constants!$A$10:$A$60,Constants!$B$10:$B$60)</f>
        <v/>
      </c>
      <c r="G155" s="6">
        <f>XLOOKUP("Markup",Constants!$A$10:$A$60,Constants!$B$10:$B$60)</f>
        <v/>
      </c>
      <c r="H155" s="6">
        <f>IF(OR(D155="",E155=""),"", D155*E155*F155*G155)</f>
        <v/>
      </c>
      <c r="I155" s="8" t="n"/>
    </row>
    <row r="156">
      <c r="A156" s="8" t="n"/>
      <c r="B156" s="8" t="n"/>
      <c r="C156" s="8" t="n"/>
      <c r="D156" s="8" t="n"/>
      <c r="E156" s="8" t="n"/>
      <c r="F156" s="6">
        <f>XLOOKUP("LaborRate",Constants!$A$10:$A$60,Constants!$B$10:$B$60)</f>
        <v/>
      </c>
      <c r="G156" s="6">
        <f>XLOOKUP("Markup",Constants!$A$10:$A$60,Constants!$B$10:$B$60)</f>
        <v/>
      </c>
      <c r="H156" s="6">
        <f>IF(OR(D156="",E156=""),"", D156*E156*F156*G156)</f>
        <v/>
      </c>
      <c r="I156" s="8" t="n"/>
    </row>
    <row r="157">
      <c r="A157" s="8" t="n"/>
      <c r="B157" s="8" t="n"/>
      <c r="C157" s="8" t="n"/>
      <c r="D157" s="8" t="n"/>
      <c r="E157" s="8" t="n"/>
      <c r="F157" s="6">
        <f>XLOOKUP("LaborRate",Constants!$A$10:$A$60,Constants!$B$10:$B$60)</f>
        <v/>
      </c>
      <c r="G157" s="6">
        <f>XLOOKUP("Markup",Constants!$A$10:$A$60,Constants!$B$10:$B$60)</f>
        <v/>
      </c>
      <c r="H157" s="6">
        <f>IF(OR(D157="",E157=""),"", D157*E157*F157*G157)</f>
        <v/>
      </c>
      <c r="I157" s="8" t="n"/>
    </row>
    <row r="158">
      <c r="A158" s="8" t="n"/>
      <c r="B158" s="8" t="n"/>
      <c r="C158" s="8" t="n"/>
      <c r="D158" s="8" t="n"/>
      <c r="E158" s="8" t="n"/>
      <c r="F158" s="6">
        <f>XLOOKUP("LaborRate",Constants!$A$10:$A$60,Constants!$B$10:$B$60)</f>
        <v/>
      </c>
      <c r="G158" s="6">
        <f>XLOOKUP("Markup",Constants!$A$10:$A$60,Constants!$B$10:$B$60)</f>
        <v/>
      </c>
      <c r="H158" s="6">
        <f>IF(OR(D158="",E158=""),"", D158*E158*F158*G158)</f>
        <v/>
      </c>
      <c r="I158" s="8" t="n"/>
    </row>
    <row r="159">
      <c r="A159" s="8" t="n"/>
      <c r="B159" s="8" t="n"/>
      <c r="C159" s="8" t="n"/>
      <c r="D159" s="8" t="n"/>
      <c r="E159" s="8" t="n"/>
      <c r="F159" s="6">
        <f>XLOOKUP("LaborRate",Constants!$A$10:$A$60,Constants!$B$10:$B$60)</f>
        <v/>
      </c>
      <c r="G159" s="6">
        <f>XLOOKUP("Markup",Constants!$A$10:$A$60,Constants!$B$10:$B$60)</f>
        <v/>
      </c>
      <c r="H159" s="6">
        <f>IF(OR(D159="",E159=""),"", D159*E159*F159*G159)</f>
        <v/>
      </c>
      <c r="I159" s="8" t="n"/>
    </row>
    <row r="160">
      <c r="A160" s="8" t="n"/>
      <c r="B160" s="8" t="n"/>
      <c r="C160" s="8" t="n"/>
      <c r="D160" s="8" t="n"/>
      <c r="E160" s="8" t="n"/>
      <c r="F160" s="6">
        <f>XLOOKUP("LaborRate",Constants!$A$10:$A$60,Constants!$B$10:$B$60)</f>
        <v/>
      </c>
      <c r="G160" s="6">
        <f>XLOOKUP("Markup",Constants!$A$10:$A$60,Constants!$B$10:$B$60)</f>
        <v/>
      </c>
      <c r="H160" s="6">
        <f>IF(OR(D160="",E160=""),"", D160*E160*F160*G160)</f>
        <v/>
      </c>
      <c r="I160" s="8" t="n"/>
    </row>
    <row r="161">
      <c r="A161" s="8" t="n"/>
      <c r="B161" s="8" t="n"/>
      <c r="C161" s="8" t="n"/>
      <c r="D161" s="8" t="n"/>
      <c r="E161" s="8" t="n"/>
      <c r="F161" s="6">
        <f>XLOOKUP("LaborRate",Constants!$A$10:$A$60,Constants!$B$10:$B$60)</f>
        <v/>
      </c>
      <c r="G161" s="6">
        <f>XLOOKUP("Markup",Constants!$A$10:$A$60,Constants!$B$10:$B$60)</f>
        <v/>
      </c>
      <c r="H161" s="6">
        <f>IF(OR(D161="",E161=""),"", D161*E161*F161*G161)</f>
        <v/>
      </c>
      <c r="I161" s="8" t="n"/>
    </row>
    <row r="162">
      <c r="A162" s="8" t="n"/>
      <c r="B162" s="8" t="n"/>
      <c r="C162" s="8" t="n"/>
      <c r="D162" s="8" t="n"/>
      <c r="E162" s="8" t="n"/>
      <c r="F162" s="6">
        <f>XLOOKUP("LaborRate",Constants!$A$10:$A$60,Constants!$B$10:$B$60)</f>
        <v/>
      </c>
      <c r="G162" s="6">
        <f>XLOOKUP("Markup",Constants!$A$10:$A$60,Constants!$B$10:$B$60)</f>
        <v/>
      </c>
      <c r="H162" s="6">
        <f>IF(OR(D162="",E162=""),"", D162*E162*F162*G162)</f>
        <v/>
      </c>
      <c r="I162" s="8" t="n"/>
    </row>
    <row r="163">
      <c r="A163" s="8" t="n"/>
      <c r="B163" s="8" t="n"/>
      <c r="C163" s="8" t="n"/>
      <c r="D163" s="8" t="n"/>
      <c r="E163" s="8" t="n"/>
      <c r="F163" s="6">
        <f>XLOOKUP("LaborRate",Constants!$A$10:$A$60,Constants!$B$10:$B$60)</f>
        <v/>
      </c>
      <c r="G163" s="6">
        <f>XLOOKUP("Markup",Constants!$A$10:$A$60,Constants!$B$10:$B$60)</f>
        <v/>
      </c>
      <c r="H163" s="6">
        <f>IF(OR(D163="",E163=""),"", D163*E163*F163*G163)</f>
        <v/>
      </c>
      <c r="I163" s="8" t="n"/>
    </row>
    <row r="164">
      <c r="A164" s="8" t="n"/>
      <c r="B164" s="8" t="n"/>
      <c r="C164" s="8" t="n"/>
      <c r="D164" s="8" t="n"/>
      <c r="E164" s="8" t="n"/>
      <c r="F164" s="6">
        <f>XLOOKUP("LaborRate",Constants!$A$10:$A$60,Constants!$B$10:$B$60)</f>
        <v/>
      </c>
      <c r="G164" s="6">
        <f>XLOOKUP("Markup",Constants!$A$10:$A$60,Constants!$B$10:$B$60)</f>
        <v/>
      </c>
      <c r="H164" s="6">
        <f>IF(OR(D164="",E164=""),"", D164*E164*F164*G164)</f>
        <v/>
      </c>
      <c r="I164" s="8" t="n"/>
    </row>
    <row r="165">
      <c r="A165" s="8" t="n"/>
      <c r="B165" s="8" t="n"/>
      <c r="C165" s="8" t="n"/>
      <c r="D165" s="8" t="n"/>
      <c r="E165" s="8" t="n"/>
      <c r="F165" s="6">
        <f>XLOOKUP("LaborRate",Constants!$A$10:$A$60,Constants!$B$10:$B$60)</f>
        <v/>
      </c>
      <c r="G165" s="6">
        <f>XLOOKUP("Markup",Constants!$A$10:$A$60,Constants!$B$10:$B$60)</f>
        <v/>
      </c>
      <c r="H165" s="6">
        <f>IF(OR(D165="",E165=""),"", D165*E165*F165*G165)</f>
        <v/>
      </c>
      <c r="I165" s="8" t="n"/>
    </row>
    <row r="166">
      <c r="A166" s="8" t="n"/>
      <c r="B166" s="8" t="n"/>
      <c r="C166" s="8" t="n"/>
      <c r="D166" s="8" t="n"/>
      <c r="E166" s="8" t="n"/>
      <c r="F166" s="6">
        <f>XLOOKUP("LaborRate",Constants!$A$10:$A$60,Constants!$B$10:$B$60)</f>
        <v/>
      </c>
      <c r="G166" s="6">
        <f>XLOOKUP("Markup",Constants!$A$10:$A$60,Constants!$B$10:$B$60)</f>
        <v/>
      </c>
      <c r="H166" s="6">
        <f>IF(OR(D166="",E166=""),"", D166*E166*F166*G166)</f>
        <v/>
      </c>
      <c r="I166" s="8" t="n"/>
    </row>
    <row r="167">
      <c r="A167" s="8" t="n"/>
      <c r="B167" s="8" t="n"/>
      <c r="C167" s="8" t="n"/>
      <c r="D167" s="8" t="n"/>
      <c r="E167" s="8" t="n"/>
      <c r="F167" s="6">
        <f>XLOOKUP("LaborRate",Constants!$A$10:$A$60,Constants!$B$10:$B$60)</f>
        <v/>
      </c>
      <c r="G167" s="6">
        <f>XLOOKUP("Markup",Constants!$A$10:$A$60,Constants!$B$10:$B$60)</f>
        <v/>
      </c>
      <c r="H167" s="6">
        <f>IF(OR(D167="",E167=""),"", D167*E167*F167*G167)</f>
        <v/>
      </c>
      <c r="I167" s="8" t="n"/>
    </row>
    <row r="168">
      <c r="A168" s="8" t="n"/>
      <c r="B168" s="8" t="n"/>
      <c r="C168" s="8" t="n"/>
      <c r="D168" s="8" t="n"/>
      <c r="E168" s="8" t="n"/>
      <c r="F168" s="6">
        <f>XLOOKUP("LaborRate",Constants!$A$10:$A$60,Constants!$B$10:$B$60)</f>
        <v/>
      </c>
      <c r="G168" s="6">
        <f>XLOOKUP("Markup",Constants!$A$10:$A$60,Constants!$B$10:$B$60)</f>
        <v/>
      </c>
      <c r="H168" s="6">
        <f>IF(OR(D168="",E168=""),"", D168*E168*F168*G168)</f>
        <v/>
      </c>
      <c r="I168" s="8" t="n"/>
    </row>
    <row r="169">
      <c r="A169" s="8" t="n"/>
      <c r="B169" s="8" t="n"/>
      <c r="C169" s="8" t="n"/>
      <c r="D169" s="8" t="n"/>
      <c r="E169" s="8" t="n"/>
      <c r="F169" s="6">
        <f>XLOOKUP("LaborRate",Constants!$A$10:$A$60,Constants!$B$10:$B$60)</f>
        <v/>
      </c>
      <c r="G169" s="6">
        <f>XLOOKUP("Markup",Constants!$A$10:$A$60,Constants!$B$10:$B$60)</f>
        <v/>
      </c>
      <c r="H169" s="6">
        <f>IF(OR(D169="",E169=""),"", D169*E169*F169*G169)</f>
        <v/>
      </c>
      <c r="I169" s="8" t="n"/>
    </row>
    <row r="170">
      <c r="A170" s="8" t="n"/>
      <c r="B170" s="8" t="n"/>
      <c r="C170" s="8" t="n"/>
      <c r="D170" s="8" t="n"/>
      <c r="E170" s="8" t="n"/>
      <c r="F170" s="6">
        <f>XLOOKUP("LaborRate",Constants!$A$10:$A$60,Constants!$B$10:$B$60)</f>
        <v/>
      </c>
      <c r="G170" s="6">
        <f>XLOOKUP("Markup",Constants!$A$10:$A$60,Constants!$B$10:$B$60)</f>
        <v/>
      </c>
      <c r="H170" s="6">
        <f>IF(OR(D170="",E170=""),"", D170*E170*F170*G170)</f>
        <v/>
      </c>
      <c r="I170" s="8" t="n"/>
    </row>
    <row r="171">
      <c r="A171" s="8" t="n"/>
      <c r="B171" s="8" t="n"/>
      <c r="C171" s="8" t="n"/>
      <c r="D171" s="8" t="n"/>
      <c r="E171" s="8" t="n"/>
      <c r="F171" s="6">
        <f>XLOOKUP("LaborRate",Constants!$A$10:$A$60,Constants!$B$10:$B$60)</f>
        <v/>
      </c>
      <c r="G171" s="6">
        <f>XLOOKUP("Markup",Constants!$A$10:$A$60,Constants!$B$10:$B$60)</f>
        <v/>
      </c>
      <c r="H171" s="6">
        <f>IF(OR(D171="",E171=""),"", D171*E171*F171*G171)</f>
        <v/>
      </c>
      <c r="I171" s="8" t="n"/>
    </row>
    <row r="172">
      <c r="A172" s="8" t="n"/>
      <c r="B172" s="8" t="n"/>
      <c r="C172" s="8" t="n"/>
      <c r="D172" s="8" t="n"/>
      <c r="E172" s="8" t="n"/>
      <c r="F172" s="6">
        <f>XLOOKUP("LaborRate",Constants!$A$10:$A$60,Constants!$B$10:$B$60)</f>
        <v/>
      </c>
      <c r="G172" s="6">
        <f>XLOOKUP("Markup",Constants!$A$10:$A$60,Constants!$B$10:$B$60)</f>
        <v/>
      </c>
      <c r="H172" s="6">
        <f>IF(OR(D172="",E172=""),"", D172*E172*F172*G172)</f>
        <v/>
      </c>
      <c r="I172" s="8" t="n"/>
    </row>
    <row r="173">
      <c r="A173" s="8" t="n"/>
      <c r="B173" s="8" t="n"/>
      <c r="C173" s="8" t="n"/>
      <c r="D173" s="8" t="n"/>
      <c r="E173" s="8" t="n"/>
      <c r="F173" s="6">
        <f>XLOOKUP("LaborRate",Constants!$A$10:$A$60,Constants!$B$10:$B$60)</f>
        <v/>
      </c>
      <c r="G173" s="6">
        <f>XLOOKUP("Markup",Constants!$A$10:$A$60,Constants!$B$10:$B$60)</f>
        <v/>
      </c>
      <c r="H173" s="6">
        <f>IF(OR(D173="",E173=""),"", D173*E173*F173*G173)</f>
        <v/>
      </c>
      <c r="I173" s="8" t="n"/>
    </row>
    <row r="174">
      <c r="A174" s="8" t="n"/>
      <c r="B174" s="8" t="n"/>
      <c r="C174" s="8" t="n"/>
      <c r="D174" s="8" t="n"/>
      <c r="E174" s="8" t="n"/>
      <c r="F174" s="6">
        <f>XLOOKUP("LaborRate",Constants!$A$10:$A$60,Constants!$B$10:$B$60)</f>
        <v/>
      </c>
      <c r="G174" s="6">
        <f>XLOOKUP("Markup",Constants!$A$10:$A$60,Constants!$B$10:$B$60)</f>
        <v/>
      </c>
      <c r="H174" s="6">
        <f>IF(OR(D174="",E174=""),"", D174*E174*F174*G174)</f>
        <v/>
      </c>
      <c r="I174" s="8" t="n"/>
    </row>
    <row r="175">
      <c r="A175" s="8" t="n"/>
      <c r="B175" s="8" t="n"/>
      <c r="C175" s="8" t="n"/>
      <c r="D175" s="8" t="n"/>
      <c r="E175" s="8" t="n"/>
      <c r="F175" s="6">
        <f>XLOOKUP("LaborRate",Constants!$A$10:$A$60,Constants!$B$10:$B$60)</f>
        <v/>
      </c>
      <c r="G175" s="6">
        <f>XLOOKUP("Markup",Constants!$A$10:$A$60,Constants!$B$10:$B$60)</f>
        <v/>
      </c>
      <c r="H175" s="6">
        <f>IF(OR(D175="",E175=""),"", D175*E175*F175*G175)</f>
        <v/>
      </c>
      <c r="I175" s="8" t="n"/>
    </row>
    <row r="176">
      <c r="A176" s="8" t="n"/>
      <c r="B176" s="8" t="n"/>
      <c r="C176" s="8" t="n"/>
      <c r="D176" s="8" t="n"/>
      <c r="E176" s="8" t="n"/>
      <c r="F176" s="6">
        <f>XLOOKUP("LaborRate",Constants!$A$10:$A$60,Constants!$B$10:$B$60)</f>
        <v/>
      </c>
      <c r="G176" s="6">
        <f>XLOOKUP("Markup",Constants!$A$10:$A$60,Constants!$B$10:$B$60)</f>
        <v/>
      </c>
      <c r="H176" s="6">
        <f>IF(OR(D176="",E176=""),"", D176*E176*F176*G176)</f>
        <v/>
      </c>
      <c r="I176" s="8" t="n"/>
    </row>
    <row r="177">
      <c r="A177" s="8" t="n"/>
      <c r="B177" s="8" t="n"/>
      <c r="C177" s="8" t="n"/>
      <c r="D177" s="8" t="n"/>
      <c r="E177" s="8" t="n"/>
      <c r="F177" s="6">
        <f>XLOOKUP("LaborRate",Constants!$A$10:$A$60,Constants!$B$10:$B$60)</f>
        <v/>
      </c>
      <c r="G177" s="6">
        <f>XLOOKUP("Markup",Constants!$A$10:$A$60,Constants!$B$10:$B$60)</f>
        <v/>
      </c>
      <c r="H177" s="6">
        <f>IF(OR(D177="",E177=""),"", D177*E177*F177*G177)</f>
        <v/>
      </c>
      <c r="I177" s="8" t="n"/>
    </row>
    <row r="178">
      <c r="A178" s="8" t="n"/>
      <c r="B178" s="8" t="n"/>
      <c r="C178" s="8" t="n"/>
      <c r="D178" s="8" t="n"/>
      <c r="E178" s="8" t="n"/>
      <c r="F178" s="6">
        <f>XLOOKUP("LaborRate",Constants!$A$10:$A$60,Constants!$B$10:$B$60)</f>
        <v/>
      </c>
      <c r="G178" s="6">
        <f>XLOOKUP("Markup",Constants!$A$10:$A$60,Constants!$B$10:$B$60)</f>
        <v/>
      </c>
      <c r="H178" s="6">
        <f>IF(OR(D178="",E178=""),"", D178*E178*F178*G178)</f>
        <v/>
      </c>
      <c r="I178" s="8" t="n"/>
    </row>
    <row r="179">
      <c r="A179" s="8" t="n"/>
      <c r="B179" s="8" t="n"/>
      <c r="C179" s="8" t="n"/>
      <c r="D179" s="8" t="n"/>
      <c r="E179" s="8" t="n"/>
      <c r="F179" s="6">
        <f>XLOOKUP("LaborRate",Constants!$A$10:$A$60,Constants!$B$10:$B$60)</f>
        <v/>
      </c>
      <c r="G179" s="6">
        <f>XLOOKUP("Markup",Constants!$A$10:$A$60,Constants!$B$10:$B$60)</f>
        <v/>
      </c>
      <c r="H179" s="6">
        <f>IF(OR(D179="",E179=""),"", D179*E179*F179*G179)</f>
        <v/>
      </c>
      <c r="I179" s="8" t="n"/>
    </row>
    <row r="180">
      <c r="A180" s="8" t="n"/>
      <c r="B180" s="8" t="n"/>
      <c r="C180" s="8" t="n"/>
      <c r="D180" s="8" t="n"/>
      <c r="E180" s="8" t="n"/>
      <c r="F180" s="6">
        <f>XLOOKUP("LaborRate",Constants!$A$10:$A$60,Constants!$B$10:$B$60)</f>
        <v/>
      </c>
      <c r="G180" s="6">
        <f>XLOOKUP("Markup",Constants!$A$10:$A$60,Constants!$B$10:$B$60)</f>
        <v/>
      </c>
      <c r="H180" s="6">
        <f>IF(OR(D180="",E180=""),"", D180*E180*F180*G180)</f>
        <v/>
      </c>
      <c r="I180" s="8" t="n"/>
    </row>
    <row r="181">
      <c r="A181" s="8" t="n"/>
      <c r="B181" s="8" t="n"/>
      <c r="C181" s="8" t="n"/>
      <c r="D181" s="8" t="n"/>
      <c r="E181" s="8" t="n"/>
      <c r="F181" s="6">
        <f>XLOOKUP("LaborRate",Constants!$A$10:$A$60,Constants!$B$10:$B$60)</f>
        <v/>
      </c>
      <c r="G181" s="6">
        <f>XLOOKUP("Markup",Constants!$A$10:$A$60,Constants!$B$10:$B$60)</f>
        <v/>
      </c>
      <c r="H181" s="6">
        <f>IF(OR(D181="",E181=""),"", D181*E181*F181*G181)</f>
        <v/>
      </c>
      <c r="I181" s="8" t="n"/>
    </row>
    <row r="182">
      <c r="A182" s="8" t="n"/>
      <c r="B182" s="8" t="n"/>
      <c r="C182" s="8" t="n"/>
      <c r="D182" s="8" t="n"/>
      <c r="E182" s="8" t="n"/>
      <c r="F182" s="6">
        <f>XLOOKUP("LaborRate",Constants!$A$10:$A$60,Constants!$B$10:$B$60)</f>
        <v/>
      </c>
      <c r="G182" s="6">
        <f>XLOOKUP("Markup",Constants!$A$10:$A$60,Constants!$B$10:$B$60)</f>
        <v/>
      </c>
      <c r="H182" s="6">
        <f>IF(OR(D182="",E182=""),"", D182*E182*F182*G182)</f>
        <v/>
      </c>
      <c r="I182" s="8" t="n"/>
    </row>
    <row r="183">
      <c r="A183" s="8" t="n"/>
      <c r="B183" s="8" t="n"/>
      <c r="C183" s="8" t="n"/>
      <c r="D183" s="8" t="n"/>
      <c r="E183" s="8" t="n"/>
      <c r="F183" s="6">
        <f>XLOOKUP("LaborRate",Constants!$A$10:$A$60,Constants!$B$10:$B$60)</f>
        <v/>
      </c>
      <c r="G183" s="6">
        <f>XLOOKUP("Markup",Constants!$A$10:$A$60,Constants!$B$10:$B$60)</f>
        <v/>
      </c>
      <c r="H183" s="6">
        <f>IF(OR(D183="",E183=""),"", D183*E183*F183*G183)</f>
        <v/>
      </c>
      <c r="I183" s="8" t="n"/>
    </row>
    <row r="184">
      <c r="A184" s="8" t="n"/>
      <c r="B184" s="8" t="n"/>
      <c r="C184" s="8" t="n"/>
      <c r="D184" s="8" t="n"/>
      <c r="E184" s="8" t="n"/>
      <c r="F184" s="6">
        <f>XLOOKUP("LaborRate",Constants!$A$10:$A$60,Constants!$B$10:$B$60)</f>
        <v/>
      </c>
      <c r="G184" s="6">
        <f>XLOOKUP("Markup",Constants!$A$10:$A$60,Constants!$B$10:$B$60)</f>
        <v/>
      </c>
      <c r="H184" s="6">
        <f>IF(OR(D184="",E184=""),"", D184*E184*F184*G184)</f>
        <v/>
      </c>
      <c r="I184" s="8" t="n"/>
    </row>
    <row r="185">
      <c r="A185" s="8" t="n"/>
      <c r="B185" s="8" t="n"/>
      <c r="C185" s="8" t="n"/>
      <c r="D185" s="8" t="n"/>
      <c r="E185" s="8" t="n"/>
      <c r="F185" s="6">
        <f>XLOOKUP("LaborRate",Constants!$A$10:$A$60,Constants!$B$10:$B$60)</f>
        <v/>
      </c>
      <c r="G185" s="6">
        <f>XLOOKUP("Markup",Constants!$A$10:$A$60,Constants!$B$10:$B$60)</f>
        <v/>
      </c>
      <c r="H185" s="6">
        <f>IF(OR(D185="",E185=""),"", D185*E185*F185*G185)</f>
        <v/>
      </c>
      <c r="I185" s="8" t="n"/>
    </row>
    <row r="186">
      <c r="A186" s="8" t="n"/>
      <c r="B186" s="8" t="n"/>
      <c r="C186" s="8" t="n"/>
      <c r="D186" s="8" t="n"/>
      <c r="E186" s="8" t="n"/>
      <c r="F186" s="6">
        <f>XLOOKUP("LaborRate",Constants!$A$10:$A$60,Constants!$B$10:$B$60)</f>
        <v/>
      </c>
      <c r="G186" s="6">
        <f>XLOOKUP("Markup",Constants!$A$10:$A$60,Constants!$B$10:$B$60)</f>
        <v/>
      </c>
      <c r="H186" s="6">
        <f>IF(OR(D186="",E186=""),"", D186*E186*F186*G186)</f>
        <v/>
      </c>
      <c r="I186" s="8" t="n"/>
    </row>
    <row r="187">
      <c r="A187" s="8" t="n"/>
      <c r="B187" s="8" t="n"/>
      <c r="C187" s="8" t="n"/>
      <c r="D187" s="8" t="n"/>
      <c r="E187" s="8" t="n"/>
      <c r="F187" s="6">
        <f>XLOOKUP("LaborRate",Constants!$A$10:$A$60,Constants!$B$10:$B$60)</f>
        <v/>
      </c>
      <c r="G187" s="6">
        <f>XLOOKUP("Markup",Constants!$A$10:$A$60,Constants!$B$10:$B$60)</f>
        <v/>
      </c>
      <c r="H187" s="6">
        <f>IF(OR(D187="",E187=""),"", D187*E187*F187*G187)</f>
        <v/>
      </c>
      <c r="I187" s="8" t="n"/>
    </row>
    <row r="188">
      <c r="A188" s="8" t="n"/>
      <c r="B188" s="8" t="n"/>
      <c r="C188" s="8" t="n"/>
      <c r="D188" s="8" t="n"/>
      <c r="E188" s="8" t="n"/>
      <c r="F188" s="6">
        <f>XLOOKUP("LaborRate",Constants!$A$10:$A$60,Constants!$B$10:$B$60)</f>
        <v/>
      </c>
      <c r="G188" s="6">
        <f>XLOOKUP("Markup",Constants!$A$10:$A$60,Constants!$B$10:$B$60)</f>
        <v/>
      </c>
      <c r="H188" s="6">
        <f>IF(OR(D188="",E188=""),"", D188*E188*F188*G188)</f>
        <v/>
      </c>
      <c r="I188" s="8" t="n"/>
    </row>
    <row r="189">
      <c r="A189" s="8" t="n"/>
      <c r="B189" s="8" t="n"/>
      <c r="C189" s="8" t="n"/>
      <c r="D189" s="8" t="n"/>
      <c r="E189" s="8" t="n"/>
      <c r="F189" s="6">
        <f>XLOOKUP("LaborRate",Constants!$A$10:$A$60,Constants!$B$10:$B$60)</f>
        <v/>
      </c>
      <c r="G189" s="6">
        <f>XLOOKUP("Markup",Constants!$A$10:$A$60,Constants!$B$10:$B$60)</f>
        <v/>
      </c>
      <c r="H189" s="6">
        <f>IF(OR(D189="",E189=""),"", D189*E189*F189*G189)</f>
        <v/>
      </c>
      <c r="I189" s="8" t="n"/>
    </row>
    <row r="190">
      <c r="A190" s="8" t="n"/>
      <c r="B190" s="8" t="n"/>
      <c r="C190" s="8" t="n"/>
      <c r="D190" s="8" t="n"/>
      <c r="E190" s="8" t="n"/>
      <c r="F190" s="6">
        <f>XLOOKUP("LaborRate",Constants!$A$10:$A$60,Constants!$B$10:$B$60)</f>
        <v/>
      </c>
      <c r="G190" s="6">
        <f>XLOOKUP("Markup",Constants!$A$10:$A$60,Constants!$B$10:$B$60)</f>
        <v/>
      </c>
      <c r="H190" s="6">
        <f>IF(OR(D190="",E190=""),"", D190*E190*F190*G190)</f>
        <v/>
      </c>
      <c r="I190" s="8" t="n"/>
    </row>
    <row r="191">
      <c r="A191" s="8" t="n"/>
      <c r="B191" s="8" t="n"/>
      <c r="C191" s="8" t="n"/>
      <c r="D191" s="8" t="n"/>
      <c r="E191" s="8" t="n"/>
      <c r="F191" s="6">
        <f>XLOOKUP("LaborRate",Constants!$A$10:$A$60,Constants!$B$10:$B$60)</f>
        <v/>
      </c>
      <c r="G191" s="6">
        <f>XLOOKUP("Markup",Constants!$A$10:$A$60,Constants!$B$10:$B$60)</f>
        <v/>
      </c>
      <c r="H191" s="6">
        <f>IF(OR(D191="",E191=""),"", D191*E191*F191*G191)</f>
        <v/>
      </c>
      <c r="I191" s="8" t="n"/>
    </row>
    <row r="192">
      <c r="A192" s="8" t="n"/>
      <c r="B192" s="8" t="n"/>
      <c r="C192" s="8" t="n"/>
      <c r="D192" s="8" t="n"/>
      <c r="E192" s="8" t="n"/>
      <c r="F192" s="6">
        <f>XLOOKUP("LaborRate",Constants!$A$10:$A$60,Constants!$B$10:$B$60)</f>
        <v/>
      </c>
      <c r="G192" s="6">
        <f>XLOOKUP("Markup",Constants!$A$10:$A$60,Constants!$B$10:$B$60)</f>
        <v/>
      </c>
      <c r="H192" s="6">
        <f>IF(OR(D192="",E192=""),"", D192*E192*F192*G192)</f>
        <v/>
      </c>
      <c r="I192" s="8" t="n"/>
    </row>
    <row r="193">
      <c r="A193" s="8" t="n"/>
      <c r="B193" s="8" t="n"/>
      <c r="C193" s="8" t="n"/>
      <c r="D193" s="8" t="n"/>
      <c r="E193" s="8" t="n"/>
      <c r="F193" s="6">
        <f>XLOOKUP("LaborRate",Constants!$A$10:$A$60,Constants!$B$10:$B$60)</f>
        <v/>
      </c>
      <c r="G193" s="6">
        <f>XLOOKUP("Markup",Constants!$A$10:$A$60,Constants!$B$10:$B$60)</f>
        <v/>
      </c>
      <c r="H193" s="6">
        <f>IF(OR(D193="",E193=""),"", D193*E193*F193*G193)</f>
        <v/>
      </c>
      <c r="I193" s="8" t="n"/>
    </row>
    <row r="194">
      <c r="A194" s="8" t="n"/>
      <c r="B194" s="8" t="n"/>
      <c r="C194" s="8" t="n"/>
      <c r="D194" s="8" t="n"/>
      <c r="E194" s="8" t="n"/>
      <c r="F194" s="6">
        <f>XLOOKUP("LaborRate",Constants!$A$10:$A$60,Constants!$B$10:$B$60)</f>
        <v/>
      </c>
      <c r="G194" s="6">
        <f>XLOOKUP("Markup",Constants!$A$10:$A$60,Constants!$B$10:$B$60)</f>
        <v/>
      </c>
      <c r="H194" s="6">
        <f>IF(OR(D194="",E194=""),"", D194*E194*F194*G194)</f>
        <v/>
      </c>
      <c r="I194" s="8" t="n"/>
    </row>
    <row r="195">
      <c r="A195" s="8" t="n"/>
      <c r="B195" s="8" t="n"/>
      <c r="C195" s="8" t="n"/>
      <c r="D195" s="8" t="n"/>
      <c r="E195" s="8" t="n"/>
      <c r="F195" s="6">
        <f>XLOOKUP("LaborRate",Constants!$A$10:$A$60,Constants!$B$10:$B$60)</f>
        <v/>
      </c>
      <c r="G195" s="6">
        <f>XLOOKUP("Markup",Constants!$A$10:$A$60,Constants!$B$10:$B$60)</f>
        <v/>
      </c>
      <c r="H195" s="6">
        <f>IF(OR(D195="",E195=""),"", D195*E195*F195*G195)</f>
        <v/>
      </c>
      <c r="I195" s="8" t="n"/>
    </row>
    <row r="196">
      <c r="A196" s="8" t="n"/>
      <c r="B196" s="8" t="n"/>
      <c r="C196" s="8" t="n"/>
      <c r="D196" s="8" t="n"/>
      <c r="E196" s="8" t="n"/>
      <c r="F196" s="6">
        <f>XLOOKUP("LaborRate",Constants!$A$10:$A$60,Constants!$B$10:$B$60)</f>
        <v/>
      </c>
      <c r="G196" s="6">
        <f>XLOOKUP("Markup",Constants!$A$10:$A$60,Constants!$B$10:$B$60)</f>
        <v/>
      </c>
      <c r="H196" s="6">
        <f>IF(OR(D196="",E196=""),"", D196*E196*F196*G196)</f>
        <v/>
      </c>
      <c r="I196" s="8" t="n"/>
    </row>
    <row r="197">
      <c r="A197" s="8" t="n"/>
      <c r="B197" s="8" t="n"/>
      <c r="C197" s="8" t="n"/>
      <c r="D197" s="8" t="n"/>
      <c r="E197" s="8" t="n"/>
      <c r="F197" s="6">
        <f>XLOOKUP("LaborRate",Constants!$A$10:$A$60,Constants!$B$10:$B$60)</f>
        <v/>
      </c>
      <c r="G197" s="6">
        <f>XLOOKUP("Markup",Constants!$A$10:$A$60,Constants!$B$10:$B$60)</f>
        <v/>
      </c>
      <c r="H197" s="6">
        <f>IF(OR(D197="",E197=""),"", D197*E197*F197*G197)</f>
        <v/>
      </c>
      <c r="I197" s="8" t="n"/>
    </row>
    <row r="198">
      <c r="A198" s="8" t="n"/>
      <c r="B198" s="8" t="n"/>
      <c r="C198" s="8" t="n"/>
      <c r="D198" s="8" t="n"/>
      <c r="E198" s="8" t="n"/>
      <c r="F198" s="6">
        <f>XLOOKUP("LaborRate",Constants!$A$10:$A$60,Constants!$B$10:$B$60)</f>
        <v/>
      </c>
      <c r="G198" s="6">
        <f>XLOOKUP("Markup",Constants!$A$10:$A$60,Constants!$B$10:$B$60)</f>
        <v/>
      </c>
      <c r="H198" s="6">
        <f>IF(OR(D198="",E198=""),"", D198*E198*F198*G198)</f>
        <v/>
      </c>
      <c r="I198" s="8" t="n"/>
    </row>
    <row r="199">
      <c r="A199" s="8" t="n"/>
      <c r="B199" s="8" t="n"/>
      <c r="C199" s="8" t="n"/>
      <c r="D199" s="8" t="n"/>
      <c r="E199" s="8" t="n"/>
      <c r="F199" s="6">
        <f>XLOOKUP("LaborRate",Constants!$A$10:$A$60,Constants!$B$10:$B$60)</f>
        <v/>
      </c>
      <c r="G199" s="6">
        <f>XLOOKUP("Markup",Constants!$A$10:$A$60,Constants!$B$10:$B$60)</f>
        <v/>
      </c>
      <c r="H199" s="6">
        <f>IF(OR(D199="",E199=""),"", D199*E199*F199*G199)</f>
        <v/>
      </c>
      <c r="I199" s="8" t="n"/>
    </row>
    <row r="200">
      <c r="A200" s="8" t="n"/>
      <c r="B200" s="8" t="n"/>
      <c r="C200" s="8" t="n"/>
      <c r="D200" s="8" t="n"/>
      <c r="E200" s="8" t="n"/>
      <c r="F200" s="6">
        <f>XLOOKUP("LaborRate",Constants!$A$10:$A$60,Constants!$B$10:$B$60)</f>
        <v/>
      </c>
      <c r="G200" s="6">
        <f>XLOOKUP("Markup",Constants!$A$10:$A$60,Constants!$B$10:$B$60)</f>
        <v/>
      </c>
      <c r="H200" s="6">
        <f>IF(OR(D200="",E200=""),"", D200*E200*F200*G200)</f>
        <v/>
      </c>
      <c r="I200" s="8" t="n"/>
    </row>
    <row r="201">
      <c r="A201" s="8" t="n"/>
      <c r="B201" s="8" t="n"/>
      <c r="C201" s="8" t="n"/>
      <c r="D201" s="8" t="n"/>
      <c r="E201" s="8" t="n"/>
      <c r="F201" s="6">
        <f>XLOOKUP("LaborRate",Constants!$A$10:$A$60,Constants!$B$10:$B$60)</f>
        <v/>
      </c>
      <c r="G201" s="6">
        <f>XLOOKUP("Markup",Constants!$A$10:$A$60,Constants!$B$10:$B$60)</f>
        <v/>
      </c>
      <c r="H201" s="6">
        <f>IF(OR(D201="",E201=""),"", D201*E201*F201*G201)</f>
        <v/>
      </c>
      <c r="I201" s="8" t="n"/>
    </row>
    <row r="202">
      <c r="A202" s="8" t="n"/>
      <c r="B202" s="8" t="n"/>
      <c r="C202" s="8" t="n"/>
      <c r="D202" s="8" t="n"/>
      <c r="E202" s="8" t="n"/>
      <c r="F202" s="6">
        <f>XLOOKUP("LaborRate",Constants!$A$10:$A$60,Constants!$B$10:$B$60)</f>
        <v/>
      </c>
      <c r="G202" s="6">
        <f>XLOOKUP("Markup",Constants!$A$10:$A$60,Constants!$B$10:$B$60)</f>
        <v/>
      </c>
      <c r="H202" s="6">
        <f>IF(OR(D202="",E202=""),"", D202*E202*F202*G202)</f>
        <v/>
      </c>
      <c r="I202" s="8" t="n"/>
    </row>
    <row r="203">
      <c r="A203" s="8" t="n"/>
      <c r="B203" s="8" t="n"/>
      <c r="C203" s="8" t="n"/>
      <c r="D203" s="8" t="n"/>
      <c r="E203" s="8" t="n"/>
      <c r="F203" s="6">
        <f>XLOOKUP("LaborRate",Constants!$A$10:$A$60,Constants!$B$10:$B$60)</f>
        <v/>
      </c>
      <c r="G203" s="6">
        <f>XLOOKUP("Markup",Constants!$A$10:$A$60,Constants!$B$10:$B$60)</f>
        <v/>
      </c>
      <c r="H203" s="6">
        <f>IF(OR(D203="",E203=""),"", D203*E203*F203*G203)</f>
        <v/>
      </c>
      <c r="I203" s="8" t="n"/>
    </row>
  </sheetData>
  <mergeCells count="2">
    <mergeCell ref="A1:I1"/>
    <mergeCell ref="B2:H2"/>
  </mergeCells>
  <dataValidations count="1">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showDropDown="0" showInputMessage="0" showErrorMessage="0" allowBlank="1" type="list">
      <formula1>"Walls,Trim,Ceiling,Other"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03"/>
  <sheetViews>
    <sheetView workbookViewId="0">
      <selection activeCell="A1" sqref="A1"/>
    </sheetView>
  </sheetViews>
  <sheetFormatPr baseColWidth="8" defaultRowHeight="15"/>
  <cols>
    <col hidden="1" width="12" customWidth="1" min="1" max="1"/>
    <col width="18" customWidth="1" min="2" max="2"/>
    <col width="22" customWidth="1" min="3" max="3"/>
    <col width="18" customWidth="1" min="4" max="4"/>
    <col width="12" customWidth="1" min="5" max="5"/>
    <col width="14" customWidth="1" min="6" max="6"/>
    <col width="14" customWidth="1" min="7" max="7"/>
    <col width="28" customWidth="1" min="8" max="8"/>
  </cols>
  <sheetData>
    <row r="1">
      <c r="A1" s="1" t="n"/>
    </row>
    <row r="2">
      <c r="B2" s="12" t="n"/>
    </row>
    <row r="3">
      <c r="A3" s="5" t="inlineStr">
        <is>
          <t>JobID</t>
        </is>
      </c>
      <c r="B3" s="5" t="inlineStr">
        <is>
          <t>Scope (Wall/Ceiling)</t>
        </is>
      </c>
      <c r="C3" s="5" t="inlineStr">
        <is>
          <t>WallColorID (Walls only)</t>
        </is>
      </c>
      <c r="D3" s="5" t="inlineStr">
        <is>
          <t>RollerSize_in (9/14/18)</t>
        </is>
      </c>
      <c r="E3" s="5" t="inlineStr">
        <is>
          <t>CoversQty</t>
        </is>
      </c>
      <c r="F3" s="5" t="inlineStr">
        <is>
          <t>PriceEach (calc)</t>
        </is>
      </c>
      <c r="G3" s="5" t="inlineStr">
        <is>
          <t>Total$ (calc)</t>
        </is>
      </c>
      <c r="H3" t="inlineStr">
        <is>
          <t>Notes</t>
        </is>
      </c>
      <c r="I3" t="inlineStr">
        <is>
          <t>Active?</t>
        </is>
      </c>
    </row>
    <row r="4">
      <c r="F4" s="14" t="n"/>
      <c r="G4" s="14" t="n"/>
    </row>
    <row r="5">
      <c r="F5" s="14" t="n"/>
      <c r="G5" s="14" t="n"/>
    </row>
    <row r="6">
      <c r="F6" s="14" t="n"/>
      <c r="G6" s="14" t="n"/>
    </row>
    <row r="7">
      <c r="F7" s="14" t="n"/>
      <c r="G7" s="14" t="n"/>
    </row>
    <row r="8">
      <c r="F8" s="14" t="n"/>
      <c r="G8" s="14" t="n"/>
    </row>
    <row r="9">
      <c r="F9" s="14" t="n"/>
      <c r="G9" s="14" t="n"/>
    </row>
    <row r="10">
      <c r="F10" s="14" t="n"/>
      <c r="G10" s="14" t="n"/>
    </row>
    <row r="11">
      <c r="F11" s="14" t="n"/>
      <c r="G11" s="14" t="n"/>
    </row>
    <row r="12">
      <c r="F12" s="14" t="n"/>
      <c r="G12" s="14" t="n"/>
    </row>
    <row r="13">
      <c r="F13" s="14" t="n"/>
      <c r="G13" s="14" t="n"/>
    </row>
    <row r="14">
      <c r="F14" s="14" t="n"/>
      <c r="G14" s="14" t="n"/>
    </row>
    <row r="15">
      <c r="F15" s="14" t="n"/>
      <c r="G15" s="14" t="n"/>
    </row>
    <row r="16">
      <c r="F16" s="14" t="n"/>
      <c r="G16" s="14" t="n"/>
    </row>
    <row r="17">
      <c r="F17" s="14" t="n"/>
      <c r="G17" s="14" t="n"/>
    </row>
    <row r="18">
      <c r="F18" s="14" t="n"/>
      <c r="G18" s="14" t="n"/>
    </row>
    <row r="19">
      <c r="F19" s="14" t="n"/>
      <c r="G19" s="14" t="n"/>
    </row>
    <row r="20">
      <c r="F20" s="14" t="n"/>
      <c r="G20" s="14" t="n"/>
    </row>
    <row r="21">
      <c r="F21" s="14" t="n"/>
      <c r="G21" s="14" t="n"/>
    </row>
    <row r="22">
      <c r="F22" s="14" t="n"/>
      <c r="G22" s="14" t="n"/>
    </row>
    <row r="23">
      <c r="F23" s="14" t="n"/>
      <c r="G23" s="14" t="n"/>
    </row>
    <row r="24">
      <c r="F24" s="14" t="n"/>
      <c r="G24" s="14" t="n"/>
    </row>
    <row r="25">
      <c r="F25" s="14" t="n"/>
      <c r="G25" s="14" t="n"/>
    </row>
    <row r="26">
      <c r="F26" s="14" t="n"/>
      <c r="G26" s="14" t="n"/>
    </row>
    <row r="27">
      <c r="F27" s="14" t="n"/>
      <c r="G27" s="14" t="n"/>
    </row>
    <row r="28">
      <c r="F28" s="14" t="n"/>
      <c r="G28" s="14" t="n"/>
    </row>
    <row r="29">
      <c r="F29" s="14" t="n"/>
      <c r="G29" s="14" t="n"/>
    </row>
    <row r="30">
      <c r="F30" s="14" t="n"/>
      <c r="G30" s="14" t="n"/>
    </row>
    <row r="31">
      <c r="F31" s="14" t="n"/>
      <c r="G31" s="14" t="n"/>
    </row>
    <row r="32">
      <c r="F32" s="14" t="n"/>
      <c r="G32" s="14" t="n"/>
    </row>
    <row r="33">
      <c r="F33" s="14" t="n"/>
      <c r="G33" s="14" t="n"/>
    </row>
    <row r="34">
      <c r="F34" s="14" t="n"/>
      <c r="G34" s="14" t="n"/>
    </row>
    <row r="35">
      <c r="F35" s="14" t="n"/>
      <c r="G35" s="14" t="n"/>
    </row>
    <row r="36">
      <c r="F36" s="14" t="n"/>
      <c r="G36" s="14" t="n"/>
    </row>
    <row r="37">
      <c r="F37" s="14" t="n"/>
      <c r="G37" s="14" t="n"/>
    </row>
    <row r="38">
      <c r="F38" s="14" t="n"/>
      <c r="G38" s="14" t="n"/>
    </row>
    <row r="39">
      <c r="F39" s="14" t="n"/>
      <c r="G39" s="14" t="n"/>
    </row>
    <row r="40">
      <c r="F40" s="14" t="n"/>
      <c r="G40" s="14" t="n"/>
    </row>
    <row r="41">
      <c r="F41" s="14" t="n"/>
      <c r="G41" s="14" t="n"/>
    </row>
    <row r="42">
      <c r="F42" s="14" t="n"/>
      <c r="G42" s="14" t="n"/>
    </row>
    <row r="43">
      <c r="F43" s="14" t="n"/>
      <c r="G43" s="14" t="n"/>
    </row>
    <row r="44">
      <c r="F44" s="14" t="n"/>
      <c r="G44" s="14" t="n"/>
    </row>
    <row r="45">
      <c r="F45" s="14" t="n"/>
      <c r="G45" s="14" t="n"/>
    </row>
    <row r="46">
      <c r="F46" s="14" t="n"/>
      <c r="G46" s="14" t="n"/>
    </row>
    <row r="47">
      <c r="F47" s="14" t="n"/>
      <c r="G47" s="14" t="n"/>
    </row>
    <row r="48">
      <c r="F48" s="14" t="n"/>
      <c r="G48" s="14" t="n"/>
    </row>
    <row r="49">
      <c r="F49" s="14" t="n"/>
      <c r="G49" s="14" t="n"/>
    </row>
    <row r="50">
      <c r="F50" s="14" t="n"/>
      <c r="G50" s="14" t="n"/>
    </row>
    <row r="51">
      <c r="F51" s="14" t="n"/>
      <c r="G51" s="14" t="n"/>
    </row>
    <row r="52">
      <c r="F52" s="14" t="n"/>
      <c r="G52" s="14" t="n"/>
    </row>
    <row r="53">
      <c r="F53" s="14" t="n"/>
      <c r="G53" s="14" t="n"/>
    </row>
    <row r="54">
      <c r="F54" s="14" t="n"/>
      <c r="G54" s="14" t="n"/>
    </row>
    <row r="55">
      <c r="F55" s="14" t="n"/>
      <c r="G55" s="14" t="n"/>
    </row>
    <row r="56">
      <c r="F56" s="14" t="n"/>
      <c r="G56" s="14" t="n"/>
    </row>
    <row r="57">
      <c r="F57" s="14" t="n"/>
      <c r="G57" s="14" t="n"/>
    </row>
    <row r="58">
      <c r="F58" s="14" t="n"/>
      <c r="G58" s="14" t="n"/>
    </row>
    <row r="59">
      <c r="F59" s="14" t="n"/>
      <c r="G59" s="14" t="n"/>
    </row>
    <row r="60">
      <c r="F60" s="14" t="n"/>
      <c r="G60" s="14" t="n"/>
    </row>
    <row r="61">
      <c r="F61" s="14" t="n"/>
      <c r="G61" s="14" t="n"/>
    </row>
    <row r="62">
      <c r="F62" s="14" t="n"/>
      <c r="G62" s="14" t="n"/>
    </row>
    <row r="63">
      <c r="F63" s="14" t="n"/>
      <c r="G63" s="14" t="n"/>
    </row>
    <row r="64">
      <c r="F64" s="14" t="n"/>
      <c r="G64" s="14" t="n"/>
    </row>
    <row r="65">
      <c r="F65" s="14" t="n"/>
      <c r="G65" s="14" t="n"/>
    </row>
    <row r="66">
      <c r="F66" s="14" t="n"/>
      <c r="G66" s="14" t="n"/>
    </row>
    <row r="67">
      <c r="F67" s="14" t="n"/>
      <c r="G67" s="14" t="n"/>
    </row>
    <row r="68">
      <c r="F68" s="14" t="n"/>
      <c r="G68" s="14" t="n"/>
    </row>
    <row r="69">
      <c r="F69" s="14" t="n"/>
      <c r="G69" s="14" t="n"/>
    </row>
    <row r="70">
      <c r="F70" s="14" t="n"/>
      <c r="G70" s="14" t="n"/>
    </row>
    <row r="71">
      <c r="F71" s="14" t="n"/>
      <c r="G71" s="14" t="n"/>
    </row>
    <row r="72">
      <c r="F72" s="14" t="n"/>
      <c r="G72" s="14" t="n"/>
    </row>
    <row r="73">
      <c r="F73" s="14" t="n"/>
      <c r="G73" s="14" t="n"/>
    </row>
    <row r="74">
      <c r="F74" s="14" t="n"/>
      <c r="G74" s="14" t="n"/>
    </row>
    <row r="75">
      <c r="F75" s="14" t="n"/>
      <c r="G75" s="14" t="n"/>
    </row>
    <row r="76">
      <c r="F76" s="14" t="n"/>
      <c r="G76" s="14" t="n"/>
    </row>
    <row r="77">
      <c r="F77" s="14" t="n"/>
      <c r="G77" s="14" t="n"/>
    </row>
    <row r="78">
      <c r="F78" s="14" t="n"/>
      <c r="G78" s="14" t="n"/>
    </row>
    <row r="79">
      <c r="F79" s="14" t="n"/>
      <c r="G79" s="14" t="n"/>
    </row>
    <row r="80">
      <c r="F80" s="14" t="n"/>
      <c r="G80" s="14" t="n"/>
    </row>
    <row r="81">
      <c r="F81" s="14" t="n"/>
      <c r="G81" s="14" t="n"/>
    </row>
    <row r="82">
      <c r="F82" s="14" t="n"/>
      <c r="G82" s="14" t="n"/>
    </row>
    <row r="83">
      <c r="F83" s="14" t="n"/>
      <c r="G83" s="14" t="n"/>
    </row>
    <row r="84">
      <c r="F84" s="14" t="n"/>
      <c r="G84" s="14" t="n"/>
    </row>
    <row r="85">
      <c r="F85" s="14" t="n"/>
      <c r="G85" s="14" t="n"/>
    </row>
    <row r="86">
      <c r="F86" s="14" t="n"/>
      <c r="G86" s="14" t="n"/>
    </row>
    <row r="87">
      <c r="F87" s="14" t="n"/>
      <c r="G87" s="14" t="n"/>
    </row>
    <row r="88">
      <c r="F88" s="14" t="n"/>
      <c r="G88" s="14" t="n"/>
    </row>
    <row r="89">
      <c r="F89" s="14" t="n"/>
      <c r="G89" s="14" t="n"/>
    </row>
    <row r="90">
      <c r="F90" s="14" t="n"/>
      <c r="G90" s="14" t="n"/>
    </row>
    <row r="91">
      <c r="F91" s="14" t="n"/>
      <c r="G91" s="14" t="n"/>
    </row>
    <row r="92">
      <c r="F92" s="14" t="n"/>
      <c r="G92" s="14" t="n"/>
    </row>
    <row r="93">
      <c r="F93" s="14" t="n"/>
      <c r="G93" s="14" t="n"/>
    </row>
    <row r="94">
      <c r="F94" s="14" t="n"/>
      <c r="G94" s="14" t="n"/>
    </row>
    <row r="95">
      <c r="F95" s="14" t="n"/>
      <c r="G95" s="14" t="n"/>
    </row>
    <row r="96">
      <c r="F96" s="14" t="n"/>
      <c r="G96" s="14" t="n"/>
    </row>
    <row r="97">
      <c r="F97" s="14" t="n"/>
      <c r="G97" s="14" t="n"/>
    </row>
    <row r="98">
      <c r="F98" s="14" t="n"/>
      <c r="G98" s="14" t="n"/>
    </row>
    <row r="99">
      <c r="F99" s="14" t="n"/>
      <c r="G99" s="14" t="n"/>
    </row>
    <row r="100">
      <c r="F100" s="14" t="n"/>
      <c r="G100" s="14" t="n"/>
    </row>
    <row r="101">
      <c r="F101" s="14" t="n"/>
      <c r="G101" s="14" t="n"/>
    </row>
    <row r="102">
      <c r="F102" s="14" t="n"/>
      <c r="G102" s="14" t="n"/>
    </row>
    <row r="103">
      <c r="F103" s="14" t="n"/>
      <c r="G103" s="14" t="n"/>
    </row>
    <row r="104">
      <c r="F104" s="14" t="n"/>
      <c r="G104" s="14" t="n"/>
    </row>
    <row r="105">
      <c r="F105" s="14" t="n"/>
      <c r="G105" s="14" t="n"/>
    </row>
    <row r="106">
      <c r="F106" s="14" t="n"/>
      <c r="G106" s="14" t="n"/>
    </row>
    <row r="107">
      <c r="F107" s="14" t="n"/>
      <c r="G107" s="14" t="n"/>
    </row>
    <row r="108">
      <c r="F108" s="14" t="n"/>
      <c r="G108" s="14" t="n"/>
    </row>
    <row r="109">
      <c r="F109" s="14" t="n"/>
      <c r="G109" s="14" t="n"/>
    </row>
    <row r="110">
      <c r="F110" s="14" t="n"/>
      <c r="G110" s="14" t="n"/>
    </row>
    <row r="111">
      <c r="F111" s="14" t="n"/>
      <c r="G111" s="14" t="n"/>
    </row>
    <row r="112">
      <c r="F112" s="14" t="n"/>
      <c r="G112" s="14" t="n"/>
    </row>
    <row r="113">
      <c r="F113" s="14" t="n"/>
      <c r="G113" s="14" t="n"/>
    </row>
    <row r="114">
      <c r="F114" s="14" t="n"/>
      <c r="G114" s="14" t="n"/>
    </row>
    <row r="115">
      <c r="F115" s="14" t="n"/>
      <c r="G115" s="14" t="n"/>
    </row>
    <row r="116">
      <c r="F116" s="14" t="n"/>
      <c r="G116" s="14" t="n"/>
    </row>
    <row r="117">
      <c r="F117" s="14" t="n"/>
      <c r="G117" s="14" t="n"/>
    </row>
    <row r="118">
      <c r="F118" s="14" t="n"/>
      <c r="G118" s="14" t="n"/>
    </row>
    <row r="119">
      <c r="F119" s="14" t="n"/>
      <c r="G119" s="14" t="n"/>
    </row>
    <row r="120">
      <c r="F120" s="14" t="n"/>
      <c r="G120" s="14" t="n"/>
    </row>
    <row r="121">
      <c r="F121" s="14" t="n"/>
      <c r="G121" s="14" t="n"/>
    </row>
    <row r="122">
      <c r="F122" s="14" t="n"/>
      <c r="G122" s="14" t="n"/>
    </row>
    <row r="123">
      <c r="F123" s="14" t="n"/>
      <c r="G123" s="14" t="n"/>
    </row>
    <row r="124">
      <c r="F124" s="14" t="n"/>
      <c r="G124" s="14" t="n"/>
    </row>
    <row r="125">
      <c r="F125" s="14" t="n"/>
      <c r="G125" s="14" t="n"/>
    </row>
    <row r="126">
      <c r="F126" s="14" t="n"/>
      <c r="G126" s="14" t="n"/>
    </row>
    <row r="127">
      <c r="F127" s="14" t="n"/>
      <c r="G127" s="14" t="n"/>
    </row>
    <row r="128">
      <c r="F128" s="14" t="n"/>
      <c r="G128" s="14" t="n"/>
    </row>
    <row r="129">
      <c r="F129" s="14" t="n"/>
      <c r="G129" s="14" t="n"/>
    </row>
    <row r="130">
      <c r="F130" s="14" t="n"/>
      <c r="G130" s="14" t="n"/>
    </row>
    <row r="131">
      <c r="F131" s="14" t="n"/>
      <c r="G131" s="14" t="n"/>
    </row>
    <row r="132">
      <c r="F132" s="14" t="n"/>
      <c r="G132" s="14" t="n"/>
    </row>
    <row r="133">
      <c r="F133" s="14" t="n"/>
      <c r="G133" s="14" t="n"/>
    </row>
    <row r="134">
      <c r="F134" s="14" t="n"/>
      <c r="G134" s="14" t="n"/>
    </row>
    <row r="135">
      <c r="F135" s="14" t="n"/>
      <c r="G135" s="14" t="n"/>
    </row>
    <row r="136">
      <c r="F136" s="14" t="n"/>
      <c r="G136" s="14" t="n"/>
    </row>
    <row r="137">
      <c r="F137" s="14" t="n"/>
      <c r="G137" s="14" t="n"/>
    </row>
    <row r="138">
      <c r="F138" s="14" t="n"/>
      <c r="G138" s="14" t="n"/>
    </row>
    <row r="139">
      <c r="F139" s="14" t="n"/>
      <c r="G139" s="14" t="n"/>
    </row>
    <row r="140">
      <c r="F140" s="14" t="n"/>
      <c r="G140" s="14" t="n"/>
    </row>
    <row r="141">
      <c r="F141" s="14" t="n"/>
      <c r="G141" s="14" t="n"/>
    </row>
    <row r="142">
      <c r="F142" s="14" t="n"/>
      <c r="G142" s="14" t="n"/>
    </row>
    <row r="143">
      <c r="F143" s="14" t="n"/>
      <c r="G143" s="14" t="n"/>
    </row>
    <row r="144">
      <c r="F144" s="14" t="n"/>
      <c r="G144" s="14" t="n"/>
    </row>
    <row r="145">
      <c r="F145" s="14" t="n"/>
      <c r="G145" s="14" t="n"/>
    </row>
    <row r="146">
      <c r="F146" s="14" t="n"/>
      <c r="G146" s="14" t="n"/>
    </row>
    <row r="147">
      <c r="F147" s="14" t="n"/>
      <c r="G147" s="14" t="n"/>
    </row>
    <row r="148">
      <c r="F148" s="14" t="n"/>
      <c r="G148" s="14" t="n"/>
    </row>
    <row r="149">
      <c r="F149" s="14" t="n"/>
      <c r="G149" s="14" t="n"/>
    </row>
    <row r="150">
      <c r="F150" s="14" t="n"/>
      <c r="G150" s="14" t="n"/>
    </row>
    <row r="151">
      <c r="F151" s="14" t="n"/>
      <c r="G151" s="14" t="n"/>
    </row>
    <row r="152">
      <c r="F152" s="14" t="n"/>
      <c r="G152" s="14" t="n"/>
    </row>
    <row r="153">
      <c r="F153" s="14" t="n"/>
      <c r="G153" s="14" t="n"/>
    </row>
    <row r="154">
      <c r="F154" s="14" t="n"/>
      <c r="G154" s="14" t="n"/>
    </row>
    <row r="155">
      <c r="F155" s="14" t="n"/>
      <c r="G155" s="14" t="n"/>
    </row>
    <row r="156">
      <c r="F156" s="14" t="n"/>
      <c r="G156" s="14" t="n"/>
    </row>
    <row r="157">
      <c r="F157" s="14" t="n"/>
      <c r="G157" s="14" t="n"/>
    </row>
    <row r="158">
      <c r="F158" s="14" t="n"/>
      <c r="G158" s="14" t="n"/>
    </row>
    <row r="159">
      <c r="F159" s="14" t="n"/>
      <c r="G159" s="14" t="n"/>
    </row>
    <row r="160">
      <c r="F160" s="14" t="n"/>
      <c r="G160" s="14" t="n"/>
    </row>
    <row r="161">
      <c r="F161" s="14" t="n"/>
      <c r="G161" s="14" t="n"/>
    </row>
    <row r="162">
      <c r="F162" s="14" t="n"/>
      <c r="G162" s="14" t="n"/>
    </row>
    <row r="163">
      <c r="F163" s="14" t="n"/>
      <c r="G163" s="14" t="n"/>
    </row>
    <row r="164">
      <c r="F164" s="14" t="n"/>
      <c r="G164" s="14" t="n"/>
    </row>
    <row r="165">
      <c r="F165" s="14" t="n"/>
      <c r="G165" s="14" t="n"/>
    </row>
    <row r="166">
      <c r="F166" s="14" t="n"/>
      <c r="G166" s="14" t="n"/>
    </row>
    <row r="167">
      <c r="F167" s="14" t="n"/>
      <c r="G167" s="14" t="n"/>
    </row>
    <row r="168">
      <c r="F168" s="14" t="n"/>
      <c r="G168" s="14" t="n"/>
    </row>
    <row r="169">
      <c r="F169" s="14" t="n"/>
      <c r="G169" s="14" t="n"/>
    </row>
    <row r="170">
      <c r="F170" s="14" t="n"/>
      <c r="G170" s="14" t="n"/>
    </row>
    <row r="171">
      <c r="F171" s="14" t="n"/>
      <c r="G171" s="14" t="n"/>
    </row>
    <row r="172">
      <c r="F172" s="14" t="n"/>
      <c r="G172" s="14" t="n"/>
    </row>
    <row r="173">
      <c r="F173" s="14" t="n"/>
      <c r="G173" s="14" t="n"/>
    </row>
    <row r="174">
      <c r="F174" s="14" t="n"/>
      <c r="G174" s="14" t="n"/>
    </row>
    <row r="175">
      <c r="F175" s="14" t="n"/>
      <c r="G175" s="14" t="n"/>
    </row>
    <row r="176">
      <c r="F176" s="14" t="n"/>
      <c r="G176" s="14" t="n"/>
    </row>
    <row r="177">
      <c r="F177" s="14" t="n"/>
      <c r="G177" s="14" t="n"/>
    </row>
    <row r="178">
      <c r="F178" s="14" t="n"/>
      <c r="G178" s="14" t="n"/>
    </row>
    <row r="179">
      <c r="F179" s="14" t="n"/>
      <c r="G179" s="14" t="n"/>
    </row>
    <row r="180">
      <c r="F180" s="14" t="n"/>
      <c r="G180" s="14" t="n"/>
    </row>
    <row r="181">
      <c r="F181" s="14" t="n"/>
      <c r="G181" s="14" t="n"/>
    </row>
    <row r="182">
      <c r="F182" s="14" t="n"/>
      <c r="G182" s="14" t="n"/>
    </row>
    <row r="183">
      <c r="F183" s="14" t="n"/>
      <c r="G183" s="14" t="n"/>
    </row>
    <row r="184">
      <c r="F184" s="14" t="n"/>
      <c r="G184" s="14" t="n"/>
    </row>
    <row r="185">
      <c r="F185" s="14" t="n"/>
      <c r="G185" s="14" t="n"/>
    </row>
    <row r="186">
      <c r="F186" s="14" t="n"/>
      <c r="G186" s="14" t="n"/>
    </row>
    <row r="187">
      <c r="F187" s="14" t="n"/>
      <c r="G187" s="14" t="n"/>
    </row>
    <row r="188">
      <c r="F188" s="14" t="n"/>
      <c r="G188" s="14" t="n"/>
    </row>
    <row r="189">
      <c r="F189" s="14" t="n"/>
      <c r="G189" s="14" t="n"/>
    </row>
    <row r="190">
      <c r="F190" s="14" t="n"/>
      <c r="G190" s="14" t="n"/>
    </row>
    <row r="191">
      <c r="F191" s="14" t="n"/>
      <c r="G191" s="14" t="n"/>
    </row>
    <row r="192">
      <c r="F192" s="14" t="n"/>
      <c r="G192" s="14" t="n"/>
    </row>
    <row r="193">
      <c r="F193" s="14" t="n"/>
      <c r="G193" s="14" t="n"/>
    </row>
    <row r="194">
      <c r="F194" s="14" t="n"/>
      <c r="G194" s="14" t="n"/>
    </row>
    <row r="195">
      <c r="F195" s="14" t="n"/>
      <c r="G195" s="14" t="n"/>
    </row>
    <row r="196">
      <c r="F196" s="14" t="n"/>
      <c r="G196" s="14" t="n"/>
    </row>
    <row r="197">
      <c r="F197" s="14" t="n"/>
      <c r="G197" s="14" t="n"/>
    </row>
    <row r="198">
      <c r="F198" s="14" t="n"/>
      <c r="G198" s="14" t="n"/>
    </row>
    <row r="199">
      <c r="F199" s="14" t="n"/>
      <c r="G199" s="14" t="n"/>
    </row>
    <row r="200">
      <c r="F200" s="14" t="n"/>
      <c r="G200" s="14" t="n"/>
    </row>
    <row r="201">
      <c r="F201" s="14" t="n"/>
      <c r="G201" s="14" t="n"/>
    </row>
    <row r="202">
      <c r="F202" s="14" t="n"/>
      <c r="G202" s="14" t="n"/>
    </row>
    <row r="203">
      <c r="F203" s="14" t="n"/>
      <c r="G203" s="14" t="n"/>
    </row>
    <row r="204">
      <c r="F204" s="14" t="n"/>
      <c r="G204" s="14" t="n"/>
    </row>
    <row r="205">
      <c r="F205" s="14" t="n"/>
      <c r="G205" s="14" t="n"/>
    </row>
    <row r="206">
      <c r="F206" s="14" t="n"/>
      <c r="G206" s="14" t="n"/>
    </row>
    <row r="207">
      <c r="F207" s="14" t="n"/>
      <c r="G207" s="14" t="n"/>
    </row>
    <row r="208">
      <c r="F208" s="14" t="n"/>
      <c r="G208" s="14" t="n"/>
    </row>
    <row r="209">
      <c r="F209" s="14" t="n"/>
      <c r="G209" s="14" t="n"/>
    </row>
    <row r="210">
      <c r="F210" s="14" t="n"/>
      <c r="G210" s="14" t="n"/>
    </row>
    <row r="211">
      <c r="F211" s="14" t="n"/>
      <c r="G211" s="14" t="n"/>
    </row>
    <row r="212">
      <c r="F212" s="14" t="n"/>
      <c r="G212" s="14" t="n"/>
    </row>
    <row r="213">
      <c r="F213" s="14" t="n"/>
      <c r="G213" s="14" t="n"/>
    </row>
    <row r="214">
      <c r="F214" s="14" t="n"/>
      <c r="G214" s="14" t="n"/>
    </row>
    <row r="215">
      <c r="F215" s="14" t="n"/>
      <c r="G215" s="14" t="n"/>
    </row>
    <row r="216">
      <c r="F216" s="14" t="n"/>
      <c r="G216" s="14" t="n"/>
    </row>
    <row r="217">
      <c r="F217" s="14" t="n"/>
      <c r="G217" s="14" t="n"/>
    </row>
    <row r="218">
      <c r="F218" s="14" t="n"/>
      <c r="G218" s="14" t="n"/>
    </row>
    <row r="219">
      <c r="F219" s="14" t="n"/>
      <c r="G219" s="14" t="n"/>
    </row>
    <row r="220">
      <c r="F220" s="14" t="n"/>
      <c r="G220" s="14" t="n"/>
    </row>
    <row r="221">
      <c r="F221" s="14" t="n"/>
      <c r="G221" s="14" t="n"/>
    </row>
    <row r="222">
      <c r="F222" s="14" t="n"/>
      <c r="G222" s="14" t="n"/>
    </row>
    <row r="223">
      <c r="F223" s="14" t="n"/>
      <c r="G223" s="14" t="n"/>
    </row>
    <row r="224">
      <c r="F224" s="14" t="n"/>
      <c r="G224" s="14" t="n"/>
    </row>
    <row r="225">
      <c r="F225" s="14" t="n"/>
      <c r="G225" s="14" t="n"/>
    </row>
    <row r="226">
      <c r="F226" s="14" t="n"/>
      <c r="G226" s="14" t="n"/>
    </row>
    <row r="227">
      <c r="F227" s="14" t="n"/>
      <c r="G227" s="14" t="n"/>
    </row>
    <row r="228">
      <c r="F228" s="14" t="n"/>
      <c r="G228" s="14" t="n"/>
    </row>
    <row r="229">
      <c r="F229" s="14" t="n"/>
      <c r="G229" s="14" t="n"/>
    </row>
    <row r="230">
      <c r="F230" s="14" t="n"/>
      <c r="G230" s="14" t="n"/>
    </row>
    <row r="231">
      <c r="F231" s="14" t="n"/>
      <c r="G231" s="14" t="n"/>
    </row>
    <row r="232">
      <c r="F232" s="14" t="n"/>
      <c r="G232" s="14" t="n"/>
    </row>
    <row r="233">
      <c r="F233" s="14" t="n"/>
      <c r="G233" s="14" t="n"/>
    </row>
    <row r="234">
      <c r="F234" s="14" t="n"/>
      <c r="G234" s="14" t="n"/>
    </row>
    <row r="235">
      <c r="F235" s="14" t="n"/>
      <c r="G235" s="14" t="n"/>
    </row>
    <row r="236">
      <c r="F236" s="14" t="n"/>
      <c r="G236" s="14" t="n"/>
    </row>
    <row r="237">
      <c r="F237" s="14" t="n"/>
      <c r="G237" s="14" t="n"/>
    </row>
    <row r="238">
      <c r="F238" s="14" t="n"/>
      <c r="G238" s="14" t="n"/>
    </row>
    <row r="239">
      <c r="F239" s="14" t="n"/>
      <c r="G239" s="14" t="n"/>
    </row>
    <row r="240">
      <c r="F240" s="14" t="n"/>
      <c r="G240" s="14" t="n"/>
    </row>
    <row r="241">
      <c r="F241" s="14" t="n"/>
      <c r="G241" s="14" t="n"/>
    </row>
    <row r="242">
      <c r="F242" s="14" t="n"/>
      <c r="G242" s="14" t="n"/>
    </row>
    <row r="243">
      <c r="F243" s="14" t="n"/>
      <c r="G243" s="14" t="n"/>
    </row>
    <row r="244">
      <c r="F244" s="14" t="n"/>
      <c r="G244" s="14" t="n"/>
    </row>
    <row r="245">
      <c r="F245" s="14" t="n"/>
      <c r="G245" s="14" t="n"/>
    </row>
    <row r="246">
      <c r="F246" s="14" t="n"/>
      <c r="G246" s="14" t="n"/>
    </row>
    <row r="247">
      <c r="F247" s="14" t="n"/>
      <c r="G247" s="14" t="n"/>
    </row>
    <row r="248">
      <c r="F248" s="14" t="n"/>
      <c r="G248" s="14" t="n"/>
    </row>
    <row r="249">
      <c r="F249" s="14" t="n"/>
      <c r="G249" s="14" t="n"/>
    </row>
    <row r="250">
      <c r="F250" s="14" t="n"/>
      <c r="G250" s="14" t="n"/>
    </row>
    <row r="251">
      <c r="F251" s="14" t="n"/>
      <c r="G251" s="14" t="n"/>
    </row>
    <row r="252">
      <c r="F252" s="14" t="n"/>
      <c r="G252" s="14" t="n"/>
    </row>
    <row r="253">
      <c r="F253" s="14" t="n"/>
      <c r="G253" s="14" t="n"/>
    </row>
    <row r="254">
      <c r="F254" s="14" t="n"/>
      <c r="G254" s="14" t="n"/>
    </row>
    <row r="255">
      <c r="F255" s="14" t="n"/>
      <c r="G255" s="14" t="n"/>
    </row>
    <row r="256">
      <c r="F256" s="14" t="n"/>
      <c r="G256" s="14" t="n"/>
    </row>
    <row r="257">
      <c r="F257" s="14" t="n"/>
      <c r="G257" s="14" t="n"/>
    </row>
    <row r="258">
      <c r="F258" s="14" t="n"/>
      <c r="G258" s="14" t="n"/>
    </row>
    <row r="259">
      <c r="F259" s="14" t="n"/>
      <c r="G259" s="14" t="n"/>
    </row>
    <row r="260">
      <c r="F260" s="14" t="n"/>
      <c r="G260" s="14" t="n"/>
    </row>
    <row r="261">
      <c r="F261" s="14" t="n"/>
      <c r="G261" s="14" t="n"/>
    </row>
    <row r="262">
      <c r="F262" s="14" t="n"/>
      <c r="G262" s="14" t="n"/>
    </row>
    <row r="263">
      <c r="F263" s="14" t="n"/>
      <c r="G263" s="14" t="n"/>
    </row>
    <row r="264">
      <c r="F264" s="14" t="n"/>
      <c r="G264" s="14" t="n"/>
    </row>
    <row r="265">
      <c r="F265" s="14" t="n"/>
      <c r="G265" s="14" t="n"/>
    </row>
    <row r="266">
      <c r="F266" s="14" t="n"/>
      <c r="G266" s="14" t="n"/>
    </row>
    <row r="267">
      <c r="F267" s="14" t="n"/>
      <c r="G267" s="14" t="n"/>
    </row>
    <row r="268">
      <c r="F268" s="14" t="n"/>
      <c r="G268" s="14" t="n"/>
    </row>
    <row r="269">
      <c r="F269" s="14" t="n"/>
      <c r="G269" s="14" t="n"/>
    </row>
    <row r="270">
      <c r="F270" s="14" t="n"/>
      <c r="G270" s="14" t="n"/>
    </row>
    <row r="271">
      <c r="F271" s="14" t="n"/>
      <c r="G271" s="14" t="n"/>
    </row>
    <row r="272">
      <c r="F272" s="14" t="n"/>
      <c r="G272" s="14" t="n"/>
    </row>
    <row r="273">
      <c r="F273" s="14" t="n"/>
      <c r="G273" s="14" t="n"/>
    </row>
    <row r="274">
      <c r="F274" s="14" t="n"/>
      <c r="G274" s="14" t="n"/>
    </row>
    <row r="275">
      <c r="F275" s="14" t="n"/>
      <c r="G275" s="14" t="n"/>
    </row>
    <row r="276">
      <c r="F276" s="14" t="n"/>
      <c r="G276" s="14" t="n"/>
    </row>
    <row r="277">
      <c r="F277" s="14" t="n"/>
      <c r="G277" s="14" t="n"/>
    </row>
    <row r="278">
      <c r="F278" s="14" t="n"/>
      <c r="G278" s="14" t="n"/>
    </row>
    <row r="279">
      <c r="F279" s="14" t="n"/>
      <c r="G279" s="14" t="n"/>
    </row>
    <row r="280">
      <c r="F280" s="14" t="n"/>
      <c r="G280" s="14" t="n"/>
    </row>
    <row r="281">
      <c r="F281" s="14" t="n"/>
      <c r="G281" s="14" t="n"/>
    </row>
    <row r="282">
      <c r="F282" s="14" t="n"/>
      <c r="G282" s="14" t="n"/>
    </row>
    <row r="283">
      <c r="F283" s="14" t="n"/>
      <c r="G283" s="14" t="n"/>
    </row>
    <row r="284">
      <c r="F284" s="14" t="n"/>
      <c r="G284" s="14" t="n"/>
    </row>
    <row r="285">
      <c r="F285" s="14" t="n"/>
      <c r="G285" s="14" t="n"/>
    </row>
    <row r="286">
      <c r="F286" s="14" t="n"/>
      <c r="G286" s="14" t="n"/>
    </row>
    <row r="287">
      <c r="F287" s="14" t="n"/>
      <c r="G287" s="14" t="n"/>
    </row>
    <row r="288">
      <c r="F288" s="14" t="n"/>
      <c r="G288" s="14" t="n"/>
    </row>
    <row r="289">
      <c r="F289" s="14" t="n"/>
      <c r="G289" s="14" t="n"/>
    </row>
    <row r="290">
      <c r="F290" s="14" t="n"/>
      <c r="G290" s="14" t="n"/>
    </row>
    <row r="291">
      <c r="F291" s="14" t="n"/>
      <c r="G291" s="14" t="n"/>
    </row>
    <row r="292">
      <c r="F292" s="14" t="n"/>
      <c r="G292" s="14" t="n"/>
    </row>
    <row r="293">
      <c r="F293" s="14" t="n"/>
      <c r="G293" s="14" t="n"/>
    </row>
    <row r="294">
      <c r="F294" s="14" t="n"/>
      <c r="G294" s="14" t="n"/>
    </row>
    <row r="295">
      <c r="F295" s="14" t="n"/>
      <c r="G295" s="14" t="n"/>
    </row>
    <row r="296">
      <c r="F296" s="14" t="n"/>
      <c r="G296" s="14" t="n"/>
    </row>
    <row r="297">
      <c r="F297" s="14" t="n"/>
      <c r="G297" s="14" t="n"/>
    </row>
    <row r="298">
      <c r="F298" s="14" t="n"/>
      <c r="G298" s="14" t="n"/>
    </row>
    <row r="299">
      <c r="F299" s="14" t="n"/>
      <c r="G299" s="14" t="n"/>
    </row>
    <row r="300">
      <c r="F300" s="14" t="n"/>
      <c r="G300" s="14" t="n"/>
    </row>
    <row r="301">
      <c r="F301" s="14" t="n"/>
      <c r="G301" s="14" t="n"/>
    </row>
    <row r="302">
      <c r="F302" s="14" t="n"/>
      <c r="G302" s="14" t="n"/>
    </row>
    <row r="303">
      <c r="F303" s="14" t="n"/>
      <c r="G303" s="14" t="n"/>
    </row>
  </sheetData>
  <dataValidations count="1">
    <dataValidation sqref="C4:C304" showDropDown="1" showInputMessage="0" showErrorMessage="0" allowBlank="1" type="list">
      <formula1>=Constants!$A$93:$A$100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200"/>
  <sheetViews>
    <sheetView workbookViewId="0">
      <selection activeCell="A1" sqref="A1"/>
    </sheetView>
  </sheetViews>
  <sheetFormatPr baseColWidth="8" defaultRowHeight="15"/>
  <cols>
    <col width="10" customWidth="1" min="1" max="1"/>
    <col width="22" customWidth="1" min="2" max="2"/>
    <col width="8" customWidth="1" min="3" max="3"/>
    <col width="12" customWidth="1" min="4" max="4"/>
    <col width="10" customWidth="1" min="5" max="5"/>
    <col width="10" customWidth="1" min="6" max="6"/>
    <col width="14" customWidth="1" min="7" max="7"/>
    <col width="10" customWidth="1" min="8" max="8"/>
    <col width="10" customWidth="1" min="9" max="9"/>
    <col width="10" customWidth="1" min="10" max="10"/>
    <col width="16" customWidth="1" min="11" max="11"/>
    <col width="10" customWidth="1" min="12" max="12"/>
    <col width="10" customWidth="1" min="13" max="13"/>
    <col width="12" customWidth="1" min="14" max="14"/>
    <col width="14" customWidth="1" min="15" max="15"/>
  </cols>
  <sheetData>
    <row r="1">
      <c r="A1" s="1" t="inlineStr">
        <is>
          <t>WALLS ENGINE (reads INPUT_* tables)</t>
        </is>
      </c>
    </row>
    <row r="3">
      <c r="A3" s="4" t="inlineStr">
        <is>
          <t>Scope Settings</t>
        </is>
      </c>
    </row>
    <row r="4">
      <c r="A4" s="9" t="inlineStr">
        <is>
          <t>JobID (filter)</t>
        </is>
      </c>
      <c r="B4" s="8">
        <f>'Job Control'!$B$3</f>
        <v/>
      </c>
    </row>
    <row r="5">
      <c r="A5" s="9" t="inlineStr">
        <is>
          <t>Default Prep Level</t>
        </is>
      </c>
      <c r="B5" s="8" t="inlineStr">
        <is>
          <t>Light</t>
        </is>
      </c>
    </row>
    <row r="6">
      <c r="A6" s="9" t="inlineStr">
        <is>
          <t>Labor Rate ($/hr)</t>
        </is>
      </c>
      <c r="B6" s="6">
        <f>XLOOKUP("LaborRate",Constants!$A$10:$A$60,Constants!$B$10:$B$60)</f>
        <v/>
      </c>
    </row>
    <row r="7">
      <c r="A7" s="9" t="inlineStr">
        <is>
          <t>Markup</t>
        </is>
      </c>
      <c r="B7" s="6">
        <f>XLOOKUP("Markup",Constants!$A$10:$A$60,Constants!$B$10:$B$60)</f>
        <v/>
      </c>
    </row>
    <row r="10">
      <c r="A10" s="5" t="inlineStr">
        <is>
          <t>RoomID</t>
        </is>
      </c>
      <c r="B10" s="5" t="inlineStr">
        <is>
          <t>Room Name</t>
        </is>
      </c>
      <c r="C10" s="5" t="inlineStr">
        <is>
          <t>Include</t>
        </is>
      </c>
      <c r="D10" s="5" t="inlineStr">
        <is>
          <t>WallSqft</t>
        </is>
      </c>
      <c r="E10" s="5" t="inlineStr">
        <is>
          <t>Primer</t>
        </is>
      </c>
      <c r="F10" s="5" t="inlineStr">
        <is>
          <t>Topcoats</t>
        </is>
      </c>
      <c r="G10" s="5" t="inlineStr">
        <is>
          <t>PrepLevelUsed</t>
        </is>
      </c>
      <c r="H10" s="5" t="inlineStr">
        <is>
          <t>PrepMins</t>
        </is>
      </c>
      <c r="I10" s="5" t="inlineStr">
        <is>
          <t>PaintMins</t>
        </is>
      </c>
      <c r="J10" s="5" t="inlineStr">
        <is>
          <t>PrimerMins</t>
        </is>
      </c>
      <c r="K10" s="5" t="inlineStr">
        <is>
          <t>OpeningsCutInMins</t>
        </is>
      </c>
      <c r="L10" s="5" t="inlineStr">
        <is>
          <t>Paint_gal (calc)</t>
        </is>
      </c>
      <c r="M10" s="5" t="inlineStr">
        <is>
          <t>Primer_gal (calc)</t>
        </is>
      </c>
      <c r="N10" s="5" t="inlineStr">
        <is>
          <t>Material$ (calc)</t>
        </is>
      </c>
      <c r="O10" s="5" t="inlineStr">
        <is>
          <t>TotalMins</t>
        </is>
      </c>
      <c r="P10" s="5" t="inlineStr">
        <is>
          <t>LaborHours</t>
        </is>
      </c>
      <c r="Q10" s="5" t="inlineStr">
        <is>
          <t>Labor$</t>
        </is>
      </c>
      <c r="R10" s="5" t="inlineStr">
        <is>
          <t>Total$ w/Markup</t>
        </is>
      </c>
      <c r="S10" s="5" t="inlineStr">
        <is>
          <t>WallColorID (room default)</t>
        </is>
      </c>
    </row>
    <row r="11">
      <c r="A11" s="6">
        <f>IFERROR(INDEX(FILTER(INPUT_Rooms!$B$4:$B$83, INPUT_Rooms!$A$4:$A$83=$B$4, INPUT_Rooms!$K$4:$K$83="Y"), 1), "")</f>
        <v/>
      </c>
      <c r="B11" s="6">
        <f>IF(A11="","", XLOOKUP(A11, FILTER(INPUT_Rooms!$B$4:$B$83, INPUT_Rooms!$A$4:$A$83=$B$4), FILTER(INPUT_Rooms!$C$4:$C$83, INPUT_Rooms!$A$4:$A$83=$B$4), ""))</f>
        <v/>
      </c>
      <c r="C11" s="6">
        <f>IF(A11="","", "Y")</f>
        <v/>
      </c>
      <c r="D11" s="6">
        <f>IF(A11="","", XLOOKUP(A11, INPUT_Rooms!$B:$B, INPUT_Rooms!$AD:$AD, ""))</f>
        <v/>
      </c>
      <c r="E11" s="6">
        <f>IF(A11="","", XLOOKUP(A11, INPUT_Rooms!$B:$B, INPUT_Rooms!$L:$L, ""))</f>
        <v/>
      </c>
      <c r="F11" s="6">
        <f>IF(A11="","", XLOOKUP(A11, INPUT_Rooms!$B:$B, INPUT_Rooms!$M:$M, ""))</f>
        <v/>
      </c>
      <c r="G11" s="6">
        <f>IF(A11="","", IF(XLOOKUP(A11, INPUT_Rooms!$B:$B, INPUT_Rooms!$N:$N, "")="", $B$5, XLOOKUP(A11, INPUT_Rooms!$B:$B, INPUT_Rooms!$N:$N, "")))</f>
        <v/>
      </c>
      <c r="H11" s="6">
        <f>IF(A11="","", D11*XLOOKUP("PrepMinsPerSqft",Constants!$A$20:$A$40,Constants!$B$20:$B$40)*XLOOKUP(G11,Constants!$E$10:$E$30,Constants!$F$10:$F$30))</f>
        <v/>
      </c>
      <c r="I11" s="6">
        <f>IF(A11="","", D11*XLOOKUP("PaintMinsPerSqftPerCoat",Constants!$A$20:$A$40,Constants!$B$20:$B$40)*F11)</f>
        <v/>
      </c>
      <c r="J11" s="6">
        <f>IF(A11="","", IF(E11="Full", D11*XLOOKUP("PrimerFullMinsPerSqft",Constants!$A$20:$A$40,Constants!$B$20:$B$40), IF(E11="Spot", D11*XLOOKUP("PrimerFullMinsPerSqft",Constants!$A$20:$A$40,Constants!$B$20:$B$40)*XLOOKUP("PrimerSpotFactor",Constants!$A$20:$A$40,Constants!$B$20:$B$40), 0)))</f>
        <v/>
      </c>
      <c r="K11" s="6">
        <f>IF(A11="","", SUMPRODUCT((INPUT_Openings!$A:$A=$B$4)*(INPUT_Openings!$B:$B=A11)*(INPUT_Openings!$D:$D)*INPUT_Openings!$F:$F))</f>
        <v/>
      </c>
      <c r="L11">
        <f>IF($A11="","",IF($D11="", "",IFERROR(CEILING( ($D11*$F11) / IFERROR(XLOOKUP(XLOOKUP('Job Control'!$B$3, INPUT_JobSettings!$A:$A, INPUT_JobSettings!$B:$B, ""), Constants!$A:$A, Constants!$D:$D, ""), ""), 0.25), "")))</f>
        <v/>
      </c>
      <c r="M11">
        <f>IF($A11="","",IF($E11="None",0,IF($D11="", "",IFERROR(CEILING( ($D11*IF($E11="Full",1, XLOOKUP("PrimerSpotFactor",Constants!$A$10:$A$60,Constants!$B$10:$B$60))) / IFERROR(XLOOKUP(XLOOKUP('Job Control'!$B$3, INPUT_JobSettings!$A:$A, INPUT_JobSettings!$E:$E, ""), Constants!$A:$A, Constants!$D:$D, ""), ""), 0.25), ""))))</f>
        <v/>
      </c>
      <c r="N11">
        <f>IF($A11="","",IFERROR($L11*IFERROR(XLOOKUP(XLOOKUP('Job Control'!$B$3, INPUT_JobSettings!$A:$A, INPUT_JobSettings!$B:$B, ""), Constants!$A:$A, Constants!$C:$C, 0), 0) + $M11*IFERROR(XLOOKUP(XLOOKUP('Job Control'!$B$3, INPUT_JobSettings!$A:$A, INPUT_JobSettings!$E:$E, ""), Constants!$A:$A, Constants!$C:$C, 0), 0),0))</f>
        <v/>
      </c>
      <c r="O11" s="6">
        <f>IF($A11="","", SUM($H11:$K11))</f>
        <v/>
      </c>
      <c r="P11" s="6">
        <f>IF($A11="","", $O11/60)</f>
        <v/>
      </c>
      <c r="Q11" s="6">
        <f>IF($A11="","", $P11*IFERROR(IF(XLOOKUP('Job Control'!$B$3, INPUT_JobSettings!$A:$A, INPUT_JobSettings!$F:$F, "")&lt;&gt;"", XLOOKUP('Job Control'!$B$3, INPUT_JobSettings!$A:$A, INPUT_JobSettings!$F:$F, ""), $B$6), $B$6))</f>
        <v/>
      </c>
      <c r="R11" s="6">
        <f>IF($A11="","", ($Q11+$N11)*IFERROR(IF(XLOOKUP('Job Control'!$B$3, INPUT_JobSettings!$A:$A, INPUT_JobSettings!$G:$G, "")&lt;&gt;"", XLOOKUP('Job Control'!$B$3, INPUT_JobSettings!$A:$A, INPUT_JobSettings!$G:$G, ""), $B$7), $B$7))</f>
        <v/>
      </c>
      <c r="S11" s="6">
        <f>IF($A11="","", XLOOKUP($A11, INPUT_Rooms!$B:$B, INPUT_Rooms!$AH:$AH, ""))</f>
        <v/>
      </c>
    </row>
    <row r="12">
      <c r="A12" s="6">
        <f>IFERROR(INDEX(FILTER(INPUT_Rooms!$B$4:$B$83, INPUT_Rooms!$A$4:$A$83=$B$4, INPUT_Rooms!$K$4:$K$83="Y"), 2), "")</f>
        <v/>
      </c>
      <c r="B12" s="6">
        <f>IF(A12="","", XLOOKUP(A12, FILTER(INPUT_Rooms!$B$4:$B$83, INPUT_Rooms!$A$4:$A$83=$B$4), FILTER(INPUT_Rooms!$C$4:$C$83, INPUT_Rooms!$A$4:$A$83=$B$4), ""))</f>
        <v/>
      </c>
      <c r="C12" s="6">
        <f>IF(A12="","", "Y")</f>
        <v/>
      </c>
      <c r="D12" s="6">
        <f>IF(A12="","", XLOOKUP(A12, INPUT_Rooms!$B:$B, INPUT_Rooms!$AD:$AD, ""))</f>
        <v/>
      </c>
      <c r="E12" s="6">
        <f>IF(A12="","", XLOOKUP(A12, INPUT_Rooms!$B:$B, INPUT_Rooms!$L:$L, ""))</f>
        <v/>
      </c>
      <c r="F12" s="6">
        <f>IF(A12="","", XLOOKUP(A12, INPUT_Rooms!$B:$B, INPUT_Rooms!$M:$M, ""))</f>
        <v/>
      </c>
      <c r="G12" s="6">
        <f>IF(A12="","", IF(XLOOKUP(A12, INPUT_Rooms!$B:$B, INPUT_Rooms!$N:$N, "")="", $B$5, XLOOKUP(A12, INPUT_Rooms!$B:$B, INPUT_Rooms!$N:$N, "")))</f>
        <v/>
      </c>
      <c r="H12" s="6">
        <f>IF(A12="","", D12*XLOOKUP("PrepMinsPerSqft",Constants!$A$20:$A$40,Constants!$B$20:$B$40)*XLOOKUP(G12,Constants!$E$10:$E$30,Constants!$F$10:$F$30))</f>
        <v/>
      </c>
      <c r="I12" s="6">
        <f>IF(A12="","", D12*XLOOKUP("PaintMinsPerSqftPerCoat",Constants!$A$20:$A$40,Constants!$B$20:$B$40)*F12)</f>
        <v/>
      </c>
      <c r="J12" s="6">
        <f>IF(A12="","", IF(E12="Full", D12*XLOOKUP("PrimerFullMinsPerSqft",Constants!$A$20:$A$40,Constants!$B$20:$B$40), IF(E12="Spot", D12*XLOOKUP("PrimerFullMinsPerSqft",Constants!$A$20:$A$40,Constants!$B$20:$B$40)*XLOOKUP("PrimerSpotFactor",Constants!$A$20:$A$40,Constants!$B$20:$B$40), 0)))</f>
        <v/>
      </c>
      <c r="K12" s="6">
        <f>IF(A12="","", SUMPRODUCT((INPUT_Openings!$A:$A=$B$4)*(INPUT_Openings!$B:$B=A12)*(INPUT_Openings!$D:$D)*INPUT_Openings!$F:$F))</f>
        <v/>
      </c>
      <c r="L12">
        <f>IF($A12="","",IF($D12="", "",IFERROR(CEILING( ($D12*$F12) / IFERROR(XLOOKUP(XLOOKUP('Job Control'!$B$3, INPUT_JobSettings!$A:$A, INPUT_JobSettings!$B:$B, ""), Constants!$A:$A, Constants!$D:$D, ""), ""), 0.25), "")))</f>
        <v/>
      </c>
      <c r="M12">
        <f>IF($A12="","",IF($E12="None",0,IF($D12="", "",IFERROR(CEILING( ($D12*IF($E12="Full",1, XLOOKUP("PrimerSpotFactor",Constants!$A$10:$A$60,Constants!$B$10:$B$60))) / IFERROR(XLOOKUP(XLOOKUP('Job Control'!$B$3, INPUT_JobSettings!$A:$A, INPUT_JobSettings!$E:$E, ""), Constants!$A:$A, Constants!$D:$D, ""), ""), 0.25), ""))))</f>
        <v/>
      </c>
      <c r="N12">
        <f>IF($A12="","",IFERROR($L12*IFERROR(XLOOKUP(XLOOKUP('Job Control'!$B$3, INPUT_JobSettings!$A:$A, INPUT_JobSettings!$B:$B, ""), Constants!$A:$A, Constants!$C:$C, 0), 0) + $M12*IFERROR(XLOOKUP(XLOOKUP('Job Control'!$B$3, INPUT_JobSettings!$A:$A, INPUT_JobSettings!$E:$E, ""), Constants!$A:$A, Constants!$C:$C, 0), 0),0))</f>
        <v/>
      </c>
      <c r="O12" s="6">
        <f>IF($A12="","", SUM($H12:$K12))</f>
        <v/>
      </c>
      <c r="P12" s="6">
        <f>IF($A12="","", $O12/60)</f>
        <v/>
      </c>
      <c r="Q12" s="6">
        <f>IF($A12="","", $P12*IFERROR(IF(XLOOKUP('Job Control'!$B$3, INPUT_JobSettings!$A:$A, INPUT_JobSettings!$F:$F, "")&lt;&gt;"", XLOOKUP('Job Control'!$B$3, INPUT_JobSettings!$A:$A, INPUT_JobSettings!$F:$F, ""), $B$6), $B$6))</f>
        <v/>
      </c>
      <c r="R12" s="6">
        <f>IF($A12="","", ($Q12+$N12)*IFERROR(IF(XLOOKUP('Job Control'!$B$3, INPUT_JobSettings!$A:$A, INPUT_JobSettings!$G:$G, "")&lt;&gt;"", XLOOKUP('Job Control'!$B$3, INPUT_JobSettings!$A:$A, INPUT_JobSettings!$G:$G, ""), $B$7), $B$7))</f>
        <v/>
      </c>
      <c r="S12" s="6">
        <f>IF($A12="","", XLOOKUP($A12, INPUT_Rooms!$B:$B, INPUT_Rooms!$AH:$AH, ""))</f>
        <v/>
      </c>
    </row>
    <row r="13">
      <c r="A13" s="6">
        <f>IFERROR(INDEX(FILTER(INPUT_Rooms!$B$4:$B$83, INPUT_Rooms!$A$4:$A$83=$B$4, INPUT_Rooms!$K$4:$K$83="Y"), 3), "")</f>
        <v/>
      </c>
      <c r="B13" s="6">
        <f>IF(A13="","", XLOOKUP(A13, FILTER(INPUT_Rooms!$B$4:$B$83, INPUT_Rooms!$A$4:$A$83=$B$4), FILTER(INPUT_Rooms!$C$4:$C$83, INPUT_Rooms!$A$4:$A$83=$B$4), ""))</f>
        <v/>
      </c>
      <c r="C13" s="6">
        <f>IF(A13="","", "Y")</f>
        <v/>
      </c>
      <c r="D13" s="6">
        <f>IF(A13="","", XLOOKUP(A13, INPUT_Rooms!$B:$B, INPUT_Rooms!$AD:$AD, ""))</f>
        <v/>
      </c>
      <c r="E13" s="6">
        <f>IF(A13="","", XLOOKUP(A13, INPUT_Rooms!$B:$B, INPUT_Rooms!$L:$L, ""))</f>
        <v/>
      </c>
      <c r="F13" s="6">
        <f>IF(A13="","", XLOOKUP(A13, INPUT_Rooms!$B:$B, INPUT_Rooms!$M:$M, ""))</f>
        <v/>
      </c>
      <c r="G13" s="6">
        <f>IF(A13="","", IF(XLOOKUP(A13, INPUT_Rooms!$B:$B, INPUT_Rooms!$N:$N, "")="", $B$5, XLOOKUP(A13, INPUT_Rooms!$B:$B, INPUT_Rooms!$N:$N, "")))</f>
        <v/>
      </c>
      <c r="H13" s="6">
        <f>IF(A13="","", D13*XLOOKUP("PrepMinsPerSqft",Constants!$A$20:$A$40,Constants!$B$20:$B$40)*XLOOKUP(G13,Constants!$E$10:$E$30,Constants!$F$10:$F$30))</f>
        <v/>
      </c>
      <c r="I13" s="6">
        <f>IF(A13="","", D13*XLOOKUP("PaintMinsPerSqftPerCoat",Constants!$A$20:$A$40,Constants!$B$20:$B$40)*F13)</f>
        <v/>
      </c>
      <c r="J13" s="6">
        <f>IF(A13="","", IF(E13="Full", D13*XLOOKUP("PrimerFullMinsPerSqft",Constants!$A$20:$A$40,Constants!$B$20:$B$40), IF(E13="Spot", D13*XLOOKUP("PrimerFullMinsPerSqft",Constants!$A$20:$A$40,Constants!$B$20:$B$40)*XLOOKUP("PrimerSpotFactor",Constants!$A$20:$A$40,Constants!$B$20:$B$40), 0)))</f>
        <v/>
      </c>
      <c r="K13" s="6">
        <f>IF(A13="","", SUMPRODUCT((INPUT_Openings!$A:$A=$B$4)*(INPUT_Openings!$B:$B=A13)*(INPUT_Openings!$D:$D)*INPUT_Openings!$F:$F))</f>
        <v/>
      </c>
      <c r="L13">
        <f>IF($A13="","",IF($D13="", "",IFERROR(CEILING( ($D13*$F13) / IFERROR(XLOOKUP(XLOOKUP('Job Control'!$B$3, INPUT_JobSettings!$A:$A, INPUT_JobSettings!$B:$B, ""), Constants!$A:$A, Constants!$D:$D, ""), ""), 0.25), "")))</f>
        <v/>
      </c>
      <c r="M13">
        <f>IF($A13="","",IF($E13="None",0,IF($D13="", "",IFERROR(CEILING( ($D13*IF($E13="Full",1, XLOOKUP("PrimerSpotFactor",Constants!$A$10:$A$60,Constants!$B$10:$B$60))) / IFERROR(XLOOKUP(XLOOKUP('Job Control'!$B$3, INPUT_JobSettings!$A:$A, INPUT_JobSettings!$E:$E, ""), Constants!$A:$A, Constants!$D:$D, ""), ""), 0.25), ""))))</f>
        <v/>
      </c>
      <c r="N13">
        <f>IF($A13="","",IFERROR($L13*IFERROR(XLOOKUP(XLOOKUP('Job Control'!$B$3, INPUT_JobSettings!$A:$A, INPUT_JobSettings!$B:$B, ""), Constants!$A:$A, Constants!$C:$C, 0), 0) + $M13*IFERROR(XLOOKUP(XLOOKUP('Job Control'!$B$3, INPUT_JobSettings!$A:$A, INPUT_JobSettings!$E:$E, ""), Constants!$A:$A, Constants!$C:$C, 0), 0),0))</f>
        <v/>
      </c>
      <c r="O13" s="6">
        <f>IF($A13="","", SUM($H13:$K13))</f>
        <v/>
      </c>
      <c r="P13" s="6">
        <f>IF($A13="","", $O13/60)</f>
        <v/>
      </c>
      <c r="Q13" s="6">
        <f>IF($A13="","", $P13*IFERROR(IF(XLOOKUP('Job Control'!$B$3, INPUT_JobSettings!$A:$A, INPUT_JobSettings!$F:$F, "")&lt;&gt;"", XLOOKUP('Job Control'!$B$3, INPUT_JobSettings!$A:$A, INPUT_JobSettings!$F:$F, ""), $B$6), $B$6))</f>
        <v/>
      </c>
      <c r="R13" s="6">
        <f>IF($A13="","", ($Q13+$N13)*IFERROR(IF(XLOOKUP('Job Control'!$B$3, INPUT_JobSettings!$A:$A, INPUT_JobSettings!$G:$G, "")&lt;&gt;"", XLOOKUP('Job Control'!$B$3, INPUT_JobSettings!$A:$A, INPUT_JobSettings!$G:$G, ""), $B$7), $B$7))</f>
        <v/>
      </c>
      <c r="S13" s="6">
        <f>IF($A13="","", XLOOKUP($A13, INPUT_Rooms!$B:$B, INPUT_Rooms!$AH:$AH, ""))</f>
        <v/>
      </c>
    </row>
    <row r="14">
      <c r="A14" s="6">
        <f>IFERROR(INDEX(FILTER(INPUT_Rooms!$B$4:$B$83, INPUT_Rooms!$A$4:$A$83=$B$4, INPUT_Rooms!$K$4:$K$83="Y"), 4), "")</f>
        <v/>
      </c>
      <c r="B14" s="6">
        <f>IF(A14="","", XLOOKUP(A14, FILTER(INPUT_Rooms!$B$4:$B$83, INPUT_Rooms!$A$4:$A$83=$B$4), FILTER(INPUT_Rooms!$C$4:$C$83, INPUT_Rooms!$A$4:$A$83=$B$4), ""))</f>
        <v/>
      </c>
      <c r="C14" s="6">
        <f>IF(A14="","", "Y")</f>
        <v/>
      </c>
      <c r="D14" s="6">
        <f>IF(A14="","", XLOOKUP(A14, INPUT_Rooms!$B:$B, INPUT_Rooms!$AD:$AD, ""))</f>
        <v/>
      </c>
      <c r="E14" s="6">
        <f>IF(A14="","", XLOOKUP(A14, INPUT_Rooms!$B:$B, INPUT_Rooms!$L:$L, ""))</f>
        <v/>
      </c>
      <c r="F14" s="6">
        <f>IF(A14="","", XLOOKUP(A14, INPUT_Rooms!$B:$B, INPUT_Rooms!$M:$M, ""))</f>
        <v/>
      </c>
      <c r="G14" s="6">
        <f>IF(A14="","", IF(XLOOKUP(A14, INPUT_Rooms!$B:$B, INPUT_Rooms!$N:$N, "")="", $B$5, XLOOKUP(A14, INPUT_Rooms!$B:$B, INPUT_Rooms!$N:$N, "")))</f>
        <v/>
      </c>
      <c r="H14" s="6">
        <f>IF(A14="","", D14*XLOOKUP("PrepMinsPerSqft",Constants!$A$20:$A$40,Constants!$B$20:$B$40)*XLOOKUP(G14,Constants!$E$10:$E$30,Constants!$F$10:$F$30))</f>
        <v/>
      </c>
      <c r="I14" s="6">
        <f>IF(A14="","", D14*XLOOKUP("PaintMinsPerSqftPerCoat",Constants!$A$20:$A$40,Constants!$B$20:$B$40)*F14)</f>
        <v/>
      </c>
      <c r="J14" s="6">
        <f>IF(A14="","", IF(E14="Full", D14*XLOOKUP("PrimerFullMinsPerSqft",Constants!$A$20:$A$40,Constants!$B$20:$B$40), IF(E14="Spot", D14*XLOOKUP("PrimerFullMinsPerSqft",Constants!$A$20:$A$40,Constants!$B$20:$B$40)*XLOOKUP("PrimerSpotFactor",Constants!$A$20:$A$40,Constants!$B$20:$B$40), 0)))</f>
        <v/>
      </c>
      <c r="K14" s="6">
        <f>IF(A14="","", SUMPRODUCT((INPUT_Openings!$A:$A=$B$4)*(INPUT_Openings!$B:$B=A14)*(INPUT_Openings!$D:$D)*INPUT_Openings!$F:$F))</f>
        <v/>
      </c>
      <c r="L14">
        <f>IF($A14="","",IF($D14="", "",IFERROR(CEILING( ($D14*$F14) / IFERROR(XLOOKUP(XLOOKUP('Job Control'!$B$3, INPUT_JobSettings!$A:$A, INPUT_JobSettings!$B:$B, ""), Constants!$A:$A, Constants!$D:$D, ""), ""), 0.25), "")))</f>
        <v/>
      </c>
      <c r="M14">
        <f>IF($A14="","",IF($E14="None",0,IF($D14="", "",IFERROR(CEILING( ($D14*IF($E14="Full",1, XLOOKUP("PrimerSpotFactor",Constants!$A$10:$A$60,Constants!$B$10:$B$60))) / IFERROR(XLOOKUP(XLOOKUP('Job Control'!$B$3, INPUT_JobSettings!$A:$A, INPUT_JobSettings!$E:$E, ""), Constants!$A:$A, Constants!$D:$D, ""), ""), 0.25), ""))))</f>
        <v/>
      </c>
      <c r="N14">
        <f>IF($A14="","",IFERROR($L14*IFERROR(XLOOKUP(XLOOKUP('Job Control'!$B$3, INPUT_JobSettings!$A:$A, INPUT_JobSettings!$B:$B, ""), Constants!$A:$A, Constants!$C:$C, 0), 0) + $M14*IFERROR(XLOOKUP(XLOOKUP('Job Control'!$B$3, INPUT_JobSettings!$A:$A, INPUT_JobSettings!$E:$E, ""), Constants!$A:$A, Constants!$C:$C, 0), 0),0))</f>
        <v/>
      </c>
      <c r="O14" s="6">
        <f>IF($A14="","", SUM($H14:$K14))</f>
        <v/>
      </c>
      <c r="P14" s="6">
        <f>IF($A14="","", $O14/60)</f>
        <v/>
      </c>
      <c r="Q14" s="6">
        <f>IF($A14="","", $P14*IFERROR(IF(XLOOKUP('Job Control'!$B$3, INPUT_JobSettings!$A:$A, INPUT_JobSettings!$F:$F, "")&lt;&gt;"", XLOOKUP('Job Control'!$B$3, INPUT_JobSettings!$A:$A, INPUT_JobSettings!$F:$F, ""), $B$6), $B$6))</f>
        <v/>
      </c>
      <c r="R14" s="6">
        <f>IF($A14="","", ($Q14+$N14)*IFERROR(IF(XLOOKUP('Job Control'!$B$3, INPUT_JobSettings!$A:$A, INPUT_JobSettings!$G:$G, "")&lt;&gt;"", XLOOKUP('Job Control'!$B$3, INPUT_JobSettings!$A:$A, INPUT_JobSettings!$G:$G, ""), $B$7), $B$7))</f>
        <v/>
      </c>
      <c r="S14" s="6">
        <f>IF($A14="","", XLOOKUP($A14, INPUT_Rooms!$B:$B, INPUT_Rooms!$AH:$AH, ""))</f>
        <v/>
      </c>
    </row>
    <row r="15">
      <c r="A15" s="6">
        <f>IFERROR(INDEX(FILTER(INPUT_Rooms!$B$4:$B$83, INPUT_Rooms!$A$4:$A$83=$B$4, INPUT_Rooms!$K$4:$K$83="Y"), 5), "")</f>
        <v/>
      </c>
      <c r="B15" s="6">
        <f>IF(A15="","", XLOOKUP(A15, FILTER(INPUT_Rooms!$B$4:$B$83, INPUT_Rooms!$A$4:$A$83=$B$4), FILTER(INPUT_Rooms!$C$4:$C$83, INPUT_Rooms!$A$4:$A$83=$B$4), ""))</f>
        <v/>
      </c>
      <c r="C15" s="6">
        <f>IF(A15="","", "Y")</f>
        <v/>
      </c>
      <c r="D15" s="6">
        <f>IF(A15="","", XLOOKUP(A15, INPUT_Rooms!$B:$B, INPUT_Rooms!$AD:$AD, ""))</f>
        <v/>
      </c>
      <c r="E15" s="6">
        <f>IF(A15="","", XLOOKUP(A15, INPUT_Rooms!$B:$B, INPUT_Rooms!$L:$L, ""))</f>
        <v/>
      </c>
      <c r="F15" s="6">
        <f>IF(A15="","", XLOOKUP(A15, INPUT_Rooms!$B:$B, INPUT_Rooms!$M:$M, ""))</f>
        <v/>
      </c>
      <c r="G15" s="6">
        <f>IF(A15="","", IF(XLOOKUP(A15, INPUT_Rooms!$B:$B, INPUT_Rooms!$N:$N, "")="", $B$5, XLOOKUP(A15, INPUT_Rooms!$B:$B, INPUT_Rooms!$N:$N, "")))</f>
        <v/>
      </c>
      <c r="H15" s="6">
        <f>IF(A15="","", D15*XLOOKUP("PrepMinsPerSqft",Constants!$A$20:$A$40,Constants!$B$20:$B$40)*XLOOKUP(G15,Constants!$E$10:$E$30,Constants!$F$10:$F$30))</f>
        <v/>
      </c>
      <c r="I15" s="6">
        <f>IF(A15="","", D15*XLOOKUP("PaintMinsPerSqftPerCoat",Constants!$A$20:$A$40,Constants!$B$20:$B$40)*F15)</f>
        <v/>
      </c>
      <c r="J15" s="6">
        <f>IF(A15="","", IF(E15="Full", D15*XLOOKUP("PrimerFullMinsPerSqft",Constants!$A$20:$A$40,Constants!$B$20:$B$40), IF(E15="Spot", D15*XLOOKUP("PrimerFullMinsPerSqft",Constants!$A$20:$A$40,Constants!$B$20:$B$40)*XLOOKUP("PrimerSpotFactor",Constants!$A$20:$A$40,Constants!$B$20:$B$40), 0)))</f>
        <v/>
      </c>
      <c r="K15" s="6">
        <f>IF(A15="","", SUMPRODUCT((INPUT_Openings!$A:$A=$B$4)*(INPUT_Openings!$B:$B=A15)*(INPUT_Openings!$D:$D)*INPUT_Openings!$F:$F))</f>
        <v/>
      </c>
      <c r="L15">
        <f>IF($A15="","",IF($D15="", "",IFERROR(CEILING( ($D15*$F15) / IFERROR(XLOOKUP(XLOOKUP('Job Control'!$B$3, INPUT_JobSettings!$A:$A, INPUT_JobSettings!$B:$B, ""), Constants!$A:$A, Constants!$D:$D, ""), ""), 0.25), "")))</f>
        <v/>
      </c>
      <c r="M15">
        <f>IF($A15="","",IF($E15="None",0,IF($D15="", "",IFERROR(CEILING( ($D15*IF($E15="Full",1, XLOOKUP("PrimerSpotFactor",Constants!$A$10:$A$60,Constants!$B$10:$B$60))) / IFERROR(XLOOKUP(XLOOKUP('Job Control'!$B$3, INPUT_JobSettings!$A:$A, INPUT_JobSettings!$E:$E, ""), Constants!$A:$A, Constants!$D:$D, ""), ""), 0.25), ""))))</f>
        <v/>
      </c>
      <c r="N15">
        <f>IF($A15="","",IFERROR($L15*IFERROR(XLOOKUP(XLOOKUP('Job Control'!$B$3, INPUT_JobSettings!$A:$A, INPUT_JobSettings!$B:$B, ""), Constants!$A:$A, Constants!$C:$C, 0), 0) + $M15*IFERROR(XLOOKUP(XLOOKUP('Job Control'!$B$3, INPUT_JobSettings!$A:$A, INPUT_JobSettings!$E:$E, ""), Constants!$A:$A, Constants!$C:$C, 0), 0),0))</f>
        <v/>
      </c>
      <c r="O15" s="6">
        <f>IF($A15="","", SUM($H15:$K15))</f>
        <v/>
      </c>
      <c r="P15" s="6">
        <f>IF($A15="","", $O15/60)</f>
        <v/>
      </c>
      <c r="Q15" s="6">
        <f>IF($A15="","", $P15*IFERROR(IF(XLOOKUP('Job Control'!$B$3, INPUT_JobSettings!$A:$A, INPUT_JobSettings!$F:$F, "")&lt;&gt;"", XLOOKUP('Job Control'!$B$3, INPUT_JobSettings!$A:$A, INPUT_JobSettings!$F:$F, ""), $B$6), $B$6))</f>
        <v/>
      </c>
      <c r="R15" s="6">
        <f>IF($A15="","", ($Q15+$N15)*IFERROR(IF(XLOOKUP('Job Control'!$B$3, INPUT_JobSettings!$A:$A, INPUT_JobSettings!$G:$G, "")&lt;&gt;"", XLOOKUP('Job Control'!$B$3, INPUT_JobSettings!$A:$A, INPUT_JobSettings!$G:$G, ""), $B$7), $B$7))</f>
        <v/>
      </c>
      <c r="S15" s="6">
        <f>IF($A15="","", XLOOKUP($A15, INPUT_Rooms!$B:$B, INPUT_Rooms!$AH:$AH, ""))</f>
        <v/>
      </c>
    </row>
    <row r="16">
      <c r="A16" s="6">
        <f>IFERROR(INDEX(FILTER(INPUT_Rooms!$B$4:$B$83, INPUT_Rooms!$A$4:$A$83=$B$4, INPUT_Rooms!$K$4:$K$83="Y"), 6), "")</f>
        <v/>
      </c>
      <c r="B16" s="6">
        <f>IF(A16="","", XLOOKUP(A16, FILTER(INPUT_Rooms!$B$4:$B$83, INPUT_Rooms!$A$4:$A$83=$B$4), FILTER(INPUT_Rooms!$C$4:$C$83, INPUT_Rooms!$A$4:$A$83=$B$4), ""))</f>
        <v/>
      </c>
      <c r="C16" s="6">
        <f>IF(A16="","", "Y")</f>
        <v/>
      </c>
      <c r="D16" s="6">
        <f>IF(A16="","", XLOOKUP(A16, INPUT_Rooms!$B:$B, INPUT_Rooms!$AD:$AD, ""))</f>
        <v/>
      </c>
      <c r="E16" s="6">
        <f>IF(A16="","", XLOOKUP(A16, INPUT_Rooms!$B:$B, INPUT_Rooms!$L:$L, ""))</f>
        <v/>
      </c>
      <c r="F16" s="6">
        <f>IF(A16="","", XLOOKUP(A16, INPUT_Rooms!$B:$B, INPUT_Rooms!$M:$M, ""))</f>
        <v/>
      </c>
      <c r="G16" s="6">
        <f>IF(A16="","", IF(XLOOKUP(A16, INPUT_Rooms!$B:$B, INPUT_Rooms!$N:$N, "")="", $B$5, XLOOKUP(A16, INPUT_Rooms!$B:$B, INPUT_Rooms!$N:$N, "")))</f>
        <v/>
      </c>
      <c r="H16" s="6">
        <f>IF(A16="","", D16*XLOOKUP("PrepMinsPerSqft",Constants!$A$20:$A$40,Constants!$B$20:$B$40)*XLOOKUP(G16,Constants!$E$10:$E$30,Constants!$F$10:$F$30))</f>
        <v/>
      </c>
      <c r="I16" s="6">
        <f>IF(A16="","", D16*XLOOKUP("PaintMinsPerSqftPerCoat",Constants!$A$20:$A$40,Constants!$B$20:$B$40)*F16)</f>
        <v/>
      </c>
      <c r="J16" s="6">
        <f>IF(A16="","", IF(E16="Full", D16*XLOOKUP("PrimerFullMinsPerSqft",Constants!$A$20:$A$40,Constants!$B$20:$B$40), IF(E16="Spot", D16*XLOOKUP("PrimerFullMinsPerSqft",Constants!$A$20:$A$40,Constants!$B$20:$B$40)*XLOOKUP("PrimerSpotFactor",Constants!$A$20:$A$40,Constants!$B$20:$B$40), 0)))</f>
        <v/>
      </c>
      <c r="K16" s="6">
        <f>IF(A16="","", SUMPRODUCT((INPUT_Openings!$A:$A=$B$4)*(INPUT_Openings!$B:$B=A16)*(INPUT_Openings!$D:$D)*INPUT_Openings!$F:$F))</f>
        <v/>
      </c>
      <c r="L16">
        <f>IF($A16="","",IF($D16="", "",IFERROR(CEILING( ($D16*$F16) / IFERROR(XLOOKUP(XLOOKUP('Job Control'!$B$3, INPUT_JobSettings!$A:$A, INPUT_JobSettings!$B:$B, ""), Constants!$A:$A, Constants!$D:$D, ""), ""), 0.25), "")))</f>
        <v/>
      </c>
      <c r="M16">
        <f>IF($A16="","",IF($E16="None",0,IF($D16="", "",IFERROR(CEILING( ($D16*IF($E16="Full",1, XLOOKUP("PrimerSpotFactor",Constants!$A$10:$A$60,Constants!$B$10:$B$60))) / IFERROR(XLOOKUP(XLOOKUP('Job Control'!$B$3, INPUT_JobSettings!$A:$A, INPUT_JobSettings!$E:$E, ""), Constants!$A:$A, Constants!$D:$D, ""), ""), 0.25), ""))))</f>
        <v/>
      </c>
      <c r="N16">
        <f>IF($A16="","",IFERROR($L16*IFERROR(XLOOKUP(XLOOKUP('Job Control'!$B$3, INPUT_JobSettings!$A:$A, INPUT_JobSettings!$B:$B, ""), Constants!$A:$A, Constants!$C:$C, 0), 0) + $M16*IFERROR(XLOOKUP(XLOOKUP('Job Control'!$B$3, INPUT_JobSettings!$A:$A, INPUT_JobSettings!$E:$E, ""), Constants!$A:$A, Constants!$C:$C, 0), 0),0))</f>
        <v/>
      </c>
      <c r="O16" s="6">
        <f>IF($A16="","", SUM($H16:$K16))</f>
        <v/>
      </c>
      <c r="P16" s="6">
        <f>IF($A16="","", $O16/60)</f>
        <v/>
      </c>
      <c r="Q16" s="6">
        <f>IF($A16="","", $P16*IFERROR(IF(XLOOKUP('Job Control'!$B$3, INPUT_JobSettings!$A:$A, INPUT_JobSettings!$F:$F, "")&lt;&gt;"", XLOOKUP('Job Control'!$B$3, INPUT_JobSettings!$A:$A, INPUT_JobSettings!$F:$F, ""), $B$6), $B$6))</f>
        <v/>
      </c>
      <c r="R16" s="6">
        <f>IF($A16="","", ($Q16+$N16)*IFERROR(IF(XLOOKUP('Job Control'!$B$3, INPUT_JobSettings!$A:$A, INPUT_JobSettings!$G:$G, "")&lt;&gt;"", XLOOKUP('Job Control'!$B$3, INPUT_JobSettings!$A:$A, INPUT_JobSettings!$G:$G, ""), $B$7), $B$7))</f>
        <v/>
      </c>
      <c r="S16" s="6">
        <f>IF($A16="","", XLOOKUP($A16, INPUT_Rooms!$B:$B, INPUT_Rooms!$AH:$AH, ""))</f>
        <v/>
      </c>
    </row>
    <row r="17">
      <c r="A17" s="6">
        <f>IFERROR(INDEX(FILTER(INPUT_Rooms!$B$4:$B$83, INPUT_Rooms!$A$4:$A$83=$B$4, INPUT_Rooms!$K$4:$K$83="Y"), 7), "")</f>
        <v/>
      </c>
      <c r="B17" s="6">
        <f>IF(A17="","", XLOOKUP(A17, FILTER(INPUT_Rooms!$B$4:$B$83, INPUT_Rooms!$A$4:$A$83=$B$4), FILTER(INPUT_Rooms!$C$4:$C$83, INPUT_Rooms!$A$4:$A$83=$B$4), ""))</f>
        <v/>
      </c>
      <c r="C17" s="6">
        <f>IF(A17="","", "Y")</f>
        <v/>
      </c>
      <c r="D17" s="6">
        <f>IF(A17="","", XLOOKUP(A17, INPUT_Rooms!$B:$B, INPUT_Rooms!$AD:$AD, ""))</f>
        <v/>
      </c>
      <c r="E17" s="6">
        <f>IF(A17="","", XLOOKUP(A17, INPUT_Rooms!$B:$B, INPUT_Rooms!$L:$L, ""))</f>
        <v/>
      </c>
      <c r="F17" s="6">
        <f>IF(A17="","", XLOOKUP(A17, INPUT_Rooms!$B:$B, INPUT_Rooms!$M:$M, ""))</f>
        <v/>
      </c>
      <c r="G17" s="6">
        <f>IF(A17="","", IF(XLOOKUP(A17, INPUT_Rooms!$B:$B, INPUT_Rooms!$N:$N, "")="", $B$5, XLOOKUP(A17, INPUT_Rooms!$B:$B, INPUT_Rooms!$N:$N, "")))</f>
        <v/>
      </c>
      <c r="H17" s="6">
        <f>IF(A17="","", D17*XLOOKUP("PrepMinsPerSqft",Constants!$A$20:$A$40,Constants!$B$20:$B$40)*XLOOKUP(G17,Constants!$E$10:$E$30,Constants!$F$10:$F$30))</f>
        <v/>
      </c>
      <c r="I17" s="6">
        <f>IF(A17="","", D17*XLOOKUP("PaintMinsPerSqftPerCoat",Constants!$A$20:$A$40,Constants!$B$20:$B$40)*F17)</f>
        <v/>
      </c>
      <c r="J17" s="6">
        <f>IF(A17="","", IF(E17="Full", D17*XLOOKUP("PrimerFullMinsPerSqft",Constants!$A$20:$A$40,Constants!$B$20:$B$40), IF(E17="Spot", D17*XLOOKUP("PrimerFullMinsPerSqft",Constants!$A$20:$A$40,Constants!$B$20:$B$40)*XLOOKUP("PrimerSpotFactor",Constants!$A$20:$A$40,Constants!$B$20:$B$40), 0)))</f>
        <v/>
      </c>
      <c r="K17" s="6">
        <f>IF(A17="","", SUMPRODUCT((INPUT_Openings!$A:$A=$B$4)*(INPUT_Openings!$B:$B=A17)*(INPUT_Openings!$D:$D)*INPUT_Openings!$F:$F))</f>
        <v/>
      </c>
      <c r="L17">
        <f>IF($A17="","",IF($D17="", "",IFERROR(CEILING( ($D17*$F17) / IFERROR(XLOOKUP(XLOOKUP('Job Control'!$B$3, INPUT_JobSettings!$A:$A, INPUT_JobSettings!$B:$B, ""), Constants!$A:$A, Constants!$D:$D, ""), ""), 0.25), "")))</f>
        <v/>
      </c>
      <c r="M17">
        <f>IF($A17="","",IF($E17="None",0,IF($D17="", "",IFERROR(CEILING( ($D17*IF($E17="Full",1, XLOOKUP("PrimerSpotFactor",Constants!$A$10:$A$60,Constants!$B$10:$B$60))) / IFERROR(XLOOKUP(XLOOKUP('Job Control'!$B$3, INPUT_JobSettings!$A:$A, INPUT_JobSettings!$E:$E, ""), Constants!$A:$A, Constants!$D:$D, ""), ""), 0.25), ""))))</f>
        <v/>
      </c>
      <c r="N17">
        <f>IF($A17="","",IFERROR($L17*IFERROR(XLOOKUP(XLOOKUP('Job Control'!$B$3, INPUT_JobSettings!$A:$A, INPUT_JobSettings!$B:$B, ""), Constants!$A:$A, Constants!$C:$C, 0), 0) + $M17*IFERROR(XLOOKUP(XLOOKUP('Job Control'!$B$3, INPUT_JobSettings!$A:$A, INPUT_JobSettings!$E:$E, ""), Constants!$A:$A, Constants!$C:$C, 0), 0),0))</f>
        <v/>
      </c>
      <c r="O17" s="6">
        <f>IF($A17="","", SUM($H17:$K17))</f>
        <v/>
      </c>
      <c r="P17" s="6">
        <f>IF($A17="","", $O17/60)</f>
        <v/>
      </c>
      <c r="Q17" s="6">
        <f>IF($A17="","", $P17*IFERROR(IF(XLOOKUP('Job Control'!$B$3, INPUT_JobSettings!$A:$A, INPUT_JobSettings!$F:$F, "")&lt;&gt;"", XLOOKUP('Job Control'!$B$3, INPUT_JobSettings!$A:$A, INPUT_JobSettings!$F:$F, ""), $B$6), $B$6))</f>
        <v/>
      </c>
      <c r="R17" s="6">
        <f>IF($A17="","", ($Q17+$N17)*IFERROR(IF(XLOOKUP('Job Control'!$B$3, INPUT_JobSettings!$A:$A, INPUT_JobSettings!$G:$G, "")&lt;&gt;"", XLOOKUP('Job Control'!$B$3, INPUT_JobSettings!$A:$A, INPUT_JobSettings!$G:$G, ""), $B$7), $B$7))</f>
        <v/>
      </c>
      <c r="S17" s="6">
        <f>IF($A17="","", XLOOKUP($A17, INPUT_Rooms!$B:$B, INPUT_Rooms!$AH:$AH, ""))</f>
        <v/>
      </c>
    </row>
    <row r="18">
      <c r="A18" s="6">
        <f>IFERROR(INDEX(FILTER(INPUT_Rooms!$B$4:$B$83, INPUT_Rooms!$A$4:$A$83=$B$4, INPUT_Rooms!$K$4:$K$83="Y"), 8), "")</f>
        <v/>
      </c>
      <c r="B18" s="6">
        <f>IF(A18="","", XLOOKUP(A18, FILTER(INPUT_Rooms!$B$4:$B$83, INPUT_Rooms!$A$4:$A$83=$B$4), FILTER(INPUT_Rooms!$C$4:$C$83, INPUT_Rooms!$A$4:$A$83=$B$4), ""))</f>
        <v/>
      </c>
      <c r="C18" s="6">
        <f>IF(A18="","", "Y")</f>
        <v/>
      </c>
      <c r="D18" s="6">
        <f>IF(A18="","", XLOOKUP(A18, INPUT_Rooms!$B:$B, INPUT_Rooms!$AD:$AD, ""))</f>
        <v/>
      </c>
      <c r="E18" s="6">
        <f>IF(A18="","", XLOOKUP(A18, INPUT_Rooms!$B:$B, INPUT_Rooms!$L:$L, ""))</f>
        <v/>
      </c>
      <c r="F18" s="6">
        <f>IF(A18="","", XLOOKUP(A18, INPUT_Rooms!$B:$B, INPUT_Rooms!$M:$M, ""))</f>
        <v/>
      </c>
      <c r="G18" s="6">
        <f>IF(A18="","", IF(XLOOKUP(A18, INPUT_Rooms!$B:$B, INPUT_Rooms!$N:$N, "")="", $B$5, XLOOKUP(A18, INPUT_Rooms!$B:$B, INPUT_Rooms!$N:$N, "")))</f>
        <v/>
      </c>
      <c r="H18" s="6">
        <f>IF(A18="","", D18*XLOOKUP("PrepMinsPerSqft",Constants!$A$20:$A$40,Constants!$B$20:$B$40)*XLOOKUP(G18,Constants!$E$10:$E$30,Constants!$F$10:$F$30))</f>
        <v/>
      </c>
      <c r="I18" s="6">
        <f>IF(A18="","", D18*XLOOKUP("PaintMinsPerSqftPerCoat",Constants!$A$20:$A$40,Constants!$B$20:$B$40)*F18)</f>
        <v/>
      </c>
      <c r="J18" s="6">
        <f>IF(A18="","", IF(E18="Full", D18*XLOOKUP("PrimerFullMinsPerSqft",Constants!$A$20:$A$40,Constants!$B$20:$B$40), IF(E18="Spot", D18*XLOOKUP("PrimerFullMinsPerSqft",Constants!$A$20:$A$40,Constants!$B$20:$B$40)*XLOOKUP("PrimerSpotFactor",Constants!$A$20:$A$40,Constants!$B$20:$B$40), 0)))</f>
        <v/>
      </c>
      <c r="K18" s="6">
        <f>IF(A18="","", SUMPRODUCT((INPUT_Openings!$A:$A=$B$4)*(INPUT_Openings!$B:$B=A18)*(INPUT_Openings!$D:$D)*INPUT_Openings!$F:$F))</f>
        <v/>
      </c>
      <c r="L18">
        <f>IF($A18="","",IF($D18="", "",IFERROR(CEILING( ($D18*$F18) / IFERROR(XLOOKUP(XLOOKUP('Job Control'!$B$3, INPUT_JobSettings!$A:$A, INPUT_JobSettings!$B:$B, ""), Constants!$A:$A, Constants!$D:$D, ""), ""), 0.25), "")))</f>
        <v/>
      </c>
      <c r="M18">
        <f>IF($A18="","",IF($E18="None",0,IF($D18="", "",IFERROR(CEILING( ($D18*IF($E18="Full",1, XLOOKUP("PrimerSpotFactor",Constants!$A$10:$A$60,Constants!$B$10:$B$60))) / IFERROR(XLOOKUP(XLOOKUP('Job Control'!$B$3, INPUT_JobSettings!$A:$A, INPUT_JobSettings!$E:$E, ""), Constants!$A:$A, Constants!$D:$D, ""), ""), 0.25), ""))))</f>
        <v/>
      </c>
      <c r="N18">
        <f>IF($A18="","",IFERROR($L18*IFERROR(XLOOKUP(XLOOKUP('Job Control'!$B$3, INPUT_JobSettings!$A:$A, INPUT_JobSettings!$B:$B, ""), Constants!$A:$A, Constants!$C:$C, 0), 0) + $M18*IFERROR(XLOOKUP(XLOOKUP('Job Control'!$B$3, INPUT_JobSettings!$A:$A, INPUT_JobSettings!$E:$E, ""), Constants!$A:$A, Constants!$C:$C, 0), 0),0))</f>
        <v/>
      </c>
      <c r="O18" s="6">
        <f>IF($A18="","", SUM($H18:$K18))</f>
        <v/>
      </c>
      <c r="P18" s="6">
        <f>IF($A18="","", $O18/60)</f>
        <v/>
      </c>
      <c r="Q18" s="6">
        <f>IF($A18="","", $P18*IFERROR(IF(XLOOKUP('Job Control'!$B$3, INPUT_JobSettings!$A:$A, INPUT_JobSettings!$F:$F, "")&lt;&gt;"", XLOOKUP('Job Control'!$B$3, INPUT_JobSettings!$A:$A, INPUT_JobSettings!$F:$F, ""), $B$6), $B$6))</f>
        <v/>
      </c>
      <c r="R18" s="6">
        <f>IF($A18="","", ($Q18+$N18)*IFERROR(IF(XLOOKUP('Job Control'!$B$3, INPUT_JobSettings!$A:$A, INPUT_JobSettings!$G:$G, "")&lt;&gt;"", XLOOKUP('Job Control'!$B$3, INPUT_JobSettings!$A:$A, INPUT_JobSettings!$G:$G, ""), $B$7), $B$7))</f>
        <v/>
      </c>
      <c r="S18" s="6">
        <f>IF($A18="","", XLOOKUP($A18, INPUT_Rooms!$B:$B, INPUT_Rooms!$AH:$AH, ""))</f>
        <v/>
      </c>
    </row>
    <row r="19">
      <c r="A19" s="6">
        <f>IFERROR(INDEX(FILTER(INPUT_Rooms!$B$4:$B$83, INPUT_Rooms!$A$4:$A$83=$B$4, INPUT_Rooms!$K$4:$K$83="Y"), 9), "")</f>
        <v/>
      </c>
      <c r="B19" s="6">
        <f>IF(A19="","", XLOOKUP(A19, FILTER(INPUT_Rooms!$B$4:$B$83, INPUT_Rooms!$A$4:$A$83=$B$4), FILTER(INPUT_Rooms!$C$4:$C$83, INPUT_Rooms!$A$4:$A$83=$B$4), ""))</f>
        <v/>
      </c>
      <c r="C19" s="6">
        <f>IF(A19="","", "Y")</f>
        <v/>
      </c>
      <c r="D19" s="6">
        <f>IF(A19="","", XLOOKUP(A19, INPUT_Rooms!$B:$B, INPUT_Rooms!$AD:$AD, ""))</f>
        <v/>
      </c>
      <c r="E19" s="6">
        <f>IF(A19="","", XLOOKUP(A19, INPUT_Rooms!$B:$B, INPUT_Rooms!$L:$L, ""))</f>
        <v/>
      </c>
      <c r="F19" s="6">
        <f>IF(A19="","", XLOOKUP(A19, INPUT_Rooms!$B:$B, INPUT_Rooms!$M:$M, ""))</f>
        <v/>
      </c>
      <c r="G19" s="6">
        <f>IF(A19="","", IF(XLOOKUP(A19, INPUT_Rooms!$B:$B, INPUT_Rooms!$N:$N, "")="", $B$5, XLOOKUP(A19, INPUT_Rooms!$B:$B, INPUT_Rooms!$N:$N, "")))</f>
        <v/>
      </c>
      <c r="H19" s="6">
        <f>IF(A19="","", D19*XLOOKUP("PrepMinsPerSqft",Constants!$A$20:$A$40,Constants!$B$20:$B$40)*XLOOKUP(G19,Constants!$E$10:$E$30,Constants!$F$10:$F$30))</f>
        <v/>
      </c>
      <c r="I19" s="6">
        <f>IF(A19="","", D19*XLOOKUP("PaintMinsPerSqftPerCoat",Constants!$A$20:$A$40,Constants!$B$20:$B$40)*F19)</f>
        <v/>
      </c>
      <c r="J19" s="6">
        <f>IF(A19="","", IF(E19="Full", D19*XLOOKUP("PrimerFullMinsPerSqft",Constants!$A$20:$A$40,Constants!$B$20:$B$40), IF(E19="Spot", D19*XLOOKUP("PrimerFullMinsPerSqft",Constants!$A$20:$A$40,Constants!$B$20:$B$40)*XLOOKUP("PrimerSpotFactor",Constants!$A$20:$A$40,Constants!$B$20:$B$40), 0)))</f>
        <v/>
      </c>
      <c r="K19" s="6">
        <f>IF(A19="","", SUMPRODUCT((INPUT_Openings!$A:$A=$B$4)*(INPUT_Openings!$B:$B=A19)*(INPUT_Openings!$D:$D)*INPUT_Openings!$F:$F))</f>
        <v/>
      </c>
      <c r="L19">
        <f>IF($A19="","",IF($D19="", "",IFERROR(CEILING( ($D19*$F19) / IFERROR(XLOOKUP(XLOOKUP('Job Control'!$B$3, INPUT_JobSettings!$A:$A, INPUT_JobSettings!$B:$B, ""), Constants!$A:$A, Constants!$D:$D, ""), ""), 0.25), "")))</f>
        <v/>
      </c>
      <c r="M19">
        <f>IF($A19="","",IF($E19="None",0,IF($D19="", "",IFERROR(CEILING( ($D19*IF($E19="Full",1, XLOOKUP("PrimerSpotFactor",Constants!$A$10:$A$60,Constants!$B$10:$B$60))) / IFERROR(XLOOKUP(XLOOKUP('Job Control'!$B$3, INPUT_JobSettings!$A:$A, INPUT_JobSettings!$E:$E, ""), Constants!$A:$A, Constants!$D:$D, ""), ""), 0.25), ""))))</f>
        <v/>
      </c>
      <c r="N19">
        <f>IF($A19="","",IFERROR($L19*IFERROR(XLOOKUP(XLOOKUP('Job Control'!$B$3, INPUT_JobSettings!$A:$A, INPUT_JobSettings!$B:$B, ""), Constants!$A:$A, Constants!$C:$C, 0), 0) + $M19*IFERROR(XLOOKUP(XLOOKUP('Job Control'!$B$3, INPUT_JobSettings!$A:$A, INPUT_JobSettings!$E:$E, ""), Constants!$A:$A, Constants!$C:$C, 0), 0),0))</f>
        <v/>
      </c>
      <c r="O19" s="6">
        <f>IF($A19="","", SUM($H19:$K19))</f>
        <v/>
      </c>
      <c r="P19" s="6">
        <f>IF($A19="","", $O19/60)</f>
        <v/>
      </c>
      <c r="Q19" s="6">
        <f>IF($A19="","", $P19*IFERROR(IF(XLOOKUP('Job Control'!$B$3, INPUT_JobSettings!$A:$A, INPUT_JobSettings!$F:$F, "")&lt;&gt;"", XLOOKUP('Job Control'!$B$3, INPUT_JobSettings!$A:$A, INPUT_JobSettings!$F:$F, ""), $B$6), $B$6))</f>
        <v/>
      </c>
      <c r="R19" s="6">
        <f>IF($A19="","", ($Q19+$N19)*IFERROR(IF(XLOOKUP('Job Control'!$B$3, INPUT_JobSettings!$A:$A, INPUT_JobSettings!$G:$G, "")&lt;&gt;"", XLOOKUP('Job Control'!$B$3, INPUT_JobSettings!$A:$A, INPUT_JobSettings!$G:$G, ""), $B$7), $B$7))</f>
        <v/>
      </c>
      <c r="S19" s="6">
        <f>IF($A19="","", XLOOKUP($A19, INPUT_Rooms!$B:$B, INPUT_Rooms!$AH:$AH, ""))</f>
        <v/>
      </c>
    </row>
    <row r="20">
      <c r="A20" s="6">
        <f>IFERROR(INDEX(FILTER(INPUT_Rooms!$B$4:$B$83, INPUT_Rooms!$A$4:$A$83=$B$4, INPUT_Rooms!$K$4:$K$83="Y"), 10), "")</f>
        <v/>
      </c>
      <c r="B20" s="6">
        <f>IF(A20="","", XLOOKUP(A20, FILTER(INPUT_Rooms!$B$4:$B$83, INPUT_Rooms!$A$4:$A$83=$B$4), FILTER(INPUT_Rooms!$C$4:$C$83, INPUT_Rooms!$A$4:$A$83=$B$4), ""))</f>
        <v/>
      </c>
      <c r="C20" s="6">
        <f>IF(A20="","", "Y")</f>
        <v/>
      </c>
      <c r="D20" s="6">
        <f>IF(A20="","", XLOOKUP(A20, INPUT_Rooms!$B:$B, INPUT_Rooms!$AD:$AD, ""))</f>
        <v/>
      </c>
      <c r="E20" s="6">
        <f>IF(A20="","", XLOOKUP(A20, INPUT_Rooms!$B:$B, INPUT_Rooms!$L:$L, ""))</f>
        <v/>
      </c>
      <c r="F20" s="6">
        <f>IF(A20="","", XLOOKUP(A20, INPUT_Rooms!$B:$B, INPUT_Rooms!$M:$M, ""))</f>
        <v/>
      </c>
      <c r="G20" s="6">
        <f>IF(A20="","", IF(XLOOKUP(A20, INPUT_Rooms!$B:$B, INPUT_Rooms!$N:$N, "")="", $B$5, XLOOKUP(A20, INPUT_Rooms!$B:$B, INPUT_Rooms!$N:$N, "")))</f>
        <v/>
      </c>
      <c r="H20" s="6">
        <f>IF(A20="","", D20*XLOOKUP("PrepMinsPerSqft",Constants!$A$20:$A$40,Constants!$B$20:$B$40)*XLOOKUP(G20,Constants!$E$10:$E$30,Constants!$F$10:$F$30))</f>
        <v/>
      </c>
      <c r="I20" s="6">
        <f>IF(A20="","", D20*XLOOKUP("PaintMinsPerSqftPerCoat",Constants!$A$20:$A$40,Constants!$B$20:$B$40)*F20)</f>
        <v/>
      </c>
      <c r="J20" s="6">
        <f>IF(A20="","", IF(E20="Full", D20*XLOOKUP("PrimerFullMinsPerSqft",Constants!$A$20:$A$40,Constants!$B$20:$B$40), IF(E20="Spot", D20*XLOOKUP("PrimerFullMinsPerSqft",Constants!$A$20:$A$40,Constants!$B$20:$B$40)*XLOOKUP("PrimerSpotFactor",Constants!$A$20:$A$40,Constants!$B$20:$B$40), 0)))</f>
        <v/>
      </c>
      <c r="K20" s="6">
        <f>IF(A20="","", SUMPRODUCT((INPUT_Openings!$A:$A=$B$4)*(INPUT_Openings!$B:$B=A20)*(INPUT_Openings!$D:$D)*INPUT_Openings!$F:$F))</f>
        <v/>
      </c>
      <c r="L20">
        <f>IF($A20="","",IF($D20="", "",IFERROR(CEILING( ($D20*$F20) / IFERROR(XLOOKUP(XLOOKUP('Job Control'!$B$3, INPUT_JobSettings!$A:$A, INPUT_JobSettings!$B:$B, ""), Constants!$A:$A, Constants!$D:$D, ""), ""), 0.25), "")))</f>
        <v/>
      </c>
      <c r="M20">
        <f>IF($A20="","",IF($E20="None",0,IF($D20="", "",IFERROR(CEILING( ($D20*IF($E20="Full",1, XLOOKUP("PrimerSpotFactor",Constants!$A$10:$A$60,Constants!$B$10:$B$60))) / IFERROR(XLOOKUP(XLOOKUP('Job Control'!$B$3, INPUT_JobSettings!$A:$A, INPUT_JobSettings!$E:$E, ""), Constants!$A:$A, Constants!$D:$D, ""), ""), 0.25), ""))))</f>
        <v/>
      </c>
      <c r="N20">
        <f>IF($A20="","",IFERROR($L20*IFERROR(XLOOKUP(XLOOKUP('Job Control'!$B$3, INPUT_JobSettings!$A:$A, INPUT_JobSettings!$B:$B, ""), Constants!$A:$A, Constants!$C:$C, 0), 0) + $M20*IFERROR(XLOOKUP(XLOOKUP('Job Control'!$B$3, INPUT_JobSettings!$A:$A, INPUT_JobSettings!$E:$E, ""), Constants!$A:$A, Constants!$C:$C, 0), 0),0))</f>
        <v/>
      </c>
      <c r="O20" s="6">
        <f>IF($A20="","", SUM($H20:$K20))</f>
        <v/>
      </c>
      <c r="P20" s="6">
        <f>IF($A20="","", $O20/60)</f>
        <v/>
      </c>
      <c r="Q20" s="6">
        <f>IF($A20="","", $P20*IFERROR(IF(XLOOKUP('Job Control'!$B$3, INPUT_JobSettings!$A:$A, INPUT_JobSettings!$F:$F, "")&lt;&gt;"", XLOOKUP('Job Control'!$B$3, INPUT_JobSettings!$A:$A, INPUT_JobSettings!$F:$F, ""), $B$6), $B$6))</f>
        <v/>
      </c>
      <c r="R20" s="6">
        <f>IF($A20="","", ($Q20+$N20)*IFERROR(IF(XLOOKUP('Job Control'!$B$3, INPUT_JobSettings!$A:$A, INPUT_JobSettings!$G:$G, "")&lt;&gt;"", XLOOKUP('Job Control'!$B$3, INPUT_JobSettings!$A:$A, INPUT_JobSettings!$G:$G, ""), $B$7), $B$7))</f>
        <v/>
      </c>
      <c r="S20" s="6">
        <f>IF($A20="","", XLOOKUP($A20, INPUT_Rooms!$B:$B, INPUT_Rooms!$AH:$AH, ""))</f>
        <v/>
      </c>
    </row>
    <row r="21">
      <c r="A21" s="6">
        <f>IFERROR(INDEX(FILTER(INPUT_Rooms!$B$4:$B$83, INPUT_Rooms!$A$4:$A$83=$B$4, INPUT_Rooms!$K$4:$K$83="Y"), 11), "")</f>
        <v/>
      </c>
      <c r="B21" s="6">
        <f>IF(A21="","", XLOOKUP(A21, FILTER(INPUT_Rooms!$B$4:$B$83, INPUT_Rooms!$A$4:$A$83=$B$4), FILTER(INPUT_Rooms!$C$4:$C$83, INPUT_Rooms!$A$4:$A$83=$B$4), ""))</f>
        <v/>
      </c>
      <c r="C21" s="6">
        <f>IF(A21="","", "Y")</f>
        <v/>
      </c>
      <c r="D21" s="6">
        <f>IF(A21="","", XLOOKUP(A21, INPUT_Rooms!$B:$B, INPUT_Rooms!$AD:$AD, ""))</f>
        <v/>
      </c>
      <c r="E21" s="6">
        <f>IF(A21="","", XLOOKUP(A21, INPUT_Rooms!$B:$B, INPUT_Rooms!$L:$L, ""))</f>
        <v/>
      </c>
      <c r="F21" s="6">
        <f>IF(A21="","", XLOOKUP(A21, INPUT_Rooms!$B:$B, INPUT_Rooms!$M:$M, ""))</f>
        <v/>
      </c>
      <c r="G21" s="6">
        <f>IF(A21="","", IF(XLOOKUP(A21, INPUT_Rooms!$B:$B, INPUT_Rooms!$N:$N, "")="", $B$5, XLOOKUP(A21, INPUT_Rooms!$B:$B, INPUT_Rooms!$N:$N, "")))</f>
        <v/>
      </c>
      <c r="H21" s="6">
        <f>IF(A21="","", D21*XLOOKUP("PrepMinsPerSqft",Constants!$A$20:$A$40,Constants!$B$20:$B$40)*XLOOKUP(G21,Constants!$E$10:$E$30,Constants!$F$10:$F$30))</f>
        <v/>
      </c>
      <c r="I21" s="6">
        <f>IF(A21="","", D21*XLOOKUP("PaintMinsPerSqftPerCoat",Constants!$A$20:$A$40,Constants!$B$20:$B$40)*F21)</f>
        <v/>
      </c>
      <c r="J21" s="6">
        <f>IF(A21="","", IF(E21="Full", D21*XLOOKUP("PrimerFullMinsPerSqft",Constants!$A$20:$A$40,Constants!$B$20:$B$40), IF(E21="Spot", D21*XLOOKUP("PrimerFullMinsPerSqft",Constants!$A$20:$A$40,Constants!$B$20:$B$40)*XLOOKUP("PrimerSpotFactor",Constants!$A$20:$A$40,Constants!$B$20:$B$40), 0)))</f>
        <v/>
      </c>
      <c r="K21" s="6">
        <f>IF(A21="","", SUMPRODUCT((INPUT_Openings!$A:$A=$B$4)*(INPUT_Openings!$B:$B=A21)*(INPUT_Openings!$D:$D)*INPUT_Openings!$F:$F))</f>
        <v/>
      </c>
      <c r="L21">
        <f>IF($A21="","",IF($D21="", "",IFERROR(CEILING( ($D21*$F21) / IFERROR(XLOOKUP(XLOOKUP('Job Control'!$B$3, INPUT_JobSettings!$A:$A, INPUT_JobSettings!$B:$B, ""), Constants!$A:$A, Constants!$D:$D, ""), ""), 0.25), "")))</f>
        <v/>
      </c>
      <c r="M21">
        <f>IF($A21="","",IF($E21="None",0,IF($D21="", "",IFERROR(CEILING( ($D21*IF($E21="Full",1, XLOOKUP("PrimerSpotFactor",Constants!$A$10:$A$60,Constants!$B$10:$B$60))) / IFERROR(XLOOKUP(XLOOKUP('Job Control'!$B$3, INPUT_JobSettings!$A:$A, INPUT_JobSettings!$E:$E, ""), Constants!$A:$A, Constants!$D:$D, ""), ""), 0.25), ""))))</f>
        <v/>
      </c>
      <c r="N21">
        <f>IF($A21="","",IFERROR($L21*IFERROR(XLOOKUP(XLOOKUP('Job Control'!$B$3, INPUT_JobSettings!$A:$A, INPUT_JobSettings!$B:$B, ""), Constants!$A:$A, Constants!$C:$C, 0), 0) + $M21*IFERROR(XLOOKUP(XLOOKUP('Job Control'!$B$3, INPUT_JobSettings!$A:$A, INPUT_JobSettings!$E:$E, ""), Constants!$A:$A, Constants!$C:$C, 0), 0),0))</f>
        <v/>
      </c>
      <c r="O21" s="6">
        <f>IF($A21="","", SUM($H21:$K21))</f>
        <v/>
      </c>
      <c r="P21" s="6">
        <f>IF($A21="","", $O21/60)</f>
        <v/>
      </c>
      <c r="Q21" s="6">
        <f>IF($A21="","", $P21*IFERROR(IF(XLOOKUP('Job Control'!$B$3, INPUT_JobSettings!$A:$A, INPUT_JobSettings!$F:$F, "")&lt;&gt;"", XLOOKUP('Job Control'!$B$3, INPUT_JobSettings!$A:$A, INPUT_JobSettings!$F:$F, ""), $B$6), $B$6))</f>
        <v/>
      </c>
      <c r="R21" s="6">
        <f>IF($A21="","", ($Q21+$N21)*IFERROR(IF(XLOOKUP('Job Control'!$B$3, INPUT_JobSettings!$A:$A, INPUT_JobSettings!$G:$G, "")&lt;&gt;"", XLOOKUP('Job Control'!$B$3, INPUT_JobSettings!$A:$A, INPUT_JobSettings!$G:$G, ""), $B$7), $B$7))</f>
        <v/>
      </c>
      <c r="S21" s="6">
        <f>IF($A21="","", XLOOKUP($A21, INPUT_Rooms!$B:$B, INPUT_Rooms!$AH:$AH, ""))</f>
        <v/>
      </c>
    </row>
    <row r="22">
      <c r="A22" s="6">
        <f>IFERROR(INDEX(FILTER(INPUT_Rooms!$B$4:$B$83, INPUT_Rooms!$A$4:$A$83=$B$4, INPUT_Rooms!$K$4:$K$83="Y"), 12), "")</f>
        <v/>
      </c>
      <c r="B22" s="6">
        <f>IF(A22="","", XLOOKUP(A22, FILTER(INPUT_Rooms!$B$4:$B$83, INPUT_Rooms!$A$4:$A$83=$B$4), FILTER(INPUT_Rooms!$C$4:$C$83, INPUT_Rooms!$A$4:$A$83=$B$4), ""))</f>
        <v/>
      </c>
      <c r="C22" s="6">
        <f>IF(A22="","", "Y")</f>
        <v/>
      </c>
      <c r="D22" s="6">
        <f>IF(A22="","", XLOOKUP(A22, INPUT_Rooms!$B:$B, INPUT_Rooms!$AD:$AD, ""))</f>
        <v/>
      </c>
      <c r="E22" s="6">
        <f>IF(A22="","", XLOOKUP(A22, INPUT_Rooms!$B:$B, INPUT_Rooms!$L:$L, ""))</f>
        <v/>
      </c>
      <c r="F22" s="6">
        <f>IF(A22="","", XLOOKUP(A22, INPUT_Rooms!$B:$B, INPUT_Rooms!$M:$M, ""))</f>
        <v/>
      </c>
      <c r="G22" s="6">
        <f>IF(A22="","", IF(XLOOKUP(A22, INPUT_Rooms!$B:$B, INPUT_Rooms!$N:$N, "")="", $B$5, XLOOKUP(A22, INPUT_Rooms!$B:$B, INPUT_Rooms!$N:$N, "")))</f>
        <v/>
      </c>
      <c r="H22" s="6">
        <f>IF(A22="","", D22*XLOOKUP("PrepMinsPerSqft",Constants!$A$20:$A$40,Constants!$B$20:$B$40)*XLOOKUP(G22,Constants!$E$10:$E$30,Constants!$F$10:$F$30))</f>
        <v/>
      </c>
      <c r="I22" s="6">
        <f>IF(A22="","", D22*XLOOKUP("PaintMinsPerSqftPerCoat",Constants!$A$20:$A$40,Constants!$B$20:$B$40)*F22)</f>
        <v/>
      </c>
      <c r="J22" s="6">
        <f>IF(A22="","", IF(E22="Full", D22*XLOOKUP("PrimerFullMinsPerSqft",Constants!$A$20:$A$40,Constants!$B$20:$B$40), IF(E22="Spot", D22*XLOOKUP("PrimerFullMinsPerSqft",Constants!$A$20:$A$40,Constants!$B$20:$B$40)*XLOOKUP("PrimerSpotFactor",Constants!$A$20:$A$40,Constants!$B$20:$B$40), 0)))</f>
        <v/>
      </c>
      <c r="K22" s="6">
        <f>IF(A22="","", SUMPRODUCT((INPUT_Openings!$A:$A=$B$4)*(INPUT_Openings!$B:$B=A22)*(INPUT_Openings!$D:$D)*INPUT_Openings!$F:$F))</f>
        <v/>
      </c>
      <c r="L22">
        <f>IF($A22="","",IF($D22="", "",IFERROR(CEILING( ($D22*$F22) / IFERROR(XLOOKUP(XLOOKUP('Job Control'!$B$3, INPUT_JobSettings!$A:$A, INPUT_JobSettings!$B:$B, ""), Constants!$A:$A, Constants!$D:$D, ""), ""), 0.25), "")))</f>
        <v/>
      </c>
      <c r="M22">
        <f>IF($A22="","",IF($E22="None",0,IF($D22="", "",IFERROR(CEILING( ($D22*IF($E22="Full",1, XLOOKUP("PrimerSpotFactor",Constants!$A$10:$A$60,Constants!$B$10:$B$60))) / IFERROR(XLOOKUP(XLOOKUP('Job Control'!$B$3, INPUT_JobSettings!$A:$A, INPUT_JobSettings!$E:$E, ""), Constants!$A:$A, Constants!$D:$D, ""), ""), 0.25), ""))))</f>
        <v/>
      </c>
      <c r="N22">
        <f>IF($A22="","",IFERROR($L22*IFERROR(XLOOKUP(XLOOKUP('Job Control'!$B$3, INPUT_JobSettings!$A:$A, INPUT_JobSettings!$B:$B, ""), Constants!$A:$A, Constants!$C:$C, 0), 0) + $M22*IFERROR(XLOOKUP(XLOOKUP('Job Control'!$B$3, INPUT_JobSettings!$A:$A, INPUT_JobSettings!$E:$E, ""), Constants!$A:$A, Constants!$C:$C, 0), 0),0))</f>
        <v/>
      </c>
      <c r="O22" s="6">
        <f>IF($A22="","", SUM($H22:$K22))</f>
        <v/>
      </c>
      <c r="P22" s="6">
        <f>IF($A22="","", $O22/60)</f>
        <v/>
      </c>
      <c r="Q22" s="6">
        <f>IF($A22="","", $P22*IFERROR(IF(XLOOKUP('Job Control'!$B$3, INPUT_JobSettings!$A:$A, INPUT_JobSettings!$F:$F, "")&lt;&gt;"", XLOOKUP('Job Control'!$B$3, INPUT_JobSettings!$A:$A, INPUT_JobSettings!$F:$F, ""), $B$6), $B$6))</f>
        <v/>
      </c>
      <c r="R22" s="6">
        <f>IF($A22="","", ($Q22+$N22)*IFERROR(IF(XLOOKUP('Job Control'!$B$3, INPUT_JobSettings!$A:$A, INPUT_JobSettings!$G:$G, "")&lt;&gt;"", XLOOKUP('Job Control'!$B$3, INPUT_JobSettings!$A:$A, INPUT_JobSettings!$G:$G, ""), $B$7), $B$7))</f>
        <v/>
      </c>
      <c r="S22" s="6">
        <f>IF($A22="","", XLOOKUP($A22, INPUT_Rooms!$B:$B, INPUT_Rooms!$AH:$AH, ""))</f>
        <v/>
      </c>
    </row>
    <row r="23">
      <c r="A23" s="6">
        <f>IFERROR(INDEX(FILTER(INPUT_Rooms!$B$4:$B$83, INPUT_Rooms!$A$4:$A$83=$B$4, INPUT_Rooms!$K$4:$K$83="Y"), 13), "")</f>
        <v/>
      </c>
      <c r="B23" s="6">
        <f>IF(A23="","", XLOOKUP(A23, FILTER(INPUT_Rooms!$B$4:$B$83, INPUT_Rooms!$A$4:$A$83=$B$4), FILTER(INPUT_Rooms!$C$4:$C$83, INPUT_Rooms!$A$4:$A$83=$B$4), ""))</f>
        <v/>
      </c>
      <c r="C23" s="6">
        <f>IF(A23="","", "Y")</f>
        <v/>
      </c>
      <c r="D23" s="6">
        <f>IF(A23="","", XLOOKUP(A23, INPUT_Rooms!$B:$B, INPUT_Rooms!$AD:$AD, ""))</f>
        <v/>
      </c>
      <c r="E23" s="6">
        <f>IF(A23="","", XLOOKUP(A23, INPUT_Rooms!$B:$B, INPUT_Rooms!$L:$L, ""))</f>
        <v/>
      </c>
      <c r="F23" s="6">
        <f>IF(A23="","", XLOOKUP(A23, INPUT_Rooms!$B:$B, INPUT_Rooms!$M:$M, ""))</f>
        <v/>
      </c>
      <c r="G23" s="6">
        <f>IF(A23="","", IF(XLOOKUP(A23, INPUT_Rooms!$B:$B, INPUT_Rooms!$N:$N, "")="", $B$5, XLOOKUP(A23, INPUT_Rooms!$B:$B, INPUT_Rooms!$N:$N, "")))</f>
        <v/>
      </c>
      <c r="H23" s="6">
        <f>IF(A23="","", D23*XLOOKUP("PrepMinsPerSqft",Constants!$A$20:$A$40,Constants!$B$20:$B$40)*XLOOKUP(G23,Constants!$E$10:$E$30,Constants!$F$10:$F$30))</f>
        <v/>
      </c>
      <c r="I23" s="6">
        <f>IF(A23="","", D23*XLOOKUP("PaintMinsPerSqftPerCoat",Constants!$A$20:$A$40,Constants!$B$20:$B$40)*F23)</f>
        <v/>
      </c>
      <c r="J23" s="6">
        <f>IF(A23="","", IF(E23="Full", D23*XLOOKUP("PrimerFullMinsPerSqft",Constants!$A$20:$A$40,Constants!$B$20:$B$40), IF(E23="Spot", D23*XLOOKUP("PrimerFullMinsPerSqft",Constants!$A$20:$A$40,Constants!$B$20:$B$40)*XLOOKUP("PrimerSpotFactor",Constants!$A$20:$A$40,Constants!$B$20:$B$40), 0)))</f>
        <v/>
      </c>
      <c r="K23" s="6">
        <f>IF(A23="","", SUMPRODUCT((INPUT_Openings!$A:$A=$B$4)*(INPUT_Openings!$B:$B=A23)*(INPUT_Openings!$D:$D)*INPUT_Openings!$F:$F))</f>
        <v/>
      </c>
      <c r="L23">
        <f>IF($A23="","",IF($D23="", "",IFERROR(CEILING( ($D23*$F23) / IFERROR(XLOOKUP(XLOOKUP('Job Control'!$B$3, INPUT_JobSettings!$A:$A, INPUT_JobSettings!$B:$B, ""), Constants!$A:$A, Constants!$D:$D, ""), ""), 0.25), "")))</f>
        <v/>
      </c>
      <c r="M23">
        <f>IF($A23="","",IF($E23="None",0,IF($D23="", "",IFERROR(CEILING( ($D23*IF($E23="Full",1, XLOOKUP("PrimerSpotFactor",Constants!$A$10:$A$60,Constants!$B$10:$B$60))) / IFERROR(XLOOKUP(XLOOKUP('Job Control'!$B$3, INPUT_JobSettings!$A:$A, INPUT_JobSettings!$E:$E, ""), Constants!$A:$A, Constants!$D:$D, ""), ""), 0.25), ""))))</f>
        <v/>
      </c>
      <c r="N23">
        <f>IF($A23="","",IFERROR($L23*IFERROR(XLOOKUP(XLOOKUP('Job Control'!$B$3, INPUT_JobSettings!$A:$A, INPUT_JobSettings!$B:$B, ""), Constants!$A:$A, Constants!$C:$C, 0), 0) + $M23*IFERROR(XLOOKUP(XLOOKUP('Job Control'!$B$3, INPUT_JobSettings!$A:$A, INPUT_JobSettings!$E:$E, ""), Constants!$A:$A, Constants!$C:$C, 0), 0),0))</f>
        <v/>
      </c>
      <c r="O23" s="6">
        <f>IF($A23="","", SUM($H23:$K23))</f>
        <v/>
      </c>
      <c r="P23" s="6">
        <f>IF($A23="","", $O23/60)</f>
        <v/>
      </c>
      <c r="Q23" s="6">
        <f>IF($A23="","", $P23*IFERROR(IF(XLOOKUP('Job Control'!$B$3, INPUT_JobSettings!$A:$A, INPUT_JobSettings!$F:$F, "")&lt;&gt;"", XLOOKUP('Job Control'!$B$3, INPUT_JobSettings!$A:$A, INPUT_JobSettings!$F:$F, ""), $B$6), $B$6))</f>
        <v/>
      </c>
      <c r="R23" s="6">
        <f>IF($A23="","", ($Q23+$N23)*IFERROR(IF(XLOOKUP('Job Control'!$B$3, INPUT_JobSettings!$A:$A, INPUT_JobSettings!$G:$G, "")&lt;&gt;"", XLOOKUP('Job Control'!$B$3, INPUT_JobSettings!$A:$A, INPUT_JobSettings!$G:$G, ""), $B$7), $B$7))</f>
        <v/>
      </c>
      <c r="S23" s="6">
        <f>IF($A23="","", XLOOKUP($A23, INPUT_Rooms!$B:$B, INPUT_Rooms!$AH:$AH, ""))</f>
        <v/>
      </c>
    </row>
    <row r="24">
      <c r="A24" s="6">
        <f>IFERROR(INDEX(FILTER(INPUT_Rooms!$B$4:$B$83, INPUT_Rooms!$A$4:$A$83=$B$4, INPUT_Rooms!$K$4:$K$83="Y"), 14), "")</f>
        <v/>
      </c>
      <c r="B24" s="6">
        <f>IF(A24="","", XLOOKUP(A24, FILTER(INPUT_Rooms!$B$4:$B$83, INPUT_Rooms!$A$4:$A$83=$B$4), FILTER(INPUT_Rooms!$C$4:$C$83, INPUT_Rooms!$A$4:$A$83=$B$4), ""))</f>
        <v/>
      </c>
      <c r="C24" s="6">
        <f>IF(A24="","", "Y")</f>
        <v/>
      </c>
      <c r="D24" s="6">
        <f>IF(A24="","", XLOOKUP(A24, INPUT_Rooms!$B:$B, INPUT_Rooms!$AD:$AD, ""))</f>
        <v/>
      </c>
      <c r="E24" s="6">
        <f>IF(A24="","", XLOOKUP(A24, INPUT_Rooms!$B:$B, INPUT_Rooms!$L:$L, ""))</f>
        <v/>
      </c>
      <c r="F24" s="6">
        <f>IF(A24="","", XLOOKUP(A24, INPUT_Rooms!$B:$B, INPUT_Rooms!$M:$M, ""))</f>
        <v/>
      </c>
      <c r="G24" s="6">
        <f>IF(A24="","", IF(XLOOKUP(A24, INPUT_Rooms!$B:$B, INPUT_Rooms!$N:$N, "")="", $B$5, XLOOKUP(A24, INPUT_Rooms!$B:$B, INPUT_Rooms!$N:$N, "")))</f>
        <v/>
      </c>
      <c r="H24" s="6">
        <f>IF(A24="","", D24*XLOOKUP("PrepMinsPerSqft",Constants!$A$20:$A$40,Constants!$B$20:$B$40)*XLOOKUP(G24,Constants!$E$10:$E$30,Constants!$F$10:$F$30))</f>
        <v/>
      </c>
      <c r="I24" s="6">
        <f>IF(A24="","", D24*XLOOKUP("PaintMinsPerSqftPerCoat",Constants!$A$20:$A$40,Constants!$B$20:$B$40)*F24)</f>
        <v/>
      </c>
      <c r="J24" s="6">
        <f>IF(A24="","", IF(E24="Full", D24*XLOOKUP("PrimerFullMinsPerSqft",Constants!$A$20:$A$40,Constants!$B$20:$B$40), IF(E24="Spot", D24*XLOOKUP("PrimerFullMinsPerSqft",Constants!$A$20:$A$40,Constants!$B$20:$B$40)*XLOOKUP("PrimerSpotFactor",Constants!$A$20:$A$40,Constants!$B$20:$B$40), 0)))</f>
        <v/>
      </c>
      <c r="K24" s="6">
        <f>IF(A24="","", SUMPRODUCT((INPUT_Openings!$A:$A=$B$4)*(INPUT_Openings!$B:$B=A24)*(INPUT_Openings!$D:$D)*INPUT_Openings!$F:$F))</f>
        <v/>
      </c>
      <c r="L24">
        <f>IF($A24="","",IF($D24="", "",IFERROR(CEILING( ($D24*$F24) / IFERROR(XLOOKUP(XLOOKUP('Job Control'!$B$3, INPUT_JobSettings!$A:$A, INPUT_JobSettings!$B:$B, ""), Constants!$A:$A, Constants!$D:$D, ""), ""), 0.25), "")))</f>
        <v/>
      </c>
      <c r="M24">
        <f>IF($A24="","",IF($E24="None",0,IF($D24="", "",IFERROR(CEILING( ($D24*IF($E24="Full",1, XLOOKUP("PrimerSpotFactor",Constants!$A$10:$A$60,Constants!$B$10:$B$60))) / IFERROR(XLOOKUP(XLOOKUP('Job Control'!$B$3, INPUT_JobSettings!$A:$A, INPUT_JobSettings!$E:$E, ""), Constants!$A:$A, Constants!$D:$D, ""), ""), 0.25), ""))))</f>
        <v/>
      </c>
      <c r="N24">
        <f>IF($A24="","",IFERROR($L24*IFERROR(XLOOKUP(XLOOKUP('Job Control'!$B$3, INPUT_JobSettings!$A:$A, INPUT_JobSettings!$B:$B, ""), Constants!$A:$A, Constants!$C:$C, 0), 0) + $M24*IFERROR(XLOOKUP(XLOOKUP('Job Control'!$B$3, INPUT_JobSettings!$A:$A, INPUT_JobSettings!$E:$E, ""), Constants!$A:$A, Constants!$C:$C, 0), 0),0))</f>
        <v/>
      </c>
      <c r="O24" s="6">
        <f>IF($A24="","", SUM($H24:$K24))</f>
        <v/>
      </c>
      <c r="P24" s="6">
        <f>IF($A24="","", $O24/60)</f>
        <v/>
      </c>
      <c r="Q24" s="6">
        <f>IF($A24="","", $P24*IFERROR(IF(XLOOKUP('Job Control'!$B$3, INPUT_JobSettings!$A:$A, INPUT_JobSettings!$F:$F, "")&lt;&gt;"", XLOOKUP('Job Control'!$B$3, INPUT_JobSettings!$A:$A, INPUT_JobSettings!$F:$F, ""), $B$6), $B$6))</f>
        <v/>
      </c>
      <c r="R24" s="6">
        <f>IF($A24="","", ($Q24+$N24)*IFERROR(IF(XLOOKUP('Job Control'!$B$3, INPUT_JobSettings!$A:$A, INPUT_JobSettings!$G:$G, "")&lt;&gt;"", XLOOKUP('Job Control'!$B$3, INPUT_JobSettings!$A:$A, INPUT_JobSettings!$G:$G, ""), $B$7), $B$7))</f>
        <v/>
      </c>
      <c r="S24" s="6">
        <f>IF($A24="","", XLOOKUP($A24, INPUT_Rooms!$B:$B, INPUT_Rooms!$AH:$AH, ""))</f>
        <v/>
      </c>
    </row>
    <row r="25">
      <c r="A25" s="6">
        <f>IFERROR(INDEX(FILTER(INPUT_Rooms!$B$4:$B$83, INPUT_Rooms!$A$4:$A$83=$B$4, INPUT_Rooms!$K$4:$K$83="Y"), 15), "")</f>
        <v/>
      </c>
      <c r="B25" s="6">
        <f>IF(A25="","", XLOOKUP(A25, FILTER(INPUT_Rooms!$B$4:$B$83, INPUT_Rooms!$A$4:$A$83=$B$4), FILTER(INPUT_Rooms!$C$4:$C$83, INPUT_Rooms!$A$4:$A$83=$B$4), ""))</f>
        <v/>
      </c>
      <c r="C25" s="6">
        <f>IF(A25="","", "Y")</f>
        <v/>
      </c>
      <c r="D25" s="6">
        <f>IF(A25="","", XLOOKUP(A25, INPUT_Rooms!$B:$B, INPUT_Rooms!$AD:$AD, ""))</f>
        <v/>
      </c>
      <c r="E25" s="6">
        <f>IF(A25="","", XLOOKUP(A25, INPUT_Rooms!$B:$B, INPUT_Rooms!$L:$L, ""))</f>
        <v/>
      </c>
      <c r="F25" s="6">
        <f>IF(A25="","", XLOOKUP(A25, INPUT_Rooms!$B:$B, INPUT_Rooms!$M:$M, ""))</f>
        <v/>
      </c>
      <c r="G25" s="6">
        <f>IF(A25="","", IF(XLOOKUP(A25, INPUT_Rooms!$B:$B, INPUT_Rooms!$N:$N, "")="", $B$5, XLOOKUP(A25, INPUT_Rooms!$B:$B, INPUT_Rooms!$N:$N, "")))</f>
        <v/>
      </c>
      <c r="H25" s="6">
        <f>IF(A25="","", D25*XLOOKUP("PrepMinsPerSqft",Constants!$A$20:$A$40,Constants!$B$20:$B$40)*XLOOKUP(G25,Constants!$E$10:$E$30,Constants!$F$10:$F$30))</f>
        <v/>
      </c>
      <c r="I25" s="6">
        <f>IF(A25="","", D25*XLOOKUP("PaintMinsPerSqftPerCoat",Constants!$A$20:$A$40,Constants!$B$20:$B$40)*F25)</f>
        <v/>
      </c>
      <c r="J25" s="6">
        <f>IF(A25="","", IF(E25="Full", D25*XLOOKUP("PrimerFullMinsPerSqft",Constants!$A$20:$A$40,Constants!$B$20:$B$40), IF(E25="Spot", D25*XLOOKUP("PrimerFullMinsPerSqft",Constants!$A$20:$A$40,Constants!$B$20:$B$40)*XLOOKUP("PrimerSpotFactor",Constants!$A$20:$A$40,Constants!$B$20:$B$40), 0)))</f>
        <v/>
      </c>
      <c r="K25" s="6">
        <f>IF(A25="","", SUMPRODUCT((INPUT_Openings!$A:$A=$B$4)*(INPUT_Openings!$B:$B=A25)*(INPUT_Openings!$D:$D)*INPUT_Openings!$F:$F))</f>
        <v/>
      </c>
      <c r="L25">
        <f>IF($A25="","",IF($D25="", "",IFERROR(CEILING( ($D25*$F25) / IFERROR(XLOOKUP(XLOOKUP('Job Control'!$B$3, INPUT_JobSettings!$A:$A, INPUT_JobSettings!$B:$B, ""), Constants!$A:$A, Constants!$D:$D, ""), ""), 0.25), "")))</f>
        <v/>
      </c>
      <c r="M25">
        <f>IF($A25="","",IF($E25="None",0,IF($D25="", "",IFERROR(CEILING( ($D25*IF($E25="Full",1, XLOOKUP("PrimerSpotFactor",Constants!$A$10:$A$60,Constants!$B$10:$B$60))) / IFERROR(XLOOKUP(XLOOKUP('Job Control'!$B$3, INPUT_JobSettings!$A:$A, INPUT_JobSettings!$E:$E, ""), Constants!$A:$A, Constants!$D:$D, ""), ""), 0.25), ""))))</f>
        <v/>
      </c>
      <c r="N25">
        <f>IF($A25="","",IFERROR($L25*IFERROR(XLOOKUP(XLOOKUP('Job Control'!$B$3, INPUT_JobSettings!$A:$A, INPUT_JobSettings!$B:$B, ""), Constants!$A:$A, Constants!$C:$C, 0), 0) + $M25*IFERROR(XLOOKUP(XLOOKUP('Job Control'!$B$3, INPUT_JobSettings!$A:$A, INPUT_JobSettings!$E:$E, ""), Constants!$A:$A, Constants!$C:$C, 0), 0),0))</f>
        <v/>
      </c>
      <c r="O25" s="6">
        <f>IF($A25="","", SUM($H25:$K25))</f>
        <v/>
      </c>
      <c r="P25" s="6">
        <f>IF($A25="","", $O25/60)</f>
        <v/>
      </c>
      <c r="Q25" s="6">
        <f>IF($A25="","", $P25*IFERROR(IF(XLOOKUP('Job Control'!$B$3, INPUT_JobSettings!$A:$A, INPUT_JobSettings!$F:$F, "")&lt;&gt;"", XLOOKUP('Job Control'!$B$3, INPUT_JobSettings!$A:$A, INPUT_JobSettings!$F:$F, ""), $B$6), $B$6))</f>
        <v/>
      </c>
      <c r="R25" s="6">
        <f>IF($A25="","", ($Q25+$N25)*IFERROR(IF(XLOOKUP('Job Control'!$B$3, INPUT_JobSettings!$A:$A, INPUT_JobSettings!$G:$G, "")&lt;&gt;"", XLOOKUP('Job Control'!$B$3, INPUT_JobSettings!$A:$A, INPUT_JobSettings!$G:$G, ""), $B$7), $B$7))</f>
        <v/>
      </c>
      <c r="S25" s="6">
        <f>IF($A25="","", XLOOKUP($A25, INPUT_Rooms!$B:$B, INPUT_Rooms!$AH:$AH, ""))</f>
        <v/>
      </c>
    </row>
    <row r="26">
      <c r="A26" s="6">
        <f>IFERROR(INDEX(FILTER(INPUT_Rooms!$B$4:$B$83, INPUT_Rooms!$A$4:$A$83=$B$4, INPUT_Rooms!$K$4:$K$83="Y"), 16), "")</f>
        <v/>
      </c>
      <c r="B26" s="6">
        <f>IF(A26="","", XLOOKUP(A26, FILTER(INPUT_Rooms!$B$4:$B$83, INPUT_Rooms!$A$4:$A$83=$B$4), FILTER(INPUT_Rooms!$C$4:$C$83, INPUT_Rooms!$A$4:$A$83=$B$4), ""))</f>
        <v/>
      </c>
      <c r="C26" s="6">
        <f>IF(A26="","", "Y")</f>
        <v/>
      </c>
      <c r="D26" s="6">
        <f>IF(A26="","", XLOOKUP(A26, INPUT_Rooms!$B:$B, INPUT_Rooms!$AD:$AD, ""))</f>
        <v/>
      </c>
      <c r="E26" s="6">
        <f>IF(A26="","", XLOOKUP(A26, INPUT_Rooms!$B:$B, INPUT_Rooms!$L:$L, ""))</f>
        <v/>
      </c>
      <c r="F26" s="6">
        <f>IF(A26="","", XLOOKUP(A26, INPUT_Rooms!$B:$B, INPUT_Rooms!$M:$M, ""))</f>
        <v/>
      </c>
      <c r="G26" s="6">
        <f>IF(A26="","", IF(XLOOKUP(A26, INPUT_Rooms!$B:$B, INPUT_Rooms!$N:$N, "")="", $B$5, XLOOKUP(A26, INPUT_Rooms!$B:$B, INPUT_Rooms!$N:$N, "")))</f>
        <v/>
      </c>
      <c r="H26" s="6">
        <f>IF(A26="","", D26*XLOOKUP("PrepMinsPerSqft",Constants!$A$20:$A$40,Constants!$B$20:$B$40)*XLOOKUP(G26,Constants!$E$10:$E$30,Constants!$F$10:$F$30))</f>
        <v/>
      </c>
      <c r="I26" s="6">
        <f>IF(A26="","", D26*XLOOKUP("PaintMinsPerSqftPerCoat",Constants!$A$20:$A$40,Constants!$B$20:$B$40)*F26)</f>
        <v/>
      </c>
      <c r="J26" s="6">
        <f>IF(A26="","", IF(E26="Full", D26*XLOOKUP("PrimerFullMinsPerSqft",Constants!$A$20:$A$40,Constants!$B$20:$B$40), IF(E26="Spot", D26*XLOOKUP("PrimerFullMinsPerSqft",Constants!$A$20:$A$40,Constants!$B$20:$B$40)*XLOOKUP("PrimerSpotFactor",Constants!$A$20:$A$40,Constants!$B$20:$B$40), 0)))</f>
        <v/>
      </c>
      <c r="K26" s="6">
        <f>IF(A26="","", SUMPRODUCT((INPUT_Openings!$A:$A=$B$4)*(INPUT_Openings!$B:$B=A26)*(INPUT_Openings!$D:$D)*INPUT_Openings!$F:$F))</f>
        <v/>
      </c>
      <c r="L26">
        <f>IF($A26="","",IF($D26="", "",IFERROR(CEILING( ($D26*$F26) / IFERROR(XLOOKUP(XLOOKUP('Job Control'!$B$3, INPUT_JobSettings!$A:$A, INPUT_JobSettings!$B:$B, ""), Constants!$A:$A, Constants!$D:$D, ""), ""), 0.25), "")))</f>
        <v/>
      </c>
      <c r="M26">
        <f>IF($A26="","",IF($E26="None",0,IF($D26="", "",IFERROR(CEILING( ($D26*IF($E26="Full",1, XLOOKUP("PrimerSpotFactor",Constants!$A$10:$A$60,Constants!$B$10:$B$60))) / IFERROR(XLOOKUP(XLOOKUP('Job Control'!$B$3, INPUT_JobSettings!$A:$A, INPUT_JobSettings!$E:$E, ""), Constants!$A:$A, Constants!$D:$D, ""), ""), 0.25), ""))))</f>
        <v/>
      </c>
      <c r="N26">
        <f>IF($A26="","",IFERROR($L26*IFERROR(XLOOKUP(XLOOKUP('Job Control'!$B$3, INPUT_JobSettings!$A:$A, INPUT_JobSettings!$B:$B, ""), Constants!$A:$A, Constants!$C:$C, 0), 0) + $M26*IFERROR(XLOOKUP(XLOOKUP('Job Control'!$B$3, INPUT_JobSettings!$A:$A, INPUT_JobSettings!$E:$E, ""), Constants!$A:$A, Constants!$C:$C, 0), 0),0))</f>
        <v/>
      </c>
      <c r="O26" s="6">
        <f>IF($A26="","", SUM($H26:$K26))</f>
        <v/>
      </c>
      <c r="P26" s="6">
        <f>IF($A26="","", $O26/60)</f>
        <v/>
      </c>
      <c r="Q26" s="6">
        <f>IF($A26="","", $P26*IFERROR(IF(XLOOKUP('Job Control'!$B$3, INPUT_JobSettings!$A:$A, INPUT_JobSettings!$F:$F, "")&lt;&gt;"", XLOOKUP('Job Control'!$B$3, INPUT_JobSettings!$A:$A, INPUT_JobSettings!$F:$F, ""), $B$6), $B$6))</f>
        <v/>
      </c>
      <c r="R26" s="6">
        <f>IF($A26="","", ($Q26+$N26)*IFERROR(IF(XLOOKUP('Job Control'!$B$3, INPUT_JobSettings!$A:$A, INPUT_JobSettings!$G:$G, "")&lt;&gt;"", XLOOKUP('Job Control'!$B$3, INPUT_JobSettings!$A:$A, INPUT_JobSettings!$G:$G, ""), $B$7), $B$7))</f>
        <v/>
      </c>
      <c r="S26" s="6">
        <f>IF($A26="","", XLOOKUP($A26, INPUT_Rooms!$B:$B, INPUT_Rooms!$AH:$AH, ""))</f>
        <v/>
      </c>
    </row>
    <row r="27">
      <c r="A27" s="6">
        <f>IFERROR(INDEX(FILTER(INPUT_Rooms!$B$4:$B$83, INPUT_Rooms!$A$4:$A$83=$B$4, INPUT_Rooms!$K$4:$K$83="Y"), 17), "")</f>
        <v/>
      </c>
      <c r="B27" s="6">
        <f>IF(A27="","", XLOOKUP(A27, FILTER(INPUT_Rooms!$B$4:$B$83, INPUT_Rooms!$A$4:$A$83=$B$4), FILTER(INPUT_Rooms!$C$4:$C$83, INPUT_Rooms!$A$4:$A$83=$B$4), ""))</f>
        <v/>
      </c>
      <c r="C27" s="6">
        <f>IF(A27="","", "Y")</f>
        <v/>
      </c>
      <c r="D27" s="6">
        <f>IF(A27="","", XLOOKUP(A27, INPUT_Rooms!$B:$B, INPUT_Rooms!$AD:$AD, ""))</f>
        <v/>
      </c>
      <c r="E27" s="6">
        <f>IF(A27="","", XLOOKUP(A27, INPUT_Rooms!$B:$B, INPUT_Rooms!$L:$L, ""))</f>
        <v/>
      </c>
      <c r="F27" s="6">
        <f>IF(A27="","", XLOOKUP(A27, INPUT_Rooms!$B:$B, INPUT_Rooms!$M:$M, ""))</f>
        <v/>
      </c>
      <c r="G27" s="6">
        <f>IF(A27="","", IF(XLOOKUP(A27, INPUT_Rooms!$B:$B, INPUT_Rooms!$N:$N, "")="", $B$5, XLOOKUP(A27, INPUT_Rooms!$B:$B, INPUT_Rooms!$N:$N, "")))</f>
        <v/>
      </c>
      <c r="H27" s="6">
        <f>IF(A27="","", D27*XLOOKUP("PrepMinsPerSqft",Constants!$A$20:$A$40,Constants!$B$20:$B$40)*XLOOKUP(G27,Constants!$E$10:$E$30,Constants!$F$10:$F$30))</f>
        <v/>
      </c>
      <c r="I27" s="6">
        <f>IF(A27="","", D27*XLOOKUP("PaintMinsPerSqftPerCoat",Constants!$A$20:$A$40,Constants!$B$20:$B$40)*F27)</f>
        <v/>
      </c>
      <c r="J27" s="6">
        <f>IF(A27="","", IF(E27="Full", D27*XLOOKUP("PrimerFullMinsPerSqft",Constants!$A$20:$A$40,Constants!$B$20:$B$40), IF(E27="Spot", D27*XLOOKUP("PrimerFullMinsPerSqft",Constants!$A$20:$A$40,Constants!$B$20:$B$40)*XLOOKUP("PrimerSpotFactor",Constants!$A$20:$A$40,Constants!$B$20:$B$40), 0)))</f>
        <v/>
      </c>
      <c r="K27" s="6">
        <f>IF(A27="","", SUMPRODUCT((INPUT_Openings!$A:$A=$B$4)*(INPUT_Openings!$B:$B=A27)*(INPUT_Openings!$D:$D)*INPUT_Openings!$F:$F))</f>
        <v/>
      </c>
      <c r="L27">
        <f>IF($A27="","",IF($D27="", "",IFERROR(CEILING( ($D27*$F27) / IFERROR(XLOOKUP(XLOOKUP('Job Control'!$B$3, INPUT_JobSettings!$A:$A, INPUT_JobSettings!$B:$B, ""), Constants!$A:$A, Constants!$D:$D, ""), ""), 0.25), "")))</f>
        <v/>
      </c>
      <c r="M27">
        <f>IF($A27="","",IF($E27="None",0,IF($D27="", "",IFERROR(CEILING( ($D27*IF($E27="Full",1, XLOOKUP("PrimerSpotFactor",Constants!$A$10:$A$60,Constants!$B$10:$B$60))) / IFERROR(XLOOKUP(XLOOKUP('Job Control'!$B$3, INPUT_JobSettings!$A:$A, INPUT_JobSettings!$E:$E, ""), Constants!$A:$A, Constants!$D:$D, ""), ""), 0.25), ""))))</f>
        <v/>
      </c>
      <c r="N27">
        <f>IF($A27="","",IFERROR($L27*IFERROR(XLOOKUP(XLOOKUP('Job Control'!$B$3, INPUT_JobSettings!$A:$A, INPUT_JobSettings!$B:$B, ""), Constants!$A:$A, Constants!$C:$C, 0), 0) + $M27*IFERROR(XLOOKUP(XLOOKUP('Job Control'!$B$3, INPUT_JobSettings!$A:$A, INPUT_JobSettings!$E:$E, ""), Constants!$A:$A, Constants!$C:$C, 0), 0),0))</f>
        <v/>
      </c>
      <c r="O27" s="6">
        <f>IF($A27="","", SUM($H27:$K27))</f>
        <v/>
      </c>
      <c r="P27" s="6">
        <f>IF($A27="","", $O27/60)</f>
        <v/>
      </c>
      <c r="Q27" s="6">
        <f>IF($A27="","", $P27*IFERROR(IF(XLOOKUP('Job Control'!$B$3, INPUT_JobSettings!$A:$A, INPUT_JobSettings!$F:$F, "")&lt;&gt;"", XLOOKUP('Job Control'!$B$3, INPUT_JobSettings!$A:$A, INPUT_JobSettings!$F:$F, ""), $B$6), $B$6))</f>
        <v/>
      </c>
      <c r="R27" s="6">
        <f>IF($A27="","", ($Q27+$N27)*IFERROR(IF(XLOOKUP('Job Control'!$B$3, INPUT_JobSettings!$A:$A, INPUT_JobSettings!$G:$G, "")&lt;&gt;"", XLOOKUP('Job Control'!$B$3, INPUT_JobSettings!$A:$A, INPUT_JobSettings!$G:$G, ""), $B$7), $B$7))</f>
        <v/>
      </c>
      <c r="S27" s="6">
        <f>IF($A27="","", XLOOKUP($A27, INPUT_Rooms!$B:$B, INPUT_Rooms!$AH:$AH, ""))</f>
        <v/>
      </c>
    </row>
    <row r="28">
      <c r="A28" s="6">
        <f>IFERROR(INDEX(FILTER(INPUT_Rooms!$B$4:$B$83, INPUT_Rooms!$A$4:$A$83=$B$4, INPUT_Rooms!$K$4:$K$83="Y"), 18), "")</f>
        <v/>
      </c>
      <c r="B28" s="6">
        <f>IF(A28="","", XLOOKUP(A28, FILTER(INPUT_Rooms!$B$4:$B$83, INPUT_Rooms!$A$4:$A$83=$B$4), FILTER(INPUT_Rooms!$C$4:$C$83, INPUT_Rooms!$A$4:$A$83=$B$4), ""))</f>
        <v/>
      </c>
      <c r="C28" s="6">
        <f>IF(A28="","", "Y")</f>
        <v/>
      </c>
      <c r="D28" s="6">
        <f>IF(A28="","", XLOOKUP(A28, INPUT_Rooms!$B:$B, INPUT_Rooms!$AD:$AD, ""))</f>
        <v/>
      </c>
      <c r="E28" s="6">
        <f>IF(A28="","", XLOOKUP(A28, INPUT_Rooms!$B:$B, INPUT_Rooms!$L:$L, ""))</f>
        <v/>
      </c>
      <c r="F28" s="6">
        <f>IF(A28="","", XLOOKUP(A28, INPUT_Rooms!$B:$B, INPUT_Rooms!$M:$M, ""))</f>
        <v/>
      </c>
      <c r="G28" s="6">
        <f>IF(A28="","", IF(XLOOKUP(A28, INPUT_Rooms!$B:$B, INPUT_Rooms!$N:$N, "")="", $B$5, XLOOKUP(A28, INPUT_Rooms!$B:$B, INPUT_Rooms!$N:$N, "")))</f>
        <v/>
      </c>
      <c r="H28" s="6">
        <f>IF(A28="","", D28*XLOOKUP("PrepMinsPerSqft",Constants!$A$20:$A$40,Constants!$B$20:$B$40)*XLOOKUP(G28,Constants!$E$10:$E$30,Constants!$F$10:$F$30))</f>
        <v/>
      </c>
      <c r="I28" s="6">
        <f>IF(A28="","", D28*XLOOKUP("PaintMinsPerSqftPerCoat",Constants!$A$20:$A$40,Constants!$B$20:$B$40)*F28)</f>
        <v/>
      </c>
      <c r="J28" s="6">
        <f>IF(A28="","", IF(E28="Full", D28*XLOOKUP("PrimerFullMinsPerSqft",Constants!$A$20:$A$40,Constants!$B$20:$B$40), IF(E28="Spot", D28*XLOOKUP("PrimerFullMinsPerSqft",Constants!$A$20:$A$40,Constants!$B$20:$B$40)*XLOOKUP("PrimerSpotFactor",Constants!$A$20:$A$40,Constants!$B$20:$B$40), 0)))</f>
        <v/>
      </c>
      <c r="K28" s="6">
        <f>IF(A28="","", SUMPRODUCT((INPUT_Openings!$A:$A=$B$4)*(INPUT_Openings!$B:$B=A28)*(INPUT_Openings!$D:$D)*INPUT_Openings!$F:$F))</f>
        <v/>
      </c>
      <c r="L28">
        <f>IF($A28="","",IF($D28="", "",IFERROR(CEILING( ($D28*$F28) / IFERROR(XLOOKUP(XLOOKUP('Job Control'!$B$3, INPUT_JobSettings!$A:$A, INPUT_JobSettings!$B:$B, ""), Constants!$A:$A, Constants!$D:$D, ""), ""), 0.25), "")))</f>
        <v/>
      </c>
      <c r="M28">
        <f>IF($A28="","",IF($E28="None",0,IF($D28="", "",IFERROR(CEILING( ($D28*IF($E28="Full",1, XLOOKUP("PrimerSpotFactor",Constants!$A$10:$A$60,Constants!$B$10:$B$60))) / IFERROR(XLOOKUP(XLOOKUP('Job Control'!$B$3, INPUT_JobSettings!$A:$A, INPUT_JobSettings!$E:$E, ""), Constants!$A:$A, Constants!$D:$D, ""), ""), 0.25), ""))))</f>
        <v/>
      </c>
      <c r="N28">
        <f>IF($A28="","",IFERROR($L28*IFERROR(XLOOKUP(XLOOKUP('Job Control'!$B$3, INPUT_JobSettings!$A:$A, INPUT_JobSettings!$B:$B, ""), Constants!$A:$A, Constants!$C:$C, 0), 0) + $M28*IFERROR(XLOOKUP(XLOOKUP('Job Control'!$B$3, INPUT_JobSettings!$A:$A, INPUT_JobSettings!$E:$E, ""), Constants!$A:$A, Constants!$C:$C, 0), 0),0))</f>
        <v/>
      </c>
      <c r="O28" s="6">
        <f>IF($A28="","", SUM($H28:$K28))</f>
        <v/>
      </c>
      <c r="P28" s="6">
        <f>IF($A28="","", $O28/60)</f>
        <v/>
      </c>
      <c r="Q28" s="6">
        <f>IF($A28="","", $P28*IFERROR(IF(XLOOKUP('Job Control'!$B$3, INPUT_JobSettings!$A:$A, INPUT_JobSettings!$F:$F, "")&lt;&gt;"", XLOOKUP('Job Control'!$B$3, INPUT_JobSettings!$A:$A, INPUT_JobSettings!$F:$F, ""), $B$6), $B$6))</f>
        <v/>
      </c>
      <c r="R28" s="6">
        <f>IF($A28="","", ($Q28+$N28)*IFERROR(IF(XLOOKUP('Job Control'!$B$3, INPUT_JobSettings!$A:$A, INPUT_JobSettings!$G:$G, "")&lt;&gt;"", XLOOKUP('Job Control'!$B$3, INPUT_JobSettings!$A:$A, INPUT_JobSettings!$G:$G, ""), $B$7), $B$7))</f>
        <v/>
      </c>
      <c r="S28" s="6">
        <f>IF($A28="","", XLOOKUP($A28, INPUT_Rooms!$B:$B, INPUT_Rooms!$AH:$AH, ""))</f>
        <v/>
      </c>
    </row>
    <row r="29">
      <c r="A29" s="6">
        <f>IFERROR(INDEX(FILTER(INPUT_Rooms!$B$4:$B$83, INPUT_Rooms!$A$4:$A$83=$B$4, INPUT_Rooms!$K$4:$K$83="Y"), 19), "")</f>
        <v/>
      </c>
      <c r="B29" s="6">
        <f>IF(A29="","", XLOOKUP(A29, FILTER(INPUT_Rooms!$B$4:$B$83, INPUT_Rooms!$A$4:$A$83=$B$4), FILTER(INPUT_Rooms!$C$4:$C$83, INPUT_Rooms!$A$4:$A$83=$B$4), ""))</f>
        <v/>
      </c>
      <c r="C29" s="6">
        <f>IF(A29="","", "Y")</f>
        <v/>
      </c>
      <c r="D29" s="6">
        <f>IF(A29="","", XLOOKUP(A29, INPUT_Rooms!$B:$B, INPUT_Rooms!$AD:$AD, ""))</f>
        <v/>
      </c>
      <c r="E29" s="6">
        <f>IF(A29="","", XLOOKUP(A29, INPUT_Rooms!$B:$B, INPUT_Rooms!$L:$L, ""))</f>
        <v/>
      </c>
      <c r="F29" s="6">
        <f>IF(A29="","", XLOOKUP(A29, INPUT_Rooms!$B:$B, INPUT_Rooms!$M:$M, ""))</f>
        <v/>
      </c>
      <c r="G29" s="6">
        <f>IF(A29="","", IF(XLOOKUP(A29, INPUT_Rooms!$B:$B, INPUT_Rooms!$N:$N, "")="", $B$5, XLOOKUP(A29, INPUT_Rooms!$B:$B, INPUT_Rooms!$N:$N, "")))</f>
        <v/>
      </c>
      <c r="H29" s="6">
        <f>IF(A29="","", D29*XLOOKUP("PrepMinsPerSqft",Constants!$A$20:$A$40,Constants!$B$20:$B$40)*XLOOKUP(G29,Constants!$E$10:$E$30,Constants!$F$10:$F$30))</f>
        <v/>
      </c>
      <c r="I29" s="6">
        <f>IF(A29="","", D29*XLOOKUP("PaintMinsPerSqftPerCoat",Constants!$A$20:$A$40,Constants!$B$20:$B$40)*F29)</f>
        <v/>
      </c>
      <c r="J29" s="6">
        <f>IF(A29="","", IF(E29="Full", D29*XLOOKUP("PrimerFullMinsPerSqft",Constants!$A$20:$A$40,Constants!$B$20:$B$40), IF(E29="Spot", D29*XLOOKUP("PrimerFullMinsPerSqft",Constants!$A$20:$A$40,Constants!$B$20:$B$40)*XLOOKUP("PrimerSpotFactor",Constants!$A$20:$A$40,Constants!$B$20:$B$40), 0)))</f>
        <v/>
      </c>
      <c r="K29" s="6">
        <f>IF(A29="","", SUMPRODUCT((INPUT_Openings!$A:$A=$B$4)*(INPUT_Openings!$B:$B=A29)*(INPUT_Openings!$D:$D)*INPUT_Openings!$F:$F))</f>
        <v/>
      </c>
      <c r="L29">
        <f>IF($A29="","",IF($D29="", "",IFERROR(CEILING( ($D29*$F29) / IFERROR(XLOOKUP(XLOOKUP('Job Control'!$B$3, INPUT_JobSettings!$A:$A, INPUT_JobSettings!$B:$B, ""), Constants!$A:$A, Constants!$D:$D, ""), ""), 0.25), "")))</f>
        <v/>
      </c>
      <c r="M29">
        <f>IF($A29="","",IF($E29="None",0,IF($D29="", "",IFERROR(CEILING( ($D29*IF($E29="Full",1, XLOOKUP("PrimerSpotFactor",Constants!$A$10:$A$60,Constants!$B$10:$B$60))) / IFERROR(XLOOKUP(XLOOKUP('Job Control'!$B$3, INPUT_JobSettings!$A:$A, INPUT_JobSettings!$E:$E, ""), Constants!$A:$A, Constants!$D:$D, ""), ""), 0.25), ""))))</f>
        <v/>
      </c>
      <c r="N29">
        <f>IF($A29="","",IFERROR($L29*IFERROR(XLOOKUP(XLOOKUP('Job Control'!$B$3, INPUT_JobSettings!$A:$A, INPUT_JobSettings!$B:$B, ""), Constants!$A:$A, Constants!$C:$C, 0), 0) + $M29*IFERROR(XLOOKUP(XLOOKUP('Job Control'!$B$3, INPUT_JobSettings!$A:$A, INPUT_JobSettings!$E:$E, ""), Constants!$A:$A, Constants!$C:$C, 0), 0),0))</f>
        <v/>
      </c>
      <c r="O29" s="6">
        <f>IF($A29="","", SUM($H29:$K29))</f>
        <v/>
      </c>
      <c r="P29" s="6">
        <f>IF($A29="","", $O29/60)</f>
        <v/>
      </c>
      <c r="Q29" s="6">
        <f>IF($A29="","", $P29*IFERROR(IF(XLOOKUP('Job Control'!$B$3, INPUT_JobSettings!$A:$A, INPUT_JobSettings!$F:$F, "")&lt;&gt;"", XLOOKUP('Job Control'!$B$3, INPUT_JobSettings!$A:$A, INPUT_JobSettings!$F:$F, ""), $B$6), $B$6))</f>
        <v/>
      </c>
      <c r="R29" s="6">
        <f>IF($A29="","", ($Q29+$N29)*IFERROR(IF(XLOOKUP('Job Control'!$B$3, INPUT_JobSettings!$A:$A, INPUT_JobSettings!$G:$G, "")&lt;&gt;"", XLOOKUP('Job Control'!$B$3, INPUT_JobSettings!$A:$A, INPUT_JobSettings!$G:$G, ""), $B$7), $B$7))</f>
        <v/>
      </c>
      <c r="S29" s="6">
        <f>IF($A29="","", XLOOKUP($A29, INPUT_Rooms!$B:$B, INPUT_Rooms!$AH:$AH, ""))</f>
        <v/>
      </c>
    </row>
    <row r="30">
      <c r="A30" s="6">
        <f>IFERROR(INDEX(FILTER(INPUT_Rooms!$B$4:$B$83, INPUT_Rooms!$A$4:$A$83=$B$4, INPUT_Rooms!$K$4:$K$83="Y"), 20), "")</f>
        <v/>
      </c>
      <c r="B30" s="6">
        <f>IF(A30="","", XLOOKUP(A30, FILTER(INPUT_Rooms!$B$4:$B$83, INPUT_Rooms!$A$4:$A$83=$B$4), FILTER(INPUT_Rooms!$C$4:$C$83, INPUT_Rooms!$A$4:$A$83=$B$4), ""))</f>
        <v/>
      </c>
      <c r="C30" s="6">
        <f>IF(A30="","", "Y")</f>
        <v/>
      </c>
      <c r="D30" s="6">
        <f>IF(A30="","", XLOOKUP(A30, INPUT_Rooms!$B:$B, INPUT_Rooms!$AD:$AD, ""))</f>
        <v/>
      </c>
      <c r="E30" s="6">
        <f>IF(A30="","", XLOOKUP(A30, INPUT_Rooms!$B:$B, INPUT_Rooms!$L:$L, ""))</f>
        <v/>
      </c>
      <c r="F30" s="6">
        <f>IF(A30="","", XLOOKUP(A30, INPUT_Rooms!$B:$B, INPUT_Rooms!$M:$M, ""))</f>
        <v/>
      </c>
      <c r="G30" s="6">
        <f>IF(A30="","", IF(XLOOKUP(A30, INPUT_Rooms!$B:$B, INPUT_Rooms!$N:$N, "")="", $B$5, XLOOKUP(A30, INPUT_Rooms!$B:$B, INPUT_Rooms!$N:$N, "")))</f>
        <v/>
      </c>
      <c r="H30" s="6">
        <f>IF(A30="","", D30*XLOOKUP("PrepMinsPerSqft",Constants!$A$20:$A$40,Constants!$B$20:$B$40)*XLOOKUP(G30,Constants!$E$10:$E$30,Constants!$F$10:$F$30))</f>
        <v/>
      </c>
      <c r="I30" s="6">
        <f>IF(A30="","", D30*XLOOKUP("PaintMinsPerSqftPerCoat",Constants!$A$20:$A$40,Constants!$B$20:$B$40)*F30)</f>
        <v/>
      </c>
      <c r="J30" s="6">
        <f>IF(A30="","", IF(E30="Full", D30*XLOOKUP("PrimerFullMinsPerSqft",Constants!$A$20:$A$40,Constants!$B$20:$B$40), IF(E30="Spot", D30*XLOOKUP("PrimerFullMinsPerSqft",Constants!$A$20:$A$40,Constants!$B$20:$B$40)*XLOOKUP("PrimerSpotFactor",Constants!$A$20:$A$40,Constants!$B$20:$B$40), 0)))</f>
        <v/>
      </c>
      <c r="K30" s="6">
        <f>IF(A30="","", SUMPRODUCT((INPUT_Openings!$A:$A=$B$4)*(INPUT_Openings!$B:$B=A30)*(INPUT_Openings!$D:$D)*INPUT_Openings!$F:$F))</f>
        <v/>
      </c>
      <c r="L30">
        <f>IF($A30="","",IF($D30="", "",IFERROR(CEILING( ($D30*$F30) / IFERROR(XLOOKUP(XLOOKUP('Job Control'!$B$3, INPUT_JobSettings!$A:$A, INPUT_JobSettings!$B:$B, ""), Constants!$A:$A, Constants!$D:$D, ""), ""), 0.25), "")))</f>
        <v/>
      </c>
      <c r="M30">
        <f>IF($A30="","",IF($E30="None",0,IF($D30="", "",IFERROR(CEILING( ($D30*IF($E30="Full",1, XLOOKUP("PrimerSpotFactor",Constants!$A$10:$A$60,Constants!$B$10:$B$60))) / IFERROR(XLOOKUP(XLOOKUP('Job Control'!$B$3, INPUT_JobSettings!$A:$A, INPUT_JobSettings!$E:$E, ""), Constants!$A:$A, Constants!$D:$D, ""), ""), 0.25), ""))))</f>
        <v/>
      </c>
      <c r="N30">
        <f>IF($A30="","",IFERROR($L30*IFERROR(XLOOKUP(XLOOKUP('Job Control'!$B$3, INPUT_JobSettings!$A:$A, INPUT_JobSettings!$B:$B, ""), Constants!$A:$A, Constants!$C:$C, 0), 0) + $M30*IFERROR(XLOOKUP(XLOOKUP('Job Control'!$B$3, INPUT_JobSettings!$A:$A, INPUT_JobSettings!$E:$E, ""), Constants!$A:$A, Constants!$C:$C, 0), 0),0))</f>
        <v/>
      </c>
      <c r="O30" s="6">
        <f>IF($A30="","", SUM($H30:$K30))</f>
        <v/>
      </c>
      <c r="P30" s="6">
        <f>IF($A30="","", $O30/60)</f>
        <v/>
      </c>
      <c r="Q30" s="6">
        <f>IF($A30="","", $P30*IFERROR(IF(XLOOKUP('Job Control'!$B$3, INPUT_JobSettings!$A:$A, INPUT_JobSettings!$F:$F, "")&lt;&gt;"", XLOOKUP('Job Control'!$B$3, INPUT_JobSettings!$A:$A, INPUT_JobSettings!$F:$F, ""), $B$6), $B$6))</f>
        <v/>
      </c>
      <c r="R30" s="6">
        <f>IF($A30="","", ($Q30+$N30)*IFERROR(IF(XLOOKUP('Job Control'!$B$3, INPUT_JobSettings!$A:$A, INPUT_JobSettings!$G:$G, "")&lt;&gt;"", XLOOKUP('Job Control'!$B$3, INPUT_JobSettings!$A:$A, INPUT_JobSettings!$G:$G, ""), $B$7), $B$7))</f>
        <v/>
      </c>
      <c r="S30" s="6">
        <f>IF($A30="","", XLOOKUP($A30, INPUT_Rooms!$B:$B, INPUT_Rooms!$AH:$AH, ""))</f>
        <v/>
      </c>
    </row>
    <row r="31">
      <c r="A31" s="6">
        <f>IFERROR(INDEX(FILTER(INPUT_Rooms!$B$4:$B$83, INPUT_Rooms!$A$4:$A$83=$B$4, INPUT_Rooms!$K$4:$K$83="Y"), 21), "")</f>
        <v/>
      </c>
      <c r="B31" s="6">
        <f>IF(A31="","", XLOOKUP(A31, FILTER(INPUT_Rooms!$B$4:$B$83, INPUT_Rooms!$A$4:$A$83=$B$4), FILTER(INPUT_Rooms!$C$4:$C$83, INPUT_Rooms!$A$4:$A$83=$B$4), ""))</f>
        <v/>
      </c>
      <c r="C31" s="6">
        <f>IF(A31="","", "Y")</f>
        <v/>
      </c>
      <c r="D31" s="6">
        <f>IF(A31="","", XLOOKUP(A31, INPUT_Rooms!$B:$B, INPUT_Rooms!$AD:$AD, ""))</f>
        <v/>
      </c>
      <c r="E31" s="6">
        <f>IF(A31="","", XLOOKUP(A31, INPUT_Rooms!$B:$B, INPUT_Rooms!$L:$L, ""))</f>
        <v/>
      </c>
      <c r="F31" s="6">
        <f>IF(A31="","", XLOOKUP(A31, INPUT_Rooms!$B:$B, INPUT_Rooms!$M:$M, ""))</f>
        <v/>
      </c>
      <c r="G31" s="6">
        <f>IF(A31="","", IF(XLOOKUP(A31, INPUT_Rooms!$B:$B, INPUT_Rooms!$N:$N, "")="", $B$5, XLOOKUP(A31, INPUT_Rooms!$B:$B, INPUT_Rooms!$N:$N, "")))</f>
        <v/>
      </c>
      <c r="H31" s="6">
        <f>IF(A31="","", D31*XLOOKUP("PrepMinsPerSqft",Constants!$A$20:$A$40,Constants!$B$20:$B$40)*XLOOKUP(G31,Constants!$E$10:$E$30,Constants!$F$10:$F$30))</f>
        <v/>
      </c>
      <c r="I31" s="6">
        <f>IF(A31="","", D31*XLOOKUP("PaintMinsPerSqftPerCoat",Constants!$A$20:$A$40,Constants!$B$20:$B$40)*F31)</f>
        <v/>
      </c>
      <c r="J31" s="6">
        <f>IF(A31="","", IF(E31="Full", D31*XLOOKUP("PrimerFullMinsPerSqft",Constants!$A$20:$A$40,Constants!$B$20:$B$40), IF(E31="Spot", D31*XLOOKUP("PrimerFullMinsPerSqft",Constants!$A$20:$A$40,Constants!$B$20:$B$40)*XLOOKUP("PrimerSpotFactor",Constants!$A$20:$A$40,Constants!$B$20:$B$40), 0)))</f>
        <v/>
      </c>
      <c r="K31" s="6">
        <f>IF(A31="","", SUMPRODUCT((INPUT_Openings!$A:$A=$B$4)*(INPUT_Openings!$B:$B=A31)*(INPUT_Openings!$D:$D)*INPUT_Openings!$F:$F))</f>
        <v/>
      </c>
      <c r="L31">
        <f>IF($A31="","",IF($D31="", "",IFERROR(CEILING( ($D31*$F31) / IFERROR(XLOOKUP(XLOOKUP('Job Control'!$B$3, INPUT_JobSettings!$A:$A, INPUT_JobSettings!$B:$B, ""), Constants!$A:$A, Constants!$D:$D, ""), ""), 0.25), "")))</f>
        <v/>
      </c>
      <c r="M31">
        <f>IF($A31="","",IF($E31="None",0,IF($D31="", "",IFERROR(CEILING( ($D31*IF($E31="Full",1, XLOOKUP("PrimerSpotFactor",Constants!$A$10:$A$60,Constants!$B$10:$B$60))) / IFERROR(XLOOKUP(XLOOKUP('Job Control'!$B$3, INPUT_JobSettings!$A:$A, INPUT_JobSettings!$E:$E, ""), Constants!$A:$A, Constants!$D:$D, ""), ""), 0.25), ""))))</f>
        <v/>
      </c>
      <c r="N31">
        <f>IF($A31="","",IFERROR($L31*IFERROR(XLOOKUP(XLOOKUP('Job Control'!$B$3, INPUT_JobSettings!$A:$A, INPUT_JobSettings!$B:$B, ""), Constants!$A:$A, Constants!$C:$C, 0), 0) + $M31*IFERROR(XLOOKUP(XLOOKUP('Job Control'!$B$3, INPUT_JobSettings!$A:$A, INPUT_JobSettings!$E:$E, ""), Constants!$A:$A, Constants!$C:$C, 0), 0),0))</f>
        <v/>
      </c>
      <c r="O31" s="6">
        <f>IF($A31="","", SUM($H31:$K31))</f>
        <v/>
      </c>
      <c r="P31" s="6">
        <f>IF($A31="","", $O31/60)</f>
        <v/>
      </c>
      <c r="Q31" s="6">
        <f>IF($A31="","", $P31*IFERROR(IF(XLOOKUP('Job Control'!$B$3, INPUT_JobSettings!$A:$A, INPUT_JobSettings!$F:$F, "")&lt;&gt;"", XLOOKUP('Job Control'!$B$3, INPUT_JobSettings!$A:$A, INPUT_JobSettings!$F:$F, ""), $B$6), $B$6))</f>
        <v/>
      </c>
      <c r="R31" s="6">
        <f>IF($A31="","", ($Q31+$N31)*IFERROR(IF(XLOOKUP('Job Control'!$B$3, INPUT_JobSettings!$A:$A, INPUT_JobSettings!$G:$G, "")&lt;&gt;"", XLOOKUP('Job Control'!$B$3, INPUT_JobSettings!$A:$A, INPUT_JobSettings!$G:$G, ""), $B$7), $B$7))</f>
        <v/>
      </c>
      <c r="S31" s="6">
        <f>IF($A31="","", XLOOKUP($A31, INPUT_Rooms!$B:$B, INPUT_Rooms!$AH:$AH, ""))</f>
        <v/>
      </c>
    </row>
    <row r="32">
      <c r="A32" s="6">
        <f>IFERROR(INDEX(FILTER(INPUT_Rooms!$B$4:$B$83, INPUT_Rooms!$A$4:$A$83=$B$4, INPUT_Rooms!$K$4:$K$83="Y"), 22), "")</f>
        <v/>
      </c>
      <c r="B32" s="6">
        <f>IF(A32="","", XLOOKUP(A32, FILTER(INPUT_Rooms!$B$4:$B$83, INPUT_Rooms!$A$4:$A$83=$B$4), FILTER(INPUT_Rooms!$C$4:$C$83, INPUT_Rooms!$A$4:$A$83=$B$4), ""))</f>
        <v/>
      </c>
      <c r="C32" s="6">
        <f>IF(A32="","", "Y")</f>
        <v/>
      </c>
      <c r="D32" s="6">
        <f>IF(A32="","", XLOOKUP(A32, INPUT_Rooms!$B:$B, INPUT_Rooms!$AD:$AD, ""))</f>
        <v/>
      </c>
      <c r="E32" s="6">
        <f>IF(A32="","", XLOOKUP(A32, INPUT_Rooms!$B:$B, INPUT_Rooms!$L:$L, ""))</f>
        <v/>
      </c>
      <c r="F32" s="6">
        <f>IF(A32="","", XLOOKUP(A32, INPUT_Rooms!$B:$B, INPUT_Rooms!$M:$M, ""))</f>
        <v/>
      </c>
      <c r="G32" s="6">
        <f>IF(A32="","", IF(XLOOKUP(A32, INPUT_Rooms!$B:$B, INPUT_Rooms!$N:$N, "")="", $B$5, XLOOKUP(A32, INPUT_Rooms!$B:$B, INPUT_Rooms!$N:$N, "")))</f>
        <v/>
      </c>
      <c r="H32" s="6">
        <f>IF(A32="","", D32*XLOOKUP("PrepMinsPerSqft",Constants!$A$20:$A$40,Constants!$B$20:$B$40)*XLOOKUP(G32,Constants!$E$10:$E$30,Constants!$F$10:$F$30))</f>
        <v/>
      </c>
      <c r="I32" s="6">
        <f>IF(A32="","", D32*XLOOKUP("PaintMinsPerSqftPerCoat",Constants!$A$20:$A$40,Constants!$B$20:$B$40)*F32)</f>
        <v/>
      </c>
      <c r="J32" s="6">
        <f>IF(A32="","", IF(E32="Full", D32*XLOOKUP("PrimerFullMinsPerSqft",Constants!$A$20:$A$40,Constants!$B$20:$B$40), IF(E32="Spot", D32*XLOOKUP("PrimerFullMinsPerSqft",Constants!$A$20:$A$40,Constants!$B$20:$B$40)*XLOOKUP("PrimerSpotFactor",Constants!$A$20:$A$40,Constants!$B$20:$B$40), 0)))</f>
        <v/>
      </c>
      <c r="K32" s="6">
        <f>IF(A32="","", SUMPRODUCT((INPUT_Openings!$A:$A=$B$4)*(INPUT_Openings!$B:$B=A32)*(INPUT_Openings!$D:$D)*INPUT_Openings!$F:$F))</f>
        <v/>
      </c>
      <c r="L32">
        <f>IF($A32="","",IF($D32="", "",IFERROR(CEILING( ($D32*$F32) / IFERROR(XLOOKUP(XLOOKUP('Job Control'!$B$3, INPUT_JobSettings!$A:$A, INPUT_JobSettings!$B:$B, ""), Constants!$A:$A, Constants!$D:$D, ""), ""), 0.25), "")))</f>
        <v/>
      </c>
      <c r="M32">
        <f>IF($A32="","",IF($E32="None",0,IF($D32="", "",IFERROR(CEILING( ($D32*IF($E32="Full",1, XLOOKUP("PrimerSpotFactor",Constants!$A$10:$A$60,Constants!$B$10:$B$60))) / IFERROR(XLOOKUP(XLOOKUP('Job Control'!$B$3, INPUT_JobSettings!$A:$A, INPUT_JobSettings!$E:$E, ""), Constants!$A:$A, Constants!$D:$D, ""), ""), 0.25), ""))))</f>
        <v/>
      </c>
      <c r="N32">
        <f>IF($A32="","",IFERROR($L32*IFERROR(XLOOKUP(XLOOKUP('Job Control'!$B$3, INPUT_JobSettings!$A:$A, INPUT_JobSettings!$B:$B, ""), Constants!$A:$A, Constants!$C:$C, 0), 0) + $M32*IFERROR(XLOOKUP(XLOOKUP('Job Control'!$B$3, INPUT_JobSettings!$A:$A, INPUT_JobSettings!$E:$E, ""), Constants!$A:$A, Constants!$C:$C, 0), 0),0))</f>
        <v/>
      </c>
      <c r="O32" s="6">
        <f>IF($A32="","", SUM($H32:$K32))</f>
        <v/>
      </c>
      <c r="P32" s="6">
        <f>IF($A32="","", $O32/60)</f>
        <v/>
      </c>
      <c r="Q32" s="6">
        <f>IF($A32="","", $P32*IFERROR(IF(XLOOKUP('Job Control'!$B$3, INPUT_JobSettings!$A:$A, INPUT_JobSettings!$F:$F, "")&lt;&gt;"", XLOOKUP('Job Control'!$B$3, INPUT_JobSettings!$A:$A, INPUT_JobSettings!$F:$F, ""), $B$6), $B$6))</f>
        <v/>
      </c>
      <c r="R32" s="6">
        <f>IF($A32="","", ($Q32+$N32)*IFERROR(IF(XLOOKUP('Job Control'!$B$3, INPUT_JobSettings!$A:$A, INPUT_JobSettings!$G:$G, "")&lt;&gt;"", XLOOKUP('Job Control'!$B$3, INPUT_JobSettings!$A:$A, INPUT_JobSettings!$G:$G, ""), $B$7), $B$7))</f>
        <v/>
      </c>
      <c r="S32" s="6">
        <f>IF($A32="","", XLOOKUP($A32, INPUT_Rooms!$B:$B, INPUT_Rooms!$AH:$AH, ""))</f>
        <v/>
      </c>
    </row>
    <row r="33">
      <c r="A33" s="6">
        <f>IFERROR(INDEX(FILTER(INPUT_Rooms!$B$4:$B$83, INPUT_Rooms!$A$4:$A$83=$B$4, INPUT_Rooms!$K$4:$K$83="Y"), 23), "")</f>
        <v/>
      </c>
      <c r="B33" s="6">
        <f>IF(A33="","", XLOOKUP(A33, FILTER(INPUT_Rooms!$B$4:$B$83, INPUT_Rooms!$A$4:$A$83=$B$4), FILTER(INPUT_Rooms!$C$4:$C$83, INPUT_Rooms!$A$4:$A$83=$B$4), ""))</f>
        <v/>
      </c>
      <c r="C33" s="6">
        <f>IF(A33="","", "Y")</f>
        <v/>
      </c>
      <c r="D33" s="6">
        <f>IF(A33="","", XLOOKUP(A33, INPUT_Rooms!$B:$B, INPUT_Rooms!$AD:$AD, ""))</f>
        <v/>
      </c>
      <c r="E33" s="6">
        <f>IF(A33="","", XLOOKUP(A33, INPUT_Rooms!$B:$B, INPUT_Rooms!$L:$L, ""))</f>
        <v/>
      </c>
      <c r="F33" s="6">
        <f>IF(A33="","", XLOOKUP(A33, INPUT_Rooms!$B:$B, INPUT_Rooms!$M:$M, ""))</f>
        <v/>
      </c>
      <c r="G33" s="6">
        <f>IF(A33="","", IF(XLOOKUP(A33, INPUT_Rooms!$B:$B, INPUT_Rooms!$N:$N, "")="", $B$5, XLOOKUP(A33, INPUT_Rooms!$B:$B, INPUT_Rooms!$N:$N, "")))</f>
        <v/>
      </c>
      <c r="H33" s="6">
        <f>IF(A33="","", D33*XLOOKUP("PrepMinsPerSqft",Constants!$A$20:$A$40,Constants!$B$20:$B$40)*XLOOKUP(G33,Constants!$E$10:$E$30,Constants!$F$10:$F$30))</f>
        <v/>
      </c>
      <c r="I33" s="6">
        <f>IF(A33="","", D33*XLOOKUP("PaintMinsPerSqftPerCoat",Constants!$A$20:$A$40,Constants!$B$20:$B$40)*F33)</f>
        <v/>
      </c>
      <c r="J33" s="6">
        <f>IF(A33="","", IF(E33="Full", D33*XLOOKUP("PrimerFullMinsPerSqft",Constants!$A$20:$A$40,Constants!$B$20:$B$40), IF(E33="Spot", D33*XLOOKUP("PrimerFullMinsPerSqft",Constants!$A$20:$A$40,Constants!$B$20:$B$40)*XLOOKUP("PrimerSpotFactor",Constants!$A$20:$A$40,Constants!$B$20:$B$40), 0)))</f>
        <v/>
      </c>
      <c r="K33" s="6">
        <f>IF(A33="","", SUMPRODUCT((INPUT_Openings!$A:$A=$B$4)*(INPUT_Openings!$B:$B=A33)*(INPUT_Openings!$D:$D)*INPUT_Openings!$F:$F))</f>
        <v/>
      </c>
      <c r="L33">
        <f>IF($A33="","",IF($D33="", "",IFERROR(CEILING( ($D33*$F33) / IFERROR(XLOOKUP(XLOOKUP('Job Control'!$B$3, INPUT_JobSettings!$A:$A, INPUT_JobSettings!$B:$B, ""), Constants!$A:$A, Constants!$D:$D, ""), ""), 0.25), "")))</f>
        <v/>
      </c>
      <c r="M33">
        <f>IF($A33="","",IF($E33="None",0,IF($D33="", "",IFERROR(CEILING( ($D33*IF($E33="Full",1, XLOOKUP("PrimerSpotFactor",Constants!$A$10:$A$60,Constants!$B$10:$B$60))) / IFERROR(XLOOKUP(XLOOKUP('Job Control'!$B$3, INPUT_JobSettings!$A:$A, INPUT_JobSettings!$E:$E, ""), Constants!$A:$A, Constants!$D:$D, ""), ""), 0.25), ""))))</f>
        <v/>
      </c>
      <c r="N33">
        <f>IF($A33="","",IFERROR($L33*IFERROR(XLOOKUP(XLOOKUP('Job Control'!$B$3, INPUT_JobSettings!$A:$A, INPUT_JobSettings!$B:$B, ""), Constants!$A:$A, Constants!$C:$C, 0), 0) + $M33*IFERROR(XLOOKUP(XLOOKUP('Job Control'!$B$3, INPUT_JobSettings!$A:$A, INPUT_JobSettings!$E:$E, ""), Constants!$A:$A, Constants!$C:$C, 0), 0),0))</f>
        <v/>
      </c>
      <c r="O33" s="6">
        <f>IF($A33="","", SUM($H33:$K33))</f>
        <v/>
      </c>
      <c r="P33" s="6">
        <f>IF($A33="","", $O33/60)</f>
        <v/>
      </c>
      <c r="Q33" s="6">
        <f>IF($A33="","", $P33*IFERROR(IF(XLOOKUP('Job Control'!$B$3, INPUT_JobSettings!$A:$A, INPUT_JobSettings!$F:$F, "")&lt;&gt;"", XLOOKUP('Job Control'!$B$3, INPUT_JobSettings!$A:$A, INPUT_JobSettings!$F:$F, ""), $B$6), $B$6))</f>
        <v/>
      </c>
      <c r="R33" s="6">
        <f>IF($A33="","", ($Q33+$N33)*IFERROR(IF(XLOOKUP('Job Control'!$B$3, INPUT_JobSettings!$A:$A, INPUT_JobSettings!$G:$G, "")&lt;&gt;"", XLOOKUP('Job Control'!$B$3, INPUT_JobSettings!$A:$A, INPUT_JobSettings!$G:$G, ""), $B$7), $B$7))</f>
        <v/>
      </c>
      <c r="S33" s="6">
        <f>IF($A33="","", XLOOKUP($A33, INPUT_Rooms!$B:$B, INPUT_Rooms!$AH:$AH, ""))</f>
        <v/>
      </c>
    </row>
    <row r="34">
      <c r="A34" s="6">
        <f>IFERROR(INDEX(FILTER(INPUT_Rooms!$B$4:$B$83, INPUT_Rooms!$A$4:$A$83=$B$4, INPUT_Rooms!$K$4:$K$83="Y"), 24), "")</f>
        <v/>
      </c>
      <c r="B34" s="6">
        <f>IF(A34="","", XLOOKUP(A34, FILTER(INPUT_Rooms!$B$4:$B$83, INPUT_Rooms!$A$4:$A$83=$B$4), FILTER(INPUT_Rooms!$C$4:$C$83, INPUT_Rooms!$A$4:$A$83=$B$4), ""))</f>
        <v/>
      </c>
      <c r="C34" s="6">
        <f>IF(A34="","", "Y")</f>
        <v/>
      </c>
      <c r="D34" s="6">
        <f>IF(A34="","", XLOOKUP(A34, INPUT_Rooms!$B:$B, INPUT_Rooms!$AD:$AD, ""))</f>
        <v/>
      </c>
      <c r="E34" s="6">
        <f>IF(A34="","", XLOOKUP(A34, INPUT_Rooms!$B:$B, INPUT_Rooms!$L:$L, ""))</f>
        <v/>
      </c>
      <c r="F34" s="6">
        <f>IF(A34="","", XLOOKUP(A34, INPUT_Rooms!$B:$B, INPUT_Rooms!$M:$M, ""))</f>
        <v/>
      </c>
      <c r="G34" s="6">
        <f>IF(A34="","", IF(XLOOKUP(A34, INPUT_Rooms!$B:$B, INPUT_Rooms!$N:$N, "")="", $B$5, XLOOKUP(A34, INPUT_Rooms!$B:$B, INPUT_Rooms!$N:$N, "")))</f>
        <v/>
      </c>
      <c r="H34" s="6">
        <f>IF(A34="","", D34*XLOOKUP("PrepMinsPerSqft",Constants!$A$20:$A$40,Constants!$B$20:$B$40)*XLOOKUP(G34,Constants!$E$10:$E$30,Constants!$F$10:$F$30))</f>
        <v/>
      </c>
      <c r="I34" s="6">
        <f>IF(A34="","", D34*XLOOKUP("PaintMinsPerSqftPerCoat",Constants!$A$20:$A$40,Constants!$B$20:$B$40)*F34)</f>
        <v/>
      </c>
      <c r="J34" s="6">
        <f>IF(A34="","", IF(E34="Full", D34*XLOOKUP("PrimerFullMinsPerSqft",Constants!$A$20:$A$40,Constants!$B$20:$B$40), IF(E34="Spot", D34*XLOOKUP("PrimerFullMinsPerSqft",Constants!$A$20:$A$40,Constants!$B$20:$B$40)*XLOOKUP("PrimerSpotFactor",Constants!$A$20:$A$40,Constants!$B$20:$B$40), 0)))</f>
        <v/>
      </c>
      <c r="K34" s="6">
        <f>IF(A34="","", SUMPRODUCT((INPUT_Openings!$A:$A=$B$4)*(INPUT_Openings!$B:$B=A34)*(INPUT_Openings!$D:$D)*INPUT_Openings!$F:$F))</f>
        <v/>
      </c>
      <c r="L34">
        <f>IF($A34="","",IF($D34="", "",IFERROR(CEILING( ($D34*$F34) / IFERROR(XLOOKUP(XLOOKUP('Job Control'!$B$3, INPUT_JobSettings!$A:$A, INPUT_JobSettings!$B:$B, ""), Constants!$A:$A, Constants!$D:$D, ""), ""), 0.25), "")))</f>
        <v/>
      </c>
      <c r="M34">
        <f>IF($A34="","",IF($E34="None",0,IF($D34="", "",IFERROR(CEILING( ($D34*IF($E34="Full",1, XLOOKUP("PrimerSpotFactor",Constants!$A$10:$A$60,Constants!$B$10:$B$60))) / IFERROR(XLOOKUP(XLOOKUP('Job Control'!$B$3, INPUT_JobSettings!$A:$A, INPUT_JobSettings!$E:$E, ""), Constants!$A:$A, Constants!$D:$D, ""), ""), 0.25), ""))))</f>
        <v/>
      </c>
      <c r="N34">
        <f>IF($A34="","",IFERROR($L34*IFERROR(XLOOKUP(XLOOKUP('Job Control'!$B$3, INPUT_JobSettings!$A:$A, INPUT_JobSettings!$B:$B, ""), Constants!$A:$A, Constants!$C:$C, 0), 0) + $M34*IFERROR(XLOOKUP(XLOOKUP('Job Control'!$B$3, INPUT_JobSettings!$A:$A, INPUT_JobSettings!$E:$E, ""), Constants!$A:$A, Constants!$C:$C, 0), 0),0))</f>
        <v/>
      </c>
      <c r="O34" s="6">
        <f>IF($A34="","", SUM($H34:$K34))</f>
        <v/>
      </c>
      <c r="P34" s="6">
        <f>IF($A34="","", $O34/60)</f>
        <v/>
      </c>
      <c r="Q34" s="6">
        <f>IF($A34="","", $P34*IFERROR(IF(XLOOKUP('Job Control'!$B$3, INPUT_JobSettings!$A:$A, INPUT_JobSettings!$F:$F, "")&lt;&gt;"", XLOOKUP('Job Control'!$B$3, INPUT_JobSettings!$A:$A, INPUT_JobSettings!$F:$F, ""), $B$6), $B$6))</f>
        <v/>
      </c>
      <c r="R34" s="6">
        <f>IF($A34="","", ($Q34+$N34)*IFERROR(IF(XLOOKUP('Job Control'!$B$3, INPUT_JobSettings!$A:$A, INPUT_JobSettings!$G:$G, "")&lt;&gt;"", XLOOKUP('Job Control'!$B$3, INPUT_JobSettings!$A:$A, INPUT_JobSettings!$G:$G, ""), $B$7), $B$7))</f>
        <v/>
      </c>
      <c r="S34" s="6">
        <f>IF($A34="","", XLOOKUP($A34, INPUT_Rooms!$B:$B, INPUT_Rooms!$AH:$AH, ""))</f>
        <v/>
      </c>
    </row>
    <row r="35">
      <c r="A35" s="6">
        <f>IFERROR(INDEX(FILTER(INPUT_Rooms!$B$4:$B$83, INPUT_Rooms!$A$4:$A$83=$B$4, INPUT_Rooms!$K$4:$K$83="Y"), 25), "")</f>
        <v/>
      </c>
      <c r="B35" s="6">
        <f>IF(A35="","", XLOOKUP(A35, FILTER(INPUT_Rooms!$B$4:$B$83, INPUT_Rooms!$A$4:$A$83=$B$4), FILTER(INPUT_Rooms!$C$4:$C$83, INPUT_Rooms!$A$4:$A$83=$B$4), ""))</f>
        <v/>
      </c>
      <c r="C35" s="6">
        <f>IF(A35="","", "Y")</f>
        <v/>
      </c>
      <c r="D35" s="6">
        <f>IF(A35="","", XLOOKUP(A35, INPUT_Rooms!$B:$B, INPUT_Rooms!$AD:$AD, ""))</f>
        <v/>
      </c>
      <c r="E35" s="6">
        <f>IF(A35="","", XLOOKUP(A35, INPUT_Rooms!$B:$B, INPUT_Rooms!$L:$L, ""))</f>
        <v/>
      </c>
      <c r="F35" s="6">
        <f>IF(A35="","", XLOOKUP(A35, INPUT_Rooms!$B:$B, INPUT_Rooms!$M:$M, ""))</f>
        <v/>
      </c>
      <c r="G35" s="6">
        <f>IF(A35="","", IF(XLOOKUP(A35, INPUT_Rooms!$B:$B, INPUT_Rooms!$N:$N, "")="", $B$5, XLOOKUP(A35, INPUT_Rooms!$B:$B, INPUT_Rooms!$N:$N, "")))</f>
        <v/>
      </c>
      <c r="H35" s="6">
        <f>IF(A35="","", D35*XLOOKUP("PrepMinsPerSqft",Constants!$A$20:$A$40,Constants!$B$20:$B$40)*XLOOKUP(G35,Constants!$E$10:$E$30,Constants!$F$10:$F$30))</f>
        <v/>
      </c>
      <c r="I35" s="6">
        <f>IF(A35="","", D35*XLOOKUP("PaintMinsPerSqftPerCoat",Constants!$A$20:$A$40,Constants!$B$20:$B$40)*F35)</f>
        <v/>
      </c>
      <c r="J35" s="6">
        <f>IF(A35="","", IF(E35="Full", D35*XLOOKUP("PrimerFullMinsPerSqft",Constants!$A$20:$A$40,Constants!$B$20:$B$40), IF(E35="Spot", D35*XLOOKUP("PrimerFullMinsPerSqft",Constants!$A$20:$A$40,Constants!$B$20:$B$40)*XLOOKUP("PrimerSpotFactor",Constants!$A$20:$A$40,Constants!$B$20:$B$40), 0)))</f>
        <v/>
      </c>
      <c r="K35" s="6">
        <f>IF(A35="","", SUMPRODUCT((INPUT_Openings!$A:$A=$B$4)*(INPUT_Openings!$B:$B=A35)*(INPUT_Openings!$D:$D)*INPUT_Openings!$F:$F))</f>
        <v/>
      </c>
      <c r="L35">
        <f>IF($A35="","",IF($D35="", "",IFERROR(CEILING( ($D35*$F35) / IFERROR(XLOOKUP(XLOOKUP('Job Control'!$B$3, INPUT_JobSettings!$A:$A, INPUT_JobSettings!$B:$B, ""), Constants!$A:$A, Constants!$D:$D, ""), ""), 0.25), "")))</f>
        <v/>
      </c>
      <c r="M35">
        <f>IF($A35="","",IF($E35="None",0,IF($D35="", "",IFERROR(CEILING( ($D35*IF($E35="Full",1, XLOOKUP("PrimerSpotFactor",Constants!$A$10:$A$60,Constants!$B$10:$B$60))) / IFERROR(XLOOKUP(XLOOKUP('Job Control'!$B$3, INPUT_JobSettings!$A:$A, INPUT_JobSettings!$E:$E, ""), Constants!$A:$A, Constants!$D:$D, ""), ""), 0.25), ""))))</f>
        <v/>
      </c>
      <c r="N35">
        <f>IF($A35="","",IFERROR($L35*IFERROR(XLOOKUP(XLOOKUP('Job Control'!$B$3, INPUT_JobSettings!$A:$A, INPUT_JobSettings!$B:$B, ""), Constants!$A:$A, Constants!$C:$C, 0), 0) + $M35*IFERROR(XLOOKUP(XLOOKUP('Job Control'!$B$3, INPUT_JobSettings!$A:$A, INPUT_JobSettings!$E:$E, ""), Constants!$A:$A, Constants!$C:$C, 0), 0),0))</f>
        <v/>
      </c>
      <c r="O35" s="6">
        <f>IF($A35="","", SUM($H35:$K35))</f>
        <v/>
      </c>
      <c r="P35" s="6">
        <f>IF($A35="","", $O35/60)</f>
        <v/>
      </c>
      <c r="Q35" s="6">
        <f>IF($A35="","", $P35*IFERROR(IF(XLOOKUP('Job Control'!$B$3, INPUT_JobSettings!$A:$A, INPUT_JobSettings!$F:$F, "")&lt;&gt;"", XLOOKUP('Job Control'!$B$3, INPUT_JobSettings!$A:$A, INPUT_JobSettings!$F:$F, ""), $B$6), $B$6))</f>
        <v/>
      </c>
      <c r="R35" s="6">
        <f>IF($A35="","", ($Q35+$N35)*IFERROR(IF(XLOOKUP('Job Control'!$B$3, INPUT_JobSettings!$A:$A, INPUT_JobSettings!$G:$G, "")&lt;&gt;"", XLOOKUP('Job Control'!$B$3, INPUT_JobSettings!$A:$A, INPUT_JobSettings!$G:$G, ""), $B$7), $B$7))</f>
        <v/>
      </c>
      <c r="S35" s="6">
        <f>IF($A35="","", XLOOKUP($A35, INPUT_Rooms!$B:$B, INPUT_Rooms!$AH:$AH, ""))</f>
        <v/>
      </c>
    </row>
    <row r="36">
      <c r="A36" s="6">
        <f>IFERROR(INDEX(FILTER(INPUT_Rooms!$B$4:$B$83, INPUT_Rooms!$A$4:$A$83=$B$4, INPUT_Rooms!$K$4:$K$83="Y"), 26), "")</f>
        <v/>
      </c>
      <c r="B36" s="6">
        <f>IF(A36="","", XLOOKUP(A36, FILTER(INPUT_Rooms!$B$4:$B$83, INPUT_Rooms!$A$4:$A$83=$B$4), FILTER(INPUT_Rooms!$C$4:$C$83, INPUT_Rooms!$A$4:$A$83=$B$4), ""))</f>
        <v/>
      </c>
      <c r="C36" s="6">
        <f>IF(A36="","", "Y")</f>
        <v/>
      </c>
      <c r="D36" s="6">
        <f>IF(A36="","", XLOOKUP(A36, INPUT_Rooms!$B:$B, INPUT_Rooms!$AD:$AD, ""))</f>
        <v/>
      </c>
      <c r="E36" s="6">
        <f>IF(A36="","", XLOOKUP(A36, INPUT_Rooms!$B:$B, INPUT_Rooms!$L:$L, ""))</f>
        <v/>
      </c>
      <c r="F36" s="6">
        <f>IF(A36="","", XLOOKUP(A36, INPUT_Rooms!$B:$B, INPUT_Rooms!$M:$M, ""))</f>
        <v/>
      </c>
      <c r="G36" s="6">
        <f>IF(A36="","", IF(XLOOKUP(A36, INPUT_Rooms!$B:$B, INPUT_Rooms!$N:$N, "")="", $B$5, XLOOKUP(A36, INPUT_Rooms!$B:$B, INPUT_Rooms!$N:$N, "")))</f>
        <v/>
      </c>
      <c r="H36" s="6">
        <f>IF(A36="","", D36*XLOOKUP("PrepMinsPerSqft",Constants!$A$20:$A$40,Constants!$B$20:$B$40)*XLOOKUP(G36,Constants!$E$10:$E$30,Constants!$F$10:$F$30))</f>
        <v/>
      </c>
      <c r="I36" s="6">
        <f>IF(A36="","", D36*XLOOKUP("PaintMinsPerSqftPerCoat",Constants!$A$20:$A$40,Constants!$B$20:$B$40)*F36)</f>
        <v/>
      </c>
      <c r="J36" s="6">
        <f>IF(A36="","", IF(E36="Full", D36*XLOOKUP("PrimerFullMinsPerSqft",Constants!$A$20:$A$40,Constants!$B$20:$B$40), IF(E36="Spot", D36*XLOOKUP("PrimerFullMinsPerSqft",Constants!$A$20:$A$40,Constants!$B$20:$B$40)*XLOOKUP("PrimerSpotFactor",Constants!$A$20:$A$40,Constants!$B$20:$B$40), 0)))</f>
        <v/>
      </c>
      <c r="K36" s="6">
        <f>IF(A36="","", SUMPRODUCT((INPUT_Openings!$A:$A=$B$4)*(INPUT_Openings!$B:$B=A36)*(INPUT_Openings!$D:$D)*INPUT_Openings!$F:$F))</f>
        <v/>
      </c>
      <c r="L36">
        <f>IF($A36="","",IF($D36="", "",IFERROR(CEILING( ($D36*$F36) / IFERROR(XLOOKUP(XLOOKUP('Job Control'!$B$3, INPUT_JobSettings!$A:$A, INPUT_JobSettings!$B:$B, ""), Constants!$A:$A, Constants!$D:$D, ""), ""), 0.25), "")))</f>
        <v/>
      </c>
      <c r="M36">
        <f>IF($A36="","",IF($E36="None",0,IF($D36="", "",IFERROR(CEILING( ($D36*IF($E36="Full",1, XLOOKUP("PrimerSpotFactor",Constants!$A$10:$A$60,Constants!$B$10:$B$60))) / IFERROR(XLOOKUP(XLOOKUP('Job Control'!$B$3, INPUT_JobSettings!$A:$A, INPUT_JobSettings!$E:$E, ""), Constants!$A:$A, Constants!$D:$D, ""), ""), 0.25), ""))))</f>
        <v/>
      </c>
      <c r="N36">
        <f>IF($A36="","",IFERROR($L36*IFERROR(XLOOKUP(XLOOKUP('Job Control'!$B$3, INPUT_JobSettings!$A:$A, INPUT_JobSettings!$B:$B, ""), Constants!$A:$A, Constants!$C:$C, 0), 0) + $M36*IFERROR(XLOOKUP(XLOOKUP('Job Control'!$B$3, INPUT_JobSettings!$A:$A, INPUT_JobSettings!$E:$E, ""), Constants!$A:$A, Constants!$C:$C, 0), 0),0))</f>
        <v/>
      </c>
      <c r="O36" s="6">
        <f>IF($A36="","", SUM($H36:$K36))</f>
        <v/>
      </c>
      <c r="P36" s="6">
        <f>IF($A36="","", $O36/60)</f>
        <v/>
      </c>
      <c r="Q36" s="6">
        <f>IF($A36="","", $P36*IFERROR(IF(XLOOKUP('Job Control'!$B$3, INPUT_JobSettings!$A:$A, INPUT_JobSettings!$F:$F, "")&lt;&gt;"", XLOOKUP('Job Control'!$B$3, INPUT_JobSettings!$A:$A, INPUT_JobSettings!$F:$F, ""), $B$6), $B$6))</f>
        <v/>
      </c>
      <c r="R36" s="6">
        <f>IF($A36="","", ($Q36+$N36)*IFERROR(IF(XLOOKUP('Job Control'!$B$3, INPUT_JobSettings!$A:$A, INPUT_JobSettings!$G:$G, "")&lt;&gt;"", XLOOKUP('Job Control'!$B$3, INPUT_JobSettings!$A:$A, INPUT_JobSettings!$G:$G, ""), $B$7), $B$7))</f>
        <v/>
      </c>
      <c r="S36" s="6">
        <f>IF($A36="","", XLOOKUP($A36, INPUT_Rooms!$B:$B, INPUT_Rooms!$AH:$AH, ""))</f>
        <v/>
      </c>
    </row>
    <row r="37">
      <c r="A37" s="6">
        <f>IFERROR(INDEX(FILTER(INPUT_Rooms!$B$4:$B$83, INPUT_Rooms!$A$4:$A$83=$B$4, INPUT_Rooms!$K$4:$K$83="Y"), 27), "")</f>
        <v/>
      </c>
      <c r="B37" s="6">
        <f>IF(A37="","", XLOOKUP(A37, FILTER(INPUT_Rooms!$B$4:$B$83, INPUT_Rooms!$A$4:$A$83=$B$4), FILTER(INPUT_Rooms!$C$4:$C$83, INPUT_Rooms!$A$4:$A$83=$B$4), ""))</f>
        <v/>
      </c>
      <c r="C37" s="6">
        <f>IF(A37="","", "Y")</f>
        <v/>
      </c>
      <c r="D37" s="6">
        <f>IF(A37="","", XLOOKUP(A37, INPUT_Rooms!$B:$B, INPUT_Rooms!$AD:$AD, ""))</f>
        <v/>
      </c>
      <c r="E37" s="6">
        <f>IF(A37="","", XLOOKUP(A37, INPUT_Rooms!$B:$B, INPUT_Rooms!$L:$L, ""))</f>
        <v/>
      </c>
      <c r="F37" s="6">
        <f>IF(A37="","", XLOOKUP(A37, INPUT_Rooms!$B:$B, INPUT_Rooms!$M:$M, ""))</f>
        <v/>
      </c>
      <c r="G37" s="6">
        <f>IF(A37="","", IF(XLOOKUP(A37, INPUT_Rooms!$B:$B, INPUT_Rooms!$N:$N, "")="", $B$5, XLOOKUP(A37, INPUT_Rooms!$B:$B, INPUT_Rooms!$N:$N, "")))</f>
        <v/>
      </c>
      <c r="H37" s="6">
        <f>IF(A37="","", D37*XLOOKUP("PrepMinsPerSqft",Constants!$A$20:$A$40,Constants!$B$20:$B$40)*XLOOKUP(G37,Constants!$E$10:$E$30,Constants!$F$10:$F$30))</f>
        <v/>
      </c>
      <c r="I37" s="6">
        <f>IF(A37="","", D37*XLOOKUP("PaintMinsPerSqftPerCoat",Constants!$A$20:$A$40,Constants!$B$20:$B$40)*F37)</f>
        <v/>
      </c>
      <c r="J37" s="6">
        <f>IF(A37="","", IF(E37="Full", D37*XLOOKUP("PrimerFullMinsPerSqft",Constants!$A$20:$A$40,Constants!$B$20:$B$40), IF(E37="Spot", D37*XLOOKUP("PrimerFullMinsPerSqft",Constants!$A$20:$A$40,Constants!$B$20:$B$40)*XLOOKUP("PrimerSpotFactor",Constants!$A$20:$A$40,Constants!$B$20:$B$40), 0)))</f>
        <v/>
      </c>
      <c r="K37" s="6">
        <f>IF(A37="","", SUMPRODUCT((INPUT_Openings!$A:$A=$B$4)*(INPUT_Openings!$B:$B=A37)*(INPUT_Openings!$D:$D)*INPUT_Openings!$F:$F))</f>
        <v/>
      </c>
      <c r="L37">
        <f>IF($A37="","",IF($D37="", "",IFERROR(CEILING( ($D37*$F37) / IFERROR(XLOOKUP(XLOOKUP('Job Control'!$B$3, INPUT_JobSettings!$A:$A, INPUT_JobSettings!$B:$B, ""), Constants!$A:$A, Constants!$D:$D, ""), ""), 0.25), "")))</f>
        <v/>
      </c>
      <c r="M37">
        <f>IF($A37="","",IF($E37="None",0,IF($D37="", "",IFERROR(CEILING( ($D37*IF($E37="Full",1, XLOOKUP("PrimerSpotFactor",Constants!$A$10:$A$60,Constants!$B$10:$B$60))) / IFERROR(XLOOKUP(XLOOKUP('Job Control'!$B$3, INPUT_JobSettings!$A:$A, INPUT_JobSettings!$E:$E, ""), Constants!$A:$A, Constants!$D:$D, ""), ""), 0.25), ""))))</f>
        <v/>
      </c>
      <c r="N37">
        <f>IF($A37="","",IFERROR($L37*IFERROR(XLOOKUP(XLOOKUP('Job Control'!$B$3, INPUT_JobSettings!$A:$A, INPUT_JobSettings!$B:$B, ""), Constants!$A:$A, Constants!$C:$C, 0), 0) + $M37*IFERROR(XLOOKUP(XLOOKUP('Job Control'!$B$3, INPUT_JobSettings!$A:$A, INPUT_JobSettings!$E:$E, ""), Constants!$A:$A, Constants!$C:$C, 0), 0),0))</f>
        <v/>
      </c>
      <c r="O37" s="6">
        <f>IF($A37="","", SUM($H37:$K37))</f>
        <v/>
      </c>
      <c r="P37" s="6">
        <f>IF($A37="","", $O37/60)</f>
        <v/>
      </c>
      <c r="Q37" s="6">
        <f>IF($A37="","", $P37*IFERROR(IF(XLOOKUP('Job Control'!$B$3, INPUT_JobSettings!$A:$A, INPUT_JobSettings!$F:$F, "")&lt;&gt;"", XLOOKUP('Job Control'!$B$3, INPUT_JobSettings!$A:$A, INPUT_JobSettings!$F:$F, ""), $B$6), $B$6))</f>
        <v/>
      </c>
      <c r="R37" s="6">
        <f>IF($A37="","", ($Q37+$N37)*IFERROR(IF(XLOOKUP('Job Control'!$B$3, INPUT_JobSettings!$A:$A, INPUT_JobSettings!$G:$G, "")&lt;&gt;"", XLOOKUP('Job Control'!$B$3, INPUT_JobSettings!$A:$A, INPUT_JobSettings!$G:$G, ""), $B$7), $B$7))</f>
        <v/>
      </c>
      <c r="S37" s="6">
        <f>IF($A37="","", XLOOKUP($A37, INPUT_Rooms!$B:$B, INPUT_Rooms!$AH:$AH, ""))</f>
        <v/>
      </c>
    </row>
    <row r="38">
      <c r="A38" s="6">
        <f>IFERROR(INDEX(FILTER(INPUT_Rooms!$B$4:$B$83, INPUT_Rooms!$A$4:$A$83=$B$4, INPUT_Rooms!$K$4:$K$83="Y"), 28), "")</f>
        <v/>
      </c>
      <c r="B38" s="6">
        <f>IF(A38="","", XLOOKUP(A38, FILTER(INPUT_Rooms!$B$4:$B$83, INPUT_Rooms!$A$4:$A$83=$B$4), FILTER(INPUT_Rooms!$C$4:$C$83, INPUT_Rooms!$A$4:$A$83=$B$4), ""))</f>
        <v/>
      </c>
      <c r="C38" s="6">
        <f>IF(A38="","", "Y")</f>
        <v/>
      </c>
      <c r="D38" s="6">
        <f>IF(A38="","", XLOOKUP(A38, INPUT_Rooms!$B:$B, INPUT_Rooms!$AD:$AD, ""))</f>
        <v/>
      </c>
      <c r="E38" s="6">
        <f>IF(A38="","", XLOOKUP(A38, INPUT_Rooms!$B:$B, INPUT_Rooms!$L:$L, ""))</f>
        <v/>
      </c>
      <c r="F38" s="6">
        <f>IF(A38="","", XLOOKUP(A38, INPUT_Rooms!$B:$B, INPUT_Rooms!$M:$M, ""))</f>
        <v/>
      </c>
      <c r="G38" s="6">
        <f>IF(A38="","", IF(XLOOKUP(A38, INPUT_Rooms!$B:$B, INPUT_Rooms!$N:$N, "")="", $B$5, XLOOKUP(A38, INPUT_Rooms!$B:$B, INPUT_Rooms!$N:$N, "")))</f>
        <v/>
      </c>
      <c r="H38" s="6">
        <f>IF(A38="","", D38*XLOOKUP("PrepMinsPerSqft",Constants!$A$20:$A$40,Constants!$B$20:$B$40)*XLOOKUP(G38,Constants!$E$10:$E$30,Constants!$F$10:$F$30))</f>
        <v/>
      </c>
      <c r="I38" s="6">
        <f>IF(A38="","", D38*XLOOKUP("PaintMinsPerSqftPerCoat",Constants!$A$20:$A$40,Constants!$B$20:$B$40)*F38)</f>
        <v/>
      </c>
      <c r="J38" s="6">
        <f>IF(A38="","", IF(E38="Full", D38*XLOOKUP("PrimerFullMinsPerSqft",Constants!$A$20:$A$40,Constants!$B$20:$B$40), IF(E38="Spot", D38*XLOOKUP("PrimerFullMinsPerSqft",Constants!$A$20:$A$40,Constants!$B$20:$B$40)*XLOOKUP("PrimerSpotFactor",Constants!$A$20:$A$40,Constants!$B$20:$B$40), 0)))</f>
        <v/>
      </c>
      <c r="K38" s="6">
        <f>IF(A38="","", SUMPRODUCT((INPUT_Openings!$A:$A=$B$4)*(INPUT_Openings!$B:$B=A38)*(INPUT_Openings!$D:$D)*INPUT_Openings!$F:$F))</f>
        <v/>
      </c>
      <c r="L38">
        <f>IF($A38="","",IF($D38="", "",IFERROR(CEILING( ($D38*$F38) / IFERROR(XLOOKUP(XLOOKUP('Job Control'!$B$3, INPUT_JobSettings!$A:$A, INPUT_JobSettings!$B:$B, ""), Constants!$A:$A, Constants!$D:$D, ""), ""), 0.25), "")))</f>
        <v/>
      </c>
      <c r="M38">
        <f>IF($A38="","",IF($E38="None",0,IF($D38="", "",IFERROR(CEILING( ($D38*IF($E38="Full",1, XLOOKUP("PrimerSpotFactor",Constants!$A$10:$A$60,Constants!$B$10:$B$60))) / IFERROR(XLOOKUP(XLOOKUP('Job Control'!$B$3, INPUT_JobSettings!$A:$A, INPUT_JobSettings!$E:$E, ""), Constants!$A:$A, Constants!$D:$D, ""), ""), 0.25), ""))))</f>
        <v/>
      </c>
      <c r="N38">
        <f>IF($A38="","",IFERROR($L38*IFERROR(XLOOKUP(XLOOKUP('Job Control'!$B$3, INPUT_JobSettings!$A:$A, INPUT_JobSettings!$B:$B, ""), Constants!$A:$A, Constants!$C:$C, 0), 0) + $M38*IFERROR(XLOOKUP(XLOOKUP('Job Control'!$B$3, INPUT_JobSettings!$A:$A, INPUT_JobSettings!$E:$E, ""), Constants!$A:$A, Constants!$C:$C, 0), 0),0))</f>
        <v/>
      </c>
      <c r="O38" s="6">
        <f>IF($A38="","", SUM($H38:$K38))</f>
        <v/>
      </c>
      <c r="P38" s="6">
        <f>IF($A38="","", $O38/60)</f>
        <v/>
      </c>
      <c r="Q38" s="6">
        <f>IF($A38="","", $P38*IFERROR(IF(XLOOKUP('Job Control'!$B$3, INPUT_JobSettings!$A:$A, INPUT_JobSettings!$F:$F, "")&lt;&gt;"", XLOOKUP('Job Control'!$B$3, INPUT_JobSettings!$A:$A, INPUT_JobSettings!$F:$F, ""), $B$6), $B$6))</f>
        <v/>
      </c>
      <c r="R38" s="6">
        <f>IF($A38="","", ($Q38+$N38)*IFERROR(IF(XLOOKUP('Job Control'!$B$3, INPUT_JobSettings!$A:$A, INPUT_JobSettings!$G:$G, "")&lt;&gt;"", XLOOKUP('Job Control'!$B$3, INPUT_JobSettings!$A:$A, INPUT_JobSettings!$G:$G, ""), $B$7), $B$7))</f>
        <v/>
      </c>
      <c r="S38" s="6">
        <f>IF($A38="","", XLOOKUP($A38, INPUT_Rooms!$B:$B, INPUT_Rooms!$AH:$AH, ""))</f>
        <v/>
      </c>
    </row>
    <row r="39">
      <c r="A39" s="6">
        <f>IFERROR(INDEX(FILTER(INPUT_Rooms!$B$4:$B$83, INPUT_Rooms!$A$4:$A$83=$B$4, INPUT_Rooms!$K$4:$K$83="Y"), 29), "")</f>
        <v/>
      </c>
      <c r="B39" s="6">
        <f>IF(A39="","", XLOOKUP(A39, FILTER(INPUT_Rooms!$B$4:$B$83, INPUT_Rooms!$A$4:$A$83=$B$4), FILTER(INPUT_Rooms!$C$4:$C$83, INPUT_Rooms!$A$4:$A$83=$B$4), ""))</f>
        <v/>
      </c>
      <c r="C39" s="6">
        <f>IF(A39="","", "Y")</f>
        <v/>
      </c>
      <c r="D39" s="6">
        <f>IF(A39="","", XLOOKUP(A39, INPUT_Rooms!$B:$B, INPUT_Rooms!$AD:$AD, ""))</f>
        <v/>
      </c>
      <c r="E39" s="6">
        <f>IF(A39="","", XLOOKUP(A39, INPUT_Rooms!$B:$B, INPUT_Rooms!$L:$L, ""))</f>
        <v/>
      </c>
      <c r="F39" s="6">
        <f>IF(A39="","", XLOOKUP(A39, INPUT_Rooms!$B:$B, INPUT_Rooms!$M:$M, ""))</f>
        <v/>
      </c>
      <c r="G39" s="6">
        <f>IF(A39="","", IF(XLOOKUP(A39, INPUT_Rooms!$B:$B, INPUT_Rooms!$N:$N, "")="", $B$5, XLOOKUP(A39, INPUT_Rooms!$B:$B, INPUT_Rooms!$N:$N, "")))</f>
        <v/>
      </c>
      <c r="H39" s="6">
        <f>IF(A39="","", D39*XLOOKUP("PrepMinsPerSqft",Constants!$A$20:$A$40,Constants!$B$20:$B$40)*XLOOKUP(G39,Constants!$E$10:$E$30,Constants!$F$10:$F$30))</f>
        <v/>
      </c>
      <c r="I39" s="6">
        <f>IF(A39="","", D39*XLOOKUP("PaintMinsPerSqftPerCoat",Constants!$A$20:$A$40,Constants!$B$20:$B$40)*F39)</f>
        <v/>
      </c>
      <c r="J39" s="6">
        <f>IF(A39="","", IF(E39="Full", D39*XLOOKUP("PrimerFullMinsPerSqft",Constants!$A$20:$A$40,Constants!$B$20:$B$40), IF(E39="Spot", D39*XLOOKUP("PrimerFullMinsPerSqft",Constants!$A$20:$A$40,Constants!$B$20:$B$40)*XLOOKUP("PrimerSpotFactor",Constants!$A$20:$A$40,Constants!$B$20:$B$40), 0)))</f>
        <v/>
      </c>
      <c r="K39" s="6">
        <f>IF(A39="","", SUMPRODUCT((INPUT_Openings!$A:$A=$B$4)*(INPUT_Openings!$B:$B=A39)*(INPUT_Openings!$D:$D)*INPUT_Openings!$F:$F))</f>
        <v/>
      </c>
      <c r="L39">
        <f>IF($A39="","",IF($D39="", "",IFERROR(CEILING( ($D39*$F39) / IFERROR(XLOOKUP(XLOOKUP('Job Control'!$B$3, INPUT_JobSettings!$A:$A, INPUT_JobSettings!$B:$B, ""), Constants!$A:$A, Constants!$D:$D, ""), ""), 0.25), "")))</f>
        <v/>
      </c>
      <c r="M39">
        <f>IF($A39="","",IF($E39="None",0,IF($D39="", "",IFERROR(CEILING( ($D39*IF($E39="Full",1, XLOOKUP("PrimerSpotFactor",Constants!$A$10:$A$60,Constants!$B$10:$B$60))) / IFERROR(XLOOKUP(XLOOKUP('Job Control'!$B$3, INPUT_JobSettings!$A:$A, INPUT_JobSettings!$E:$E, ""), Constants!$A:$A, Constants!$D:$D, ""), ""), 0.25), ""))))</f>
        <v/>
      </c>
      <c r="N39">
        <f>IF($A39="","",IFERROR($L39*IFERROR(XLOOKUP(XLOOKUP('Job Control'!$B$3, INPUT_JobSettings!$A:$A, INPUT_JobSettings!$B:$B, ""), Constants!$A:$A, Constants!$C:$C, 0), 0) + $M39*IFERROR(XLOOKUP(XLOOKUP('Job Control'!$B$3, INPUT_JobSettings!$A:$A, INPUT_JobSettings!$E:$E, ""), Constants!$A:$A, Constants!$C:$C, 0), 0),0))</f>
        <v/>
      </c>
      <c r="O39" s="6">
        <f>IF($A39="","", SUM($H39:$K39))</f>
        <v/>
      </c>
      <c r="P39" s="6">
        <f>IF($A39="","", $O39/60)</f>
        <v/>
      </c>
      <c r="Q39" s="6">
        <f>IF($A39="","", $P39*IFERROR(IF(XLOOKUP('Job Control'!$B$3, INPUT_JobSettings!$A:$A, INPUT_JobSettings!$F:$F, "")&lt;&gt;"", XLOOKUP('Job Control'!$B$3, INPUT_JobSettings!$A:$A, INPUT_JobSettings!$F:$F, ""), $B$6), $B$6))</f>
        <v/>
      </c>
      <c r="R39" s="6">
        <f>IF($A39="","", ($Q39+$N39)*IFERROR(IF(XLOOKUP('Job Control'!$B$3, INPUT_JobSettings!$A:$A, INPUT_JobSettings!$G:$G, "")&lt;&gt;"", XLOOKUP('Job Control'!$B$3, INPUT_JobSettings!$A:$A, INPUT_JobSettings!$G:$G, ""), $B$7), $B$7))</f>
        <v/>
      </c>
      <c r="S39" s="6">
        <f>IF($A39="","", XLOOKUP($A39, INPUT_Rooms!$B:$B, INPUT_Rooms!$AH:$AH, ""))</f>
        <v/>
      </c>
    </row>
    <row r="40">
      <c r="A40" s="6">
        <f>IFERROR(INDEX(FILTER(INPUT_Rooms!$B$4:$B$83, INPUT_Rooms!$A$4:$A$83=$B$4, INPUT_Rooms!$K$4:$K$83="Y"), 30), "")</f>
        <v/>
      </c>
      <c r="B40" s="6">
        <f>IF(A40="","", XLOOKUP(A40, FILTER(INPUT_Rooms!$B$4:$B$83, INPUT_Rooms!$A$4:$A$83=$B$4), FILTER(INPUT_Rooms!$C$4:$C$83, INPUT_Rooms!$A$4:$A$83=$B$4), ""))</f>
        <v/>
      </c>
      <c r="C40" s="6">
        <f>IF(A40="","", "Y")</f>
        <v/>
      </c>
      <c r="D40" s="6">
        <f>IF(A40="","", XLOOKUP(A40, INPUT_Rooms!$B:$B, INPUT_Rooms!$AD:$AD, ""))</f>
        <v/>
      </c>
      <c r="E40" s="6">
        <f>IF(A40="","", XLOOKUP(A40, INPUT_Rooms!$B:$B, INPUT_Rooms!$L:$L, ""))</f>
        <v/>
      </c>
      <c r="F40" s="6">
        <f>IF(A40="","", XLOOKUP(A40, INPUT_Rooms!$B:$B, INPUT_Rooms!$M:$M, ""))</f>
        <v/>
      </c>
      <c r="G40" s="6">
        <f>IF(A40="","", IF(XLOOKUP(A40, INPUT_Rooms!$B:$B, INPUT_Rooms!$N:$N, "")="", $B$5, XLOOKUP(A40, INPUT_Rooms!$B:$B, INPUT_Rooms!$N:$N, "")))</f>
        <v/>
      </c>
      <c r="H40" s="6">
        <f>IF(A40="","", D40*XLOOKUP("PrepMinsPerSqft",Constants!$A$20:$A$40,Constants!$B$20:$B$40)*XLOOKUP(G40,Constants!$E$10:$E$30,Constants!$F$10:$F$30))</f>
        <v/>
      </c>
      <c r="I40" s="6">
        <f>IF(A40="","", D40*XLOOKUP("PaintMinsPerSqftPerCoat",Constants!$A$20:$A$40,Constants!$B$20:$B$40)*F40)</f>
        <v/>
      </c>
      <c r="J40" s="6">
        <f>IF(A40="","", IF(E40="Full", D40*XLOOKUP("PrimerFullMinsPerSqft",Constants!$A$20:$A$40,Constants!$B$20:$B$40), IF(E40="Spot", D40*XLOOKUP("PrimerFullMinsPerSqft",Constants!$A$20:$A$40,Constants!$B$20:$B$40)*XLOOKUP("PrimerSpotFactor",Constants!$A$20:$A$40,Constants!$B$20:$B$40), 0)))</f>
        <v/>
      </c>
      <c r="K40" s="6">
        <f>IF(A40="","", SUMPRODUCT((INPUT_Openings!$A:$A=$B$4)*(INPUT_Openings!$B:$B=A40)*(INPUT_Openings!$D:$D)*INPUT_Openings!$F:$F))</f>
        <v/>
      </c>
      <c r="L40">
        <f>IF($A40="","",IF($D40="", "",IFERROR(CEILING( ($D40*$F40) / IFERROR(XLOOKUP(XLOOKUP('Job Control'!$B$3, INPUT_JobSettings!$A:$A, INPUT_JobSettings!$B:$B, ""), Constants!$A:$A, Constants!$D:$D, ""), ""), 0.25), "")))</f>
        <v/>
      </c>
      <c r="M40">
        <f>IF($A40="","",IF($E40="None",0,IF($D40="", "",IFERROR(CEILING( ($D40*IF($E40="Full",1, XLOOKUP("PrimerSpotFactor",Constants!$A$10:$A$60,Constants!$B$10:$B$60))) / IFERROR(XLOOKUP(XLOOKUP('Job Control'!$B$3, INPUT_JobSettings!$A:$A, INPUT_JobSettings!$E:$E, ""), Constants!$A:$A, Constants!$D:$D, ""), ""), 0.25), ""))))</f>
        <v/>
      </c>
      <c r="N40">
        <f>IF($A40="","",IFERROR($L40*IFERROR(XLOOKUP(XLOOKUP('Job Control'!$B$3, INPUT_JobSettings!$A:$A, INPUT_JobSettings!$B:$B, ""), Constants!$A:$A, Constants!$C:$C, 0), 0) + $M40*IFERROR(XLOOKUP(XLOOKUP('Job Control'!$B$3, INPUT_JobSettings!$A:$A, INPUT_JobSettings!$E:$E, ""), Constants!$A:$A, Constants!$C:$C, 0), 0),0))</f>
        <v/>
      </c>
      <c r="O40" s="6">
        <f>IF($A40="","", SUM($H40:$K40))</f>
        <v/>
      </c>
      <c r="P40" s="6">
        <f>IF($A40="","", $O40/60)</f>
        <v/>
      </c>
      <c r="Q40" s="6">
        <f>IF($A40="","", $P40*IFERROR(IF(XLOOKUP('Job Control'!$B$3, INPUT_JobSettings!$A:$A, INPUT_JobSettings!$F:$F, "")&lt;&gt;"", XLOOKUP('Job Control'!$B$3, INPUT_JobSettings!$A:$A, INPUT_JobSettings!$F:$F, ""), $B$6), $B$6))</f>
        <v/>
      </c>
      <c r="R40" s="6">
        <f>IF($A40="","", ($Q40+$N40)*IFERROR(IF(XLOOKUP('Job Control'!$B$3, INPUT_JobSettings!$A:$A, INPUT_JobSettings!$G:$G, "")&lt;&gt;"", XLOOKUP('Job Control'!$B$3, INPUT_JobSettings!$A:$A, INPUT_JobSettings!$G:$G, ""), $B$7), $B$7))</f>
        <v/>
      </c>
      <c r="S40" s="6">
        <f>IF($A40="","", XLOOKUP($A40, INPUT_Rooms!$B:$B, INPUT_Rooms!$AH:$AH, ""))</f>
        <v/>
      </c>
    </row>
    <row r="41">
      <c r="A41" s="6">
        <f>IFERROR(INDEX(FILTER(INPUT_Rooms!$B$4:$B$83, INPUT_Rooms!$A$4:$A$83=$B$4, INPUT_Rooms!$K$4:$K$83="Y"), 31), "")</f>
        <v/>
      </c>
      <c r="B41" s="6">
        <f>IF(A41="","", XLOOKUP(A41, FILTER(INPUT_Rooms!$B$4:$B$83, INPUT_Rooms!$A$4:$A$83=$B$4), FILTER(INPUT_Rooms!$C$4:$C$83, INPUT_Rooms!$A$4:$A$83=$B$4), ""))</f>
        <v/>
      </c>
      <c r="C41" s="6">
        <f>IF(A41="","", "Y")</f>
        <v/>
      </c>
      <c r="D41" s="6">
        <f>IF(A41="","", XLOOKUP(A41, INPUT_Rooms!$B:$B, INPUT_Rooms!$AD:$AD, ""))</f>
        <v/>
      </c>
      <c r="E41" s="6">
        <f>IF(A41="","", XLOOKUP(A41, INPUT_Rooms!$B:$B, INPUT_Rooms!$L:$L, ""))</f>
        <v/>
      </c>
      <c r="F41" s="6">
        <f>IF(A41="","", XLOOKUP(A41, INPUT_Rooms!$B:$B, INPUT_Rooms!$M:$M, ""))</f>
        <v/>
      </c>
      <c r="G41" s="6">
        <f>IF(A41="","", IF(XLOOKUP(A41, INPUT_Rooms!$B:$B, INPUT_Rooms!$N:$N, "")="", $B$5, XLOOKUP(A41, INPUT_Rooms!$B:$B, INPUT_Rooms!$N:$N, "")))</f>
        <v/>
      </c>
      <c r="H41" s="6">
        <f>IF(A41="","", D41*XLOOKUP("PrepMinsPerSqft",Constants!$A$20:$A$40,Constants!$B$20:$B$40)*XLOOKUP(G41,Constants!$E$10:$E$30,Constants!$F$10:$F$30))</f>
        <v/>
      </c>
      <c r="I41" s="6">
        <f>IF(A41="","", D41*XLOOKUP("PaintMinsPerSqftPerCoat",Constants!$A$20:$A$40,Constants!$B$20:$B$40)*F41)</f>
        <v/>
      </c>
      <c r="J41" s="6">
        <f>IF(A41="","", IF(E41="Full", D41*XLOOKUP("PrimerFullMinsPerSqft",Constants!$A$20:$A$40,Constants!$B$20:$B$40), IF(E41="Spot", D41*XLOOKUP("PrimerFullMinsPerSqft",Constants!$A$20:$A$40,Constants!$B$20:$B$40)*XLOOKUP("PrimerSpotFactor",Constants!$A$20:$A$40,Constants!$B$20:$B$40), 0)))</f>
        <v/>
      </c>
      <c r="K41" s="6">
        <f>IF(A41="","", SUMPRODUCT((INPUT_Openings!$A:$A=$B$4)*(INPUT_Openings!$B:$B=A41)*(INPUT_Openings!$D:$D)*INPUT_Openings!$F:$F))</f>
        <v/>
      </c>
      <c r="L41">
        <f>IF($A41="","",IF($D41="", "",IFERROR(CEILING( ($D41*$F41) / IFERROR(XLOOKUP(XLOOKUP('Job Control'!$B$3, INPUT_JobSettings!$A:$A, INPUT_JobSettings!$B:$B, ""), Constants!$A:$A, Constants!$D:$D, ""), ""), 0.25), "")))</f>
        <v/>
      </c>
      <c r="M41">
        <f>IF($A41="","",IF($E41="None",0,IF($D41="", "",IFERROR(CEILING( ($D41*IF($E41="Full",1, XLOOKUP("PrimerSpotFactor",Constants!$A$10:$A$60,Constants!$B$10:$B$60))) / IFERROR(XLOOKUP(XLOOKUP('Job Control'!$B$3, INPUT_JobSettings!$A:$A, INPUT_JobSettings!$E:$E, ""), Constants!$A:$A, Constants!$D:$D, ""), ""), 0.25), ""))))</f>
        <v/>
      </c>
      <c r="N41">
        <f>IF($A41="","",IFERROR($L41*IFERROR(XLOOKUP(XLOOKUP('Job Control'!$B$3, INPUT_JobSettings!$A:$A, INPUT_JobSettings!$B:$B, ""), Constants!$A:$A, Constants!$C:$C, 0), 0) + $M41*IFERROR(XLOOKUP(XLOOKUP('Job Control'!$B$3, INPUT_JobSettings!$A:$A, INPUT_JobSettings!$E:$E, ""), Constants!$A:$A, Constants!$C:$C, 0), 0),0))</f>
        <v/>
      </c>
      <c r="O41" s="6">
        <f>IF($A41="","", SUM($H41:$K41))</f>
        <v/>
      </c>
      <c r="P41" s="6">
        <f>IF($A41="","", $O41/60)</f>
        <v/>
      </c>
      <c r="Q41" s="6">
        <f>IF($A41="","", $P41*IFERROR(IF(XLOOKUP('Job Control'!$B$3, INPUT_JobSettings!$A:$A, INPUT_JobSettings!$F:$F, "")&lt;&gt;"", XLOOKUP('Job Control'!$B$3, INPUT_JobSettings!$A:$A, INPUT_JobSettings!$F:$F, ""), $B$6), $B$6))</f>
        <v/>
      </c>
      <c r="R41" s="6">
        <f>IF($A41="","", ($Q41+$N41)*IFERROR(IF(XLOOKUP('Job Control'!$B$3, INPUT_JobSettings!$A:$A, INPUT_JobSettings!$G:$G, "")&lt;&gt;"", XLOOKUP('Job Control'!$B$3, INPUT_JobSettings!$A:$A, INPUT_JobSettings!$G:$G, ""), $B$7), $B$7))</f>
        <v/>
      </c>
      <c r="S41" s="6">
        <f>IF($A41="","", XLOOKUP($A41, INPUT_Rooms!$B:$B, INPUT_Rooms!$AH:$AH, ""))</f>
        <v/>
      </c>
    </row>
    <row r="42">
      <c r="A42" s="6">
        <f>IFERROR(INDEX(FILTER(INPUT_Rooms!$B$4:$B$83, INPUT_Rooms!$A$4:$A$83=$B$4, INPUT_Rooms!$K$4:$K$83="Y"), 32), "")</f>
        <v/>
      </c>
      <c r="B42" s="6">
        <f>IF(A42="","", XLOOKUP(A42, FILTER(INPUT_Rooms!$B$4:$B$83, INPUT_Rooms!$A$4:$A$83=$B$4), FILTER(INPUT_Rooms!$C$4:$C$83, INPUT_Rooms!$A$4:$A$83=$B$4), ""))</f>
        <v/>
      </c>
      <c r="C42" s="6">
        <f>IF(A42="","", "Y")</f>
        <v/>
      </c>
      <c r="D42" s="6">
        <f>IF(A42="","", XLOOKUP(A42, INPUT_Rooms!$B:$B, INPUT_Rooms!$AD:$AD, ""))</f>
        <v/>
      </c>
      <c r="E42" s="6">
        <f>IF(A42="","", XLOOKUP(A42, INPUT_Rooms!$B:$B, INPUT_Rooms!$L:$L, ""))</f>
        <v/>
      </c>
      <c r="F42" s="6">
        <f>IF(A42="","", XLOOKUP(A42, INPUT_Rooms!$B:$B, INPUT_Rooms!$M:$M, ""))</f>
        <v/>
      </c>
      <c r="G42" s="6">
        <f>IF(A42="","", IF(XLOOKUP(A42, INPUT_Rooms!$B:$B, INPUT_Rooms!$N:$N, "")="", $B$5, XLOOKUP(A42, INPUT_Rooms!$B:$B, INPUT_Rooms!$N:$N, "")))</f>
        <v/>
      </c>
      <c r="H42" s="6">
        <f>IF(A42="","", D42*XLOOKUP("PrepMinsPerSqft",Constants!$A$20:$A$40,Constants!$B$20:$B$40)*XLOOKUP(G42,Constants!$E$10:$E$30,Constants!$F$10:$F$30))</f>
        <v/>
      </c>
      <c r="I42" s="6">
        <f>IF(A42="","", D42*XLOOKUP("PaintMinsPerSqftPerCoat",Constants!$A$20:$A$40,Constants!$B$20:$B$40)*F42)</f>
        <v/>
      </c>
      <c r="J42" s="6">
        <f>IF(A42="","", IF(E42="Full", D42*XLOOKUP("PrimerFullMinsPerSqft",Constants!$A$20:$A$40,Constants!$B$20:$B$40), IF(E42="Spot", D42*XLOOKUP("PrimerFullMinsPerSqft",Constants!$A$20:$A$40,Constants!$B$20:$B$40)*XLOOKUP("PrimerSpotFactor",Constants!$A$20:$A$40,Constants!$B$20:$B$40), 0)))</f>
        <v/>
      </c>
      <c r="K42" s="6">
        <f>IF(A42="","", SUMPRODUCT((INPUT_Openings!$A:$A=$B$4)*(INPUT_Openings!$B:$B=A42)*(INPUT_Openings!$D:$D)*INPUT_Openings!$F:$F))</f>
        <v/>
      </c>
      <c r="L42">
        <f>IF($A42="","",IF($D42="", "",IFERROR(CEILING( ($D42*$F42) / IFERROR(XLOOKUP(XLOOKUP('Job Control'!$B$3, INPUT_JobSettings!$A:$A, INPUT_JobSettings!$B:$B, ""), Constants!$A:$A, Constants!$D:$D, ""), ""), 0.25), "")))</f>
        <v/>
      </c>
      <c r="M42">
        <f>IF($A42="","",IF($E42="None",0,IF($D42="", "",IFERROR(CEILING( ($D42*IF($E42="Full",1, XLOOKUP("PrimerSpotFactor",Constants!$A$10:$A$60,Constants!$B$10:$B$60))) / IFERROR(XLOOKUP(XLOOKUP('Job Control'!$B$3, INPUT_JobSettings!$A:$A, INPUT_JobSettings!$E:$E, ""), Constants!$A:$A, Constants!$D:$D, ""), ""), 0.25), ""))))</f>
        <v/>
      </c>
      <c r="N42">
        <f>IF($A42="","",IFERROR($L42*IFERROR(XLOOKUP(XLOOKUP('Job Control'!$B$3, INPUT_JobSettings!$A:$A, INPUT_JobSettings!$B:$B, ""), Constants!$A:$A, Constants!$C:$C, 0), 0) + $M42*IFERROR(XLOOKUP(XLOOKUP('Job Control'!$B$3, INPUT_JobSettings!$A:$A, INPUT_JobSettings!$E:$E, ""), Constants!$A:$A, Constants!$C:$C, 0), 0),0))</f>
        <v/>
      </c>
      <c r="O42" s="6">
        <f>IF($A42="","", SUM($H42:$K42))</f>
        <v/>
      </c>
      <c r="P42" s="6">
        <f>IF($A42="","", $O42/60)</f>
        <v/>
      </c>
      <c r="Q42" s="6">
        <f>IF($A42="","", $P42*IFERROR(IF(XLOOKUP('Job Control'!$B$3, INPUT_JobSettings!$A:$A, INPUT_JobSettings!$F:$F, "")&lt;&gt;"", XLOOKUP('Job Control'!$B$3, INPUT_JobSettings!$A:$A, INPUT_JobSettings!$F:$F, ""), $B$6), $B$6))</f>
        <v/>
      </c>
      <c r="R42" s="6">
        <f>IF($A42="","", ($Q42+$N42)*IFERROR(IF(XLOOKUP('Job Control'!$B$3, INPUT_JobSettings!$A:$A, INPUT_JobSettings!$G:$G, "")&lt;&gt;"", XLOOKUP('Job Control'!$B$3, INPUT_JobSettings!$A:$A, INPUT_JobSettings!$G:$G, ""), $B$7), $B$7))</f>
        <v/>
      </c>
      <c r="S42" s="6">
        <f>IF($A42="","", XLOOKUP($A42, INPUT_Rooms!$B:$B, INPUT_Rooms!$AH:$AH, ""))</f>
        <v/>
      </c>
    </row>
    <row r="43">
      <c r="A43" s="6">
        <f>IFERROR(INDEX(FILTER(INPUT_Rooms!$B$4:$B$83, INPUT_Rooms!$A$4:$A$83=$B$4, INPUT_Rooms!$K$4:$K$83="Y"), 33), "")</f>
        <v/>
      </c>
      <c r="B43" s="6">
        <f>IF(A43="","", XLOOKUP(A43, FILTER(INPUT_Rooms!$B$4:$B$83, INPUT_Rooms!$A$4:$A$83=$B$4), FILTER(INPUT_Rooms!$C$4:$C$83, INPUT_Rooms!$A$4:$A$83=$B$4), ""))</f>
        <v/>
      </c>
      <c r="C43" s="6">
        <f>IF(A43="","", "Y")</f>
        <v/>
      </c>
      <c r="D43" s="6">
        <f>IF(A43="","", XLOOKUP(A43, INPUT_Rooms!$B:$B, INPUT_Rooms!$AD:$AD, ""))</f>
        <v/>
      </c>
      <c r="E43" s="6">
        <f>IF(A43="","", XLOOKUP(A43, INPUT_Rooms!$B:$B, INPUT_Rooms!$L:$L, ""))</f>
        <v/>
      </c>
      <c r="F43" s="6">
        <f>IF(A43="","", XLOOKUP(A43, INPUT_Rooms!$B:$B, INPUT_Rooms!$M:$M, ""))</f>
        <v/>
      </c>
      <c r="G43" s="6">
        <f>IF(A43="","", IF(XLOOKUP(A43, INPUT_Rooms!$B:$B, INPUT_Rooms!$N:$N, "")="", $B$5, XLOOKUP(A43, INPUT_Rooms!$B:$B, INPUT_Rooms!$N:$N, "")))</f>
        <v/>
      </c>
      <c r="H43" s="6">
        <f>IF(A43="","", D43*XLOOKUP("PrepMinsPerSqft",Constants!$A$20:$A$40,Constants!$B$20:$B$40)*XLOOKUP(G43,Constants!$E$10:$E$30,Constants!$F$10:$F$30))</f>
        <v/>
      </c>
      <c r="I43" s="6">
        <f>IF(A43="","", D43*XLOOKUP("PaintMinsPerSqftPerCoat",Constants!$A$20:$A$40,Constants!$B$20:$B$40)*F43)</f>
        <v/>
      </c>
      <c r="J43" s="6">
        <f>IF(A43="","", IF(E43="Full", D43*XLOOKUP("PrimerFullMinsPerSqft",Constants!$A$20:$A$40,Constants!$B$20:$B$40), IF(E43="Spot", D43*XLOOKUP("PrimerFullMinsPerSqft",Constants!$A$20:$A$40,Constants!$B$20:$B$40)*XLOOKUP("PrimerSpotFactor",Constants!$A$20:$A$40,Constants!$B$20:$B$40), 0)))</f>
        <v/>
      </c>
      <c r="K43" s="6">
        <f>IF(A43="","", SUMPRODUCT((INPUT_Openings!$A:$A=$B$4)*(INPUT_Openings!$B:$B=A43)*(INPUT_Openings!$D:$D)*INPUT_Openings!$F:$F))</f>
        <v/>
      </c>
      <c r="L43">
        <f>IF($A43="","",IF($D43="", "",IFERROR(CEILING( ($D43*$F43) / IFERROR(XLOOKUP(XLOOKUP('Job Control'!$B$3, INPUT_JobSettings!$A:$A, INPUT_JobSettings!$B:$B, ""), Constants!$A:$A, Constants!$D:$D, ""), ""), 0.25), "")))</f>
        <v/>
      </c>
      <c r="M43">
        <f>IF($A43="","",IF($E43="None",0,IF($D43="", "",IFERROR(CEILING( ($D43*IF($E43="Full",1, XLOOKUP("PrimerSpotFactor",Constants!$A$10:$A$60,Constants!$B$10:$B$60))) / IFERROR(XLOOKUP(XLOOKUP('Job Control'!$B$3, INPUT_JobSettings!$A:$A, INPUT_JobSettings!$E:$E, ""), Constants!$A:$A, Constants!$D:$D, ""), ""), 0.25), ""))))</f>
        <v/>
      </c>
      <c r="N43">
        <f>IF($A43="","",IFERROR($L43*IFERROR(XLOOKUP(XLOOKUP('Job Control'!$B$3, INPUT_JobSettings!$A:$A, INPUT_JobSettings!$B:$B, ""), Constants!$A:$A, Constants!$C:$C, 0), 0) + $M43*IFERROR(XLOOKUP(XLOOKUP('Job Control'!$B$3, INPUT_JobSettings!$A:$A, INPUT_JobSettings!$E:$E, ""), Constants!$A:$A, Constants!$C:$C, 0), 0),0))</f>
        <v/>
      </c>
      <c r="O43" s="6">
        <f>IF($A43="","", SUM($H43:$K43))</f>
        <v/>
      </c>
      <c r="P43" s="6">
        <f>IF($A43="","", $O43/60)</f>
        <v/>
      </c>
      <c r="Q43" s="6">
        <f>IF($A43="","", $P43*IFERROR(IF(XLOOKUP('Job Control'!$B$3, INPUT_JobSettings!$A:$A, INPUT_JobSettings!$F:$F, "")&lt;&gt;"", XLOOKUP('Job Control'!$B$3, INPUT_JobSettings!$A:$A, INPUT_JobSettings!$F:$F, ""), $B$6), $B$6))</f>
        <v/>
      </c>
      <c r="R43" s="6">
        <f>IF($A43="","", ($Q43+$N43)*IFERROR(IF(XLOOKUP('Job Control'!$B$3, INPUT_JobSettings!$A:$A, INPUT_JobSettings!$G:$G, "")&lt;&gt;"", XLOOKUP('Job Control'!$B$3, INPUT_JobSettings!$A:$A, INPUT_JobSettings!$G:$G, ""), $B$7), $B$7))</f>
        <v/>
      </c>
      <c r="S43" s="6">
        <f>IF($A43="","", XLOOKUP($A43, INPUT_Rooms!$B:$B, INPUT_Rooms!$AH:$AH, ""))</f>
        <v/>
      </c>
    </row>
    <row r="44">
      <c r="A44" s="6">
        <f>IFERROR(INDEX(FILTER(INPUT_Rooms!$B$4:$B$83, INPUT_Rooms!$A$4:$A$83=$B$4, INPUT_Rooms!$K$4:$K$83="Y"), 34), "")</f>
        <v/>
      </c>
      <c r="B44" s="6">
        <f>IF(A44="","", XLOOKUP(A44, FILTER(INPUT_Rooms!$B$4:$B$83, INPUT_Rooms!$A$4:$A$83=$B$4), FILTER(INPUT_Rooms!$C$4:$C$83, INPUT_Rooms!$A$4:$A$83=$B$4), ""))</f>
        <v/>
      </c>
      <c r="C44" s="6">
        <f>IF(A44="","", "Y")</f>
        <v/>
      </c>
      <c r="D44" s="6">
        <f>IF(A44="","", XLOOKUP(A44, INPUT_Rooms!$B:$B, INPUT_Rooms!$AD:$AD, ""))</f>
        <v/>
      </c>
      <c r="E44" s="6">
        <f>IF(A44="","", XLOOKUP(A44, INPUT_Rooms!$B:$B, INPUT_Rooms!$L:$L, ""))</f>
        <v/>
      </c>
      <c r="F44" s="6">
        <f>IF(A44="","", XLOOKUP(A44, INPUT_Rooms!$B:$B, INPUT_Rooms!$M:$M, ""))</f>
        <v/>
      </c>
      <c r="G44" s="6">
        <f>IF(A44="","", IF(XLOOKUP(A44, INPUT_Rooms!$B:$B, INPUT_Rooms!$N:$N, "")="", $B$5, XLOOKUP(A44, INPUT_Rooms!$B:$B, INPUT_Rooms!$N:$N, "")))</f>
        <v/>
      </c>
      <c r="H44" s="6">
        <f>IF(A44="","", D44*XLOOKUP("PrepMinsPerSqft",Constants!$A$20:$A$40,Constants!$B$20:$B$40)*XLOOKUP(G44,Constants!$E$10:$E$30,Constants!$F$10:$F$30))</f>
        <v/>
      </c>
      <c r="I44" s="6">
        <f>IF(A44="","", D44*XLOOKUP("PaintMinsPerSqftPerCoat",Constants!$A$20:$A$40,Constants!$B$20:$B$40)*F44)</f>
        <v/>
      </c>
      <c r="J44" s="6">
        <f>IF(A44="","", IF(E44="Full", D44*XLOOKUP("PrimerFullMinsPerSqft",Constants!$A$20:$A$40,Constants!$B$20:$B$40), IF(E44="Spot", D44*XLOOKUP("PrimerFullMinsPerSqft",Constants!$A$20:$A$40,Constants!$B$20:$B$40)*XLOOKUP("PrimerSpotFactor",Constants!$A$20:$A$40,Constants!$B$20:$B$40), 0)))</f>
        <v/>
      </c>
      <c r="K44" s="6">
        <f>IF(A44="","", SUMPRODUCT((INPUT_Openings!$A:$A=$B$4)*(INPUT_Openings!$B:$B=A44)*(INPUT_Openings!$D:$D)*INPUT_Openings!$F:$F))</f>
        <v/>
      </c>
      <c r="L44">
        <f>IF($A44="","",IF($D44="", "",IFERROR(CEILING( ($D44*$F44) / IFERROR(XLOOKUP(XLOOKUP('Job Control'!$B$3, INPUT_JobSettings!$A:$A, INPUT_JobSettings!$B:$B, ""), Constants!$A:$A, Constants!$D:$D, ""), ""), 0.25), "")))</f>
        <v/>
      </c>
      <c r="M44">
        <f>IF($A44="","",IF($E44="None",0,IF($D44="", "",IFERROR(CEILING( ($D44*IF($E44="Full",1, XLOOKUP("PrimerSpotFactor",Constants!$A$10:$A$60,Constants!$B$10:$B$60))) / IFERROR(XLOOKUP(XLOOKUP('Job Control'!$B$3, INPUT_JobSettings!$A:$A, INPUT_JobSettings!$E:$E, ""), Constants!$A:$A, Constants!$D:$D, ""), ""), 0.25), ""))))</f>
        <v/>
      </c>
      <c r="N44">
        <f>IF($A44="","",IFERROR($L44*IFERROR(XLOOKUP(XLOOKUP('Job Control'!$B$3, INPUT_JobSettings!$A:$A, INPUT_JobSettings!$B:$B, ""), Constants!$A:$A, Constants!$C:$C, 0), 0) + $M44*IFERROR(XLOOKUP(XLOOKUP('Job Control'!$B$3, INPUT_JobSettings!$A:$A, INPUT_JobSettings!$E:$E, ""), Constants!$A:$A, Constants!$C:$C, 0), 0),0))</f>
        <v/>
      </c>
      <c r="O44" s="6">
        <f>IF($A44="","", SUM($H44:$K44))</f>
        <v/>
      </c>
      <c r="P44" s="6">
        <f>IF($A44="","", $O44/60)</f>
        <v/>
      </c>
      <c r="Q44" s="6">
        <f>IF($A44="","", $P44*IFERROR(IF(XLOOKUP('Job Control'!$B$3, INPUT_JobSettings!$A:$A, INPUT_JobSettings!$F:$F, "")&lt;&gt;"", XLOOKUP('Job Control'!$B$3, INPUT_JobSettings!$A:$A, INPUT_JobSettings!$F:$F, ""), $B$6), $B$6))</f>
        <v/>
      </c>
      <c r="R44" s="6">
        <f>IF($A44="","", ($Q44+$N44)*IFERROR(IF(XLOOKUP('Job Control'!$B$3, INPUT_JobSettings!$A:$A, INPUT_JobSettings!$G:$G, "")&lt;&gt;"", XLOOKUP('Job Control'!$B$3, INPUT_JobSettings!$A:$A, INPUT_JobSettings!$G:$G, ""), $B$7), $B$7))</f>
        <v/>
      </c>
      <c r="S44" s="6">
        <f>IF($A44="","", XLOOKUP($A44, INPUT_Rooms!$B:$B, INPUT_Rooms!$AH:$AH, ""))</f>
        <v/>
      </c>
    </row>
    <row r="45">
      <c r="A45" s="6">
        <f>IFERROR(INDEX(FILTER(INPUT_Rooms!$B$4:$B$83, INPUT_Rooms!$A$4:$A$83=$B$4, INPUT_Rooms!$K$4:$K$83="Y"), 35), "")</f>
        <v/>
      </c>
      <c r="B45" s="6">
        <f>IF(A45="","", XLOOKUP(A45, FILTER(INPUT_Rooms!$B$4:$B$83, INPUT_Rooms!$A$4:$A$83=$B$4), FILTER(INPUT_Rooms!$C$4:$C$83, INPUT_Rooms!$A$4:$A$83=$B$4), ""))</f>
        <v/>
      </c>
      <c r="C45" s="6">
        <f>IF(A45="","", "Y")</f>
        <v/>
      </c>
      <c r="D45" s="6">
        <f>IF(A45="","", XLOOKUP(A45, INPUT_Rooms!$B:$B, INPUT_Rooms!$AD:$AD, ""))</f>
        <v/>
      </c>
      <c r="E45" s="6">
        <f>IF(A45="","", XLOOKUP(A45, INPUT_Rooms!$B:$B, INPUT_Rooms!$L:$L, ""))</f>
        <v/>
      </c>
      <c r="F45" s="6">
        <f>IF(A45="","", XLOOKUP(A45, INPUT_Rooms!$B:$B, INPUT_Rooms!$M:$M, ""))</f>
        <v/>
      </c>
      <c r="G45" s="6">
        <f>IF(A45="","", IF(XLOOKUP(A45, INPUT_Rooms!$B:$B, INPUT_Rooms!$N:$N, "")="", $B$5, XLOOKUP(A45, INPUT_Rooms!$B:$B, INPUT_Rooms!$N:$N, "")))</f>
        <v/>
      </c>
      <c r="H45" s="6">
        <f>IF(A45="","", D45*XLOOKUP("PrepMinsPerSqft",Constants!$A$20:$A$40,Constants!$B$20:$B$40)*XLOOKUP(G45,Constants!$E$10:$E$30,Constants!$F$10:$F$30))</f>
        <v/>
      </c>
      <c r="I45" s="6">
        <f>IF(A45="","", D45*XLOOKUP("PaintMinsPerSqftPerCoat",Constants!$A$20:$A$40,Constants!$B$20:$B$40)*F45)</f>
        <v/>
      </c>
      <c r="J45" s="6">
        <f>IF(A45="","", IF(E45="Full", D45*XLOOKUP("PrimerFullMinsPerSqft",Constants!$A$20:$A$40,Constants!$B$20:$B$40), IF(E45="Spot", D45*XLOOKUP("PrimerFullMinsPerSqft",Constants!$A$20:$A$40,Constants!$B$20:$B$40)*XLOOKUP("PrimerSpotFactor",Constants!$A$20:$A$40,Constants!$B$20:$B$40), 0)))</f>
        <v/>
      </c>
      <c r="K45" s="6">
        <f>IF(A45="","", SUMPRODUCT((INPUT_Openings!$A:$A=$B$4)*(INPUT_Openings!$B:$B=A45)*(INPUT_Openings!$D:$D)*INPUT_Openings!$F:$F))</f>
        <v/>
      </c>
      <c r="L45">
        <f>IF($A45="","",IF($D45="", "",IFERROR(CEILING( ($D45*$F45) / IFERROR(XLOOKUP(XLOOKUP('Job Control'!$B$3, INPUT_JobSettings!$A:$A, INPUT_JobSettings!$B:$B, ""), Constants!$A:$A, Constants!$D:$D, ""), ""), 0.25), "")))</f>
        <v/>
      </c>
      <c r="M45">
        <f>IF($A45="","",IF($E45="None",0,IF($D45="", "",IFERROR(CEILING( ($D45*IF($E45="Full",1, XLOOKUP("PrimerSpotFactor",Constants!$A$10:$A$60,Constants!$B$10:$B$60))) / IFERROR(XLOOKUP(XLOOKUP('Job Control'!$B$3, INPUT_JobSettings!$A:$A, INPUT_JobSettings!$E:$E, ""), Constants!$A:$A, Constants!$D:$D, ""), ""), 0.25), ""))))</f>
        <v/>
      </c>
      <c r="N45">
        <f>IF($A45="","",IFERROR($L45*IFERROR(XLOOKUP(XLOOKUP('Job Control'!$B$3, INPUT_JobSettings!$A:$A, INPUT_JobSettings!$B:$B, ""), Constants!$A:$A, Constants!$C:$C, 0), 0) + $M45*IFERROR(XLOOKUP(XLOOKUP('Job Control'!$B$3, INPUT_JobSettings!$A:$A, INPUT_JobSettings!$E:$E, ""), Constants!$A:$A, Constants!$C:$C, 0), 0),0))</f>
        <v/>
      </c>
      <c r="O45" s="6">
        <f>IF($A45="","", SUM($H45:$K45))</f>
        <v/>
      </c>
      <c r="P45" s="6">
        <f>IF($A45="","", $O45/60)</f>
        <v/>
      </c>
      <c r="Q45" s="6">
        <f>IF($A45="","", $P45*IFERROR(IF(XLOOKUP('Job Control'!$B$3, INPUT_JobSettings!$A:$A, INPUT_JobSettings!$F:$F, "")&lt;&gt;"", XLOOKUP('Job Control'!$B$3, INPUT_JobSettings!$A:$A, INPUT_JobSettings!$F:$F, ""), $B$6), $B$6))</f>
        <v/>
      </c>
      <c r="R45" s="6">
        <f>IF($A45="","", ($Q45+$N45)*IFERROR(IF(XLOOKUP('Job Control'!$B$3, INPUT_JobSettings!$A:$A, INPUT_JobSettings!$G:$G, "")&lt;&gt;"", XLOOKUP('Job Control'!$B$3, INPUT_JobSettings!$A:$A, INPUT_JobSettings!$G:$G, ""), $B$7), $B$7))</f>
        <v/>
      </c>
      <c r="S45" s="6">
        <f>IF($A45="","", XLOOKUP($A45, INPUT_Rooms!$B:$B, INPUT_Rooms!$AH:$AH, ""))</f>
        <v/>
      </c>
    </row>
    <row r="46">
      <c r="A46" s="6">
        <f>IFERROR(INDEX(FILTER(INPUT_Rooms!$B$4:$B$83, INPUT_Rooms!$A$4:$A$83=$B$4, INPUT_Rooms!$K$4:$K$83="Y"), 36), "")</f>
        <v/>
      </c>
      <c r="B46" s="6">
        <f>IF(A46="","", XLOOKUP(A46, FILTER(INPUT_Rooms!$B$4:$B$83, INPUT_Rooms!$A$4:$A$83=$B$4), FILTER(INPUT_Rooms!$C$4:$C$83, INPUT_Rooms!$A$4:$A$83=$B$4), ""))</f>
        <v/>
      </c>
      <c r="C46" s="6">
        <f>IF(A46="","", "Y")</f>
        <v/>
      </c>
      <c r="D46" s="6">
        <f>IF(A46="","", XLOOKUP(A46, INPUT_Rooms!$B:$B, INPUT_Rooms!$AD:$AD, ""))</f>
        <v/>
      </c>
      <c r="E46" s="6">
        <f>IF(A46="","", XLOOKUP(A46, INPUT_Rooms!$B:$B, INPUT_Rooms!$L:$L, ""))</f>
        <v/>
      </c>
      <c r="F46" s="6">
        <f>IF(A46="","", XLOOKUP(A46, INPUT_Rooms!$B:$B, INPUT_Rooms!$M:$M, ""))</f>
        <v/>
      </c>
      <c r="G46" s="6">
        <f>IF(A46="","", IF(XLOOKUP(A46, INPUT_Rooms!$B:$B, INPUT_Rooms!$N:$N, "")="", $B$5, XLOOKUP(A46, INPUT_Rooms!$B:$B, INPUT_Rooms!$N:$N, "")))</f>
        <v/>
      </c>
      <c r="H46" s="6">
        <f>IF(A46="","", D46*XLOOKUP("PrepMinsPerSqft",Constants!$A$20:$A$40,Constants!$B$20:$B$40)*XLOOKUP(G46,Constants!$E$10:$E$30,Constants!$F$10:$F$30))</f>
        <v/>
      </c>
      <c r="I46" s="6">
        <f>IF(A46="","", D46*XLOOKUP("PaintMinsPerSqftPerCoat",Constants!$A$20:$A$40,Constants!$B$20:$B$40)*F46)</f>
        <v/>
      </c>
      <c r="J46" s="6">
        <f>IF(A46="","", IF(E46="Full", D46*XLOOKUP("PrimerFullMinsPerSqft",Constants!$A$20:$A$40,Constants!$B$20:$B$40), IF(E46="Spot", D46*XLOOKUP("PrimerFullMinsPerSqft",Constants!$A$20:$A$40,Constants!$B$20:$B$40)*XLOOKUP("PrimerSpotFactor",Constants!$A$20:$A$40,Constants!$B$20:$B$40), 0)))</f>
        <v/>
      </c>
      <c r="K46" s="6">
        <f>IF(A46="","", SUMPRODUCT((INPUT_Openings!$A:$A=$B$4)*(INPUT_Openings!$B:$B=A46)*(INPUT_Openings!$D:$D)*INPUT_Openings!$F:$F))</f>
        <v/>
      </c>
      <c r="L46">
        <f>IF($A46="","",IF($D46="", "",IFERROR(CEILING( ($D46*$F46) / IFERROR(XLOOKUP(XLOOKUP('Job Control'!$B$3, INPUT_JobSettings!$A:$A, INPUT_JobSettings!$B:$B, ""), Constants!$A:$A, Constants!$D:$D, ""), ""), 0.25), "")))</f>
        <v/>
      </c>
      <c r="M46">
        <f>IF($A46="","",IF($E46="None",0,IF($D46="", "",IFERROR(CEILING( ($D46*IF($E46="Full",1, XLOOKUP("PrimerSpotFactor",Constants!$A$10:$A$60,Constants!$B$10:$B$60))) / IFERROR(XLOOKUP(XLOOKUP('Job Control'!$B$3, INPUT_JobSettings!$A:$A, INPUT_JobSettings!$E:$E, ""), Constants!$A:$A, Constants!$D:$D, ""), ""), 0.25), ""))))</f>
        <v/>
      </c>
      <c r="N46">
        <f>IF($A46="","",IFERROR($L46*IFERROR(XLOOKUP(XLOOKUP('Job Control'!$B$3, INPUT_JobSettings!$A:$A, INPUT_JobSettings!$B:$B, ""), Constants!$A:$A, Constants!$C:$C, 0), 0) + $M46*IFERROR(XLOOKUP(XLOOKUP('Job Control'!$B$3, INPUT_JobSettings!$A:$A, INPUT_JobSettings!$E:$E, ""), Constants!$A:$A, Constants!$C:$C, 0), 0),0))</f>
        <v/>
      </c>
      <c r="O46" s="6">
        <f>IF($A46="","", SUM($H46:$K46))</f>
        <v/>
      </c>
      <c r="P46" s="6">
        <f>IF($A46="","", $O46/60)</f>
        <v/>
      </c>
      <c r="Q46" s="6">
        <f>IF($A46="","", $P46*IFERROR(IF(XLOOKUP('Job Control'!$B$3, INPUT_JobSettings!$A:$A, INPUT_JobSettings!$F:$F, "")&lt;&gt;"", XLOOKUP('Job Control'!$B$3, INPUT_JobSettings!$A:$A, INPUT_JobSettings!$F:$F, ""), $B$6), $B$6))</f>
        <v/>
      </c>
      <c r="R46" s="6">
        <f>IF($A46="","", ($Q46+$N46)*IFERROR(IF(XLOOKUP('Job Control'!$B$3, INPUT_JobSettings!$A:$A, INPUT_JobSettings!$G:$G, "")&lt;&gt;"", XLOOKUP('Job Control'!$B$3, INPUT_JobSettings!$A:$A, INPUT_JobSettings!$G:$G, ""), $B$7), $B$7))</f>
        <v/>
      </c>
      <c r="S46" s="6">
        <f>IF($A46="","", XLOOKUP($A46, INPUT_Rooms!$B:$B, INPUT_Rooms!$AH:$AH, ""))</f>
        <v/>
      </c>
    </row>
    <row r="47">
      <c r="A47" s="6">
        <f>IFERROR(INDEX(FILTER(INPUT_Rooms!$B$4:$B$83, INPUT_Rooms!$A$4:$A$83=$B$4, INPUT_Rooms!$K$4:$K$83="Y"), 37), "")</f>
        <v/>
      </c>
      <c r="B47" s="6">
        <f>IF(A47="","", XLOOKUP(A47, FILTER(INPUT_Rooms!$B$4:$B$83, INPUT_Rooms!$A$4:$A$83=$B$4), FILTER(INPUT_Rooms!$C$4:$C$83, INPUT_Rooms!$A$4:$A$83=$B$4), ""))</f>
        <v/>
      </c>
      <c r="C47" s="6">
        <f>IF(A47="","", "Y")</f>
        <v/>
      </c>
      <c r="D47" s="6">
        <f>IF(A47="","", XLOOKUP(A47, INPUT_Rooms!$B:$B, INPUT_Rooms!$AD:$AD, ""))</f>
        <v/>
      </c>
      <c r="E47" s="6">
        <f>IF(A47="","", XLOOKUP(A47, INPUT_Rooms!$B:$B, INPUT_Rooms!$L:$L, ""))</f>
        <v/>
      </c>
      <c r="F47" s="6">
        <f>IF(A47="","", XLOOKUP(A47, INPUT_Rooms!$B:$B, INPUT_Rooms!$M:$M, ""))</f>
        <v/>
      </c>
      <c r="G47" s="6">
        <f>IF(A47="","", IF(XLOOKUP(A47, INPUT_Rooms!$B:$B, INPUT_Rooms!$N:$N, "")="", $B$5, XLOOKUP(A47, INPUT_Rooms!$B:$B, INPUT_Rooms!$N:$N, "")))</f>
        <v/>
      </c>
      <c r="H47" s="6">
        <f>IF(A47="","", D47*XLOOKUP("PrepMinsPerSqft",Constants!$A$20:$A$40,Constants!$B$20:$B$40)*XLOOKUP(G47,Constants!$E$10:$E$30,Constants!$F$10:$F$30))</f>
        <v/>
      </c>
      <c r="I47" s="6">
        <f>IF(A47="","", D47*XLOOKUP("PaintMinsPerSqftPerCoat",Constants!$A$20:$A$40,Constants!$B$20:$B$40)*F47)</f>
        <v/>
      </c>
      <c r="J47" s="6">
        <f>IF(A47="","", IF(E47="Full", D47*XLOOKUP("PrimerFullMinsPerSqft",Constants!$A$20:$A$40,Constants!$B$20:$B$40), IF(E47="Spot", D47*XLOOKUP("PrimerFullMinsPerSqft",Constants!$A$20:$A$40,Constants!$B$20:$B$40)*XLOOKUP("PrimerSpotFactor",Constants!$A$20:$A$40,Constants!$B$20:$B$40), 0)))</f>
        <v/>
      </c>
      <c r="K47" s="6">
        <f>IF(A47="","", SUMPRODUCT((INPUT_Openings!$A:$A=$B$4)*(INPUT_Openings!$B:$B=A47)*(INPUT_Openings!$D:$D)*INPUT_Openings!$F:$F))</f>
        <v/>
      </c>
      <c r="L47">
        <f>IF($A47="","",IF($D47="", "",IFERROR(CEILING( ($D47*$F47) / IFERROR(XLOOKUP(XLOOKUP('Job Control'!$B$3, INPUT_JobSettings!$A:$A, INPUT_JobSettings!$B:$B, ""), Constants!$A:$A, Constants!$D:$D, ""), ""), 0.25), "")))</f>
        <v/>
      </c>
      <c r="M47">
        <f>IF($A47="","",IF($E47="None",0,IF($D47="", "",IFERROR(CEILING( ($D47*IF($E47="Full",1, XLOOKUP("PrimerSpotFactor",Constants!$A$10:$A$60,Constants!$B$10:$B$60))) / IFERROR(XLOOKUP(XLOOKUP('Job Control'!$B$3, INPUT_JobSettings!$A:$A, INPUT_JobSettings!$E:$E, ""), Constants!$A:$A, Constants!$D:$D, ""), ""), 0.25), ""))))</f>
        <v/>
      </c>
      <c r="N47">
        <f>IF($A47="","",IFERROR($L47*IFERROR(XLOOKUP(XLOOKUP('Job Control'!$B$3, INPUT_JobSettings!$A:$A, INPUT_JobSettings!$B:$B, ""), Constants!$A:$A, Constants!$C:$C, 0), 0) + $M47*IFERROR(XLOOKUP(XLOOKUP('Job Control'!$B$3, INPUT_JobSettings!$A:$A, INPUT_JobSettings!$E:$E, ""), Constants!$A:$A, Constants!$C:$C, 0), 0),0))</f>
        <v/>
      </c>
      <c r="O47" s="6">
        <f>IF($A47="","", SUM($H47:$K47))</f>
        <v/>
      </c>
      <c r="P47" s="6">
        <f>IF($A47="","", $O47/60)</f>
        <v/>
      </c>
      <c r="Q47" s="6">
        <f>IF($A47="","", $P47*IFERROR(IF(XLOOKUP('Job Control'!$B$3, INPUT_JobSettings!$A:$A, INPUT_JobSettings!$F:$F, "")&lt;&gt;"", XLOOKUP('Job Control'!$B$3, INPUT_JobSettings!$A:$A, INPUT_JobSettings!$F:$F, ""), $B$6), $B$6))</f>
        <v/>
      </c>
      <c r="R47" s="6">
        <f>IF($A47="","", ($Q47+$N47)*IFERROR(IF(XLOOKUP('Job Control'!$B$3, INPUT_JobSettings!$A:$A, INPUT_JobSettings!$G:$G, "")&lt;&gt;"", XLOOKUP('Job Control'!$B$3, INPUT_JobSettings!$A:$A, INPUT_JobSettings!$G:$G, ""), $B$7), $B$7))</f>
        <v/>
      </c>
      <c r="S47" s="6">
        <f>IF($A47="","", XLOOKUP($A47, INPUT_Rooms!$B:$B, INPUT_Rooms!$AH:$AH, ""))</f>
        <v/>
      </c>
    </row>
    <row r="48">
      <c r="A48" s="6">
        <f>IFERROR(INDEX(FILTER(INPUT_Rooms!$B$4:$B$83, INPUT_Rooms!$A$4:$A$83=$B$4, INPUT_Rooms!$K$4:$K$83="Y"), 38), "")</f>
        <v/>
      </c>
      <c r="B48" s="6">
        <f>IF(A48="","", XLOOKUP(A48, FILTER(INPUT_Rooms!$B$4:$B$83, INPUT_Rooms!$A$4:$A$83=$B$4), FILTER(INPUT_Rooms!$C$4:$C$83, INPUT_Rooms!$A$4:$A$83=$B$4), ""))</f>
        <v/>
      </c>
      <c r="C48" s="6">
        <f>IF(A48="","", "Y")</f>
        <v/>
      </c>
      <c r="D48" s="6">
        <f>IF(A48="","", XLOOKUP(A48, INPUT_Rooms!$B:$B, INPUT_Rooms!$AD:$AD, ""))</f>
        <v/>
      </c>
      <c r="E48" s="6">
        <f>IF(A48="","", XLOOKUP(A48, INPUT_Rooms!$B:$B, INPUT_Rooms!$L:$L, ""))</f>
        <v/>
      </c>
      <c r="F48" s="6">
        <f>IF(A48="","", XLOOKUP(A48, INPUT_Rooms!$B:$B, INPUT_Rooms!$M:$M, ""))</f>
        <v/>
      </c>
      <c r="G48" s="6">
        <f>IF(A48="","", IF(XLOOKUP(A48, INPUT_Rooms!$B:$B, INPUT_Rooms!$N:$N, "")="", $B$5, XLOOKUP(A48, INPUT_Rooms!$B:$B, INPUT_Rooms!$N:$N, "")))</f>
        <v/>
      </c>
      <c r="H48" s="6">
        <f>IF(A48="","", D48*XLOOKUP("PrepMinsPerSqft",Constants!$A$20:$A$40,Constants!$B$20:$B$40)*XLOOKUP(G48,Constants!$E$10:$E$30,Constants!$F$10:$F$30))</f>
        <v/>
      </c>
      <c r="I48" s="6">
        <f>IF(A48="","", D48*XLOOKUP("PaintMinsPerSqftPerCoat",Constants!$A$20:$A$40,Constants!$B$20:$B$40)*F48)</f>
        <v/>
      </c>
      <c r="J48" s="6">
        <f>IF(A48="","", IF(E48="Full", D48*XLOOKUP("PrimerFullMinsPerSqft",Constants!$A$20:$A$40,Constants!$B$20:$B$40), IF(E48="Spot", D48*XLOOKUP("PrimerFullMinsPerSqft",Constants!$A$20:$A$40,Constants!$B$20:$B$40)*XLOOKUP("PrimerSpotFactor",Constants!$A$20:$A$40,Constants!$B$20:$B$40), 0)))</f>
        <v/>
      </c>
      <c r="K48" s="6">
        <f>IF(A48="","", SUMPRODUCT((INPUT_Openings!$A:$A=$B$4)*(INPUT_Openings!$B:$B=A48)*(INPUT_Openings!$D:$D)*INPUT_Openings!$F:$F))</f>
        <v/>
      </c>
      <c r="L48">
        <f>IF($A48="","",IF($D48="", "",IFERROR(CEILING( ($D48*$F48) / IFERROR(XLOOKUP(XLOOKUP('Job Control'!$B$3, INPUT_JobSettings!$A:$A, INPUT_JobSettings!$B:$B, ""), Constants!$A:$A, Constants!$D:$D, ""), ""), 0.25), "")))</f>
        <v/>
      </c>
      <c r="M48">
        <f>IF($A48="","",IF($E48="None",0,IF($D48="", "",IFERROR(CEILING( ($D48*IF($E48="Full",1, XLOOKUP("PrimerSpotFactor",Constants!$A$10:$A$60,Constants!$B$10:$B$60))) / IFERROR(XLOOKUP(XLOOKUP('Job Control'!$B$3, INPUT_JobSettings!$A:$A, INPUT_JobSettings!$E:$E, ""), Constants!$A:$A, Constants!$D:$D, ""), ""), 0.25), ""))))</f>
        <v/>
      </c>
      <c r="N48">
        <f>IF($A48="","",IFERROR($L48*IFERROR(XLOOKUP(XLOOKUP('Job Control'!$B$3, INPUT_JobSettings!$A:$A, INPUT_JobSettings!$B:$B, ""), Constants!$A:$A, Constants!$C:$C, 0), 0) + $M48*IFERROR(XLOOKUP(XLOOKUP('Job Control'!$B$3, INPUT_JobSettings!$A:$A, INPUT_JobSettings!$E:$E, ""), Constants!$A:$A, Constants!$C:$C, 0), 0),0))</f>
        <v/>
      </c>
      <c r="O48" s="6">
        <f>IF($A48="","", SUM($H48:$K48))</f>
        <v/>
      </c>
      <c r="P48" s="6">
        <f>IF($A48="","", $O48/60)</f>
        <v/>
      </c>
      <c r="Q48" s="6">
        <f>IF($A48="","", $P48*IFERROR(IF(XLOOKUP('Job Control'!$B$3, INPUT_JobSettings!$A:$A, INPUT_JobSettings!$F:$F, "")&lt;&gt;"", XLOOKUP('Job Control'!$B$3, INPUT_JobSettings!$A:$A, INPUT_JobSettings!$F:$F, ""), $B$6), $B$6))</f>
        <v/>
      </c>
      <c r="R48" s="6">
        <f>IF($A48="","", ($Q48+$N48)*IFERROR(IF(XLOOKUP('Job Control'!$B$3, INPUT_JobSettings!$A:$A, INPUT_JobSettings!$G:$G, "")&lt;&gt;"", XLOOKUP('Job Control'!$B$3, INPUT_JobSettings!$A:$A, INPUT_JobSettings!$G:$G, ""), $B$7), $B$7))</f>
        <v/>
      </c>
      <c r="S48" s="6">
        <f>IF($A48="","", XLOOKUP($A48, INPUT_Rooms!$B:$B, INPUT_Rooms!$AH:$AH, ""))</f>
        <v/>
      </c>
    </row>
    <row r="49">
      <c r="A49" s="6">
        <f>IFERROR(INDEX(FILTER(INPUT_Rooms!$B$4:$B$83, INPUT_Rooms!$A$4:$A$83=$B$4, INPUT_Rooms!$K$4:$K$83="Y"), 39), "")</f>
        <v/>
      </c>
      <c r="B49" s="6">
        <f>IF(A49="","", XLOOKUP(A49, FILTER(INPUT_Rooms!$B$4:$B$83, INPUT_Rooms!$A$4:$A$83=$B$4), FILTER(INPUT_Rooms!$C$4:$C$83, INPUT_Rooms!$A$4:$A$83=$B$4), ""))</f>
        <v/>
      </c>
      <c r="C49" s="6">
        <f>IF(A49="","", "Y")</f>
        <v/>
      </c>
      <c r="D49" s="6">
        <f>IF(A49="","", XLOOKUP(A49, INPUT_Rooms!$B:$B, INPUT_Rooms!$AD:$AD, ""))</f>
        <v/>
      </c>
      <c r="E49" s="6">
        <f>IF(A49="","", XLOOKUP(A49, INPUT_Rooms!$B:$B, INPUT_Rooms!$L:$L, ""))</f>
        <v/>
      </c>
      <c r="F49" s="6">
        <f>IF(A49="","", XLOOKUP(A49, INPUT_Rooms!$B:$B, INPUT_Rooms!$M:$M, ""))</f>
        <v/>
      </c>
      <c r="G49" s="6">
        <f>IF(A49="","", IF(XLOOKUP(A49, INPUT_Rooms!$B:$B, INPUT_Rooms!$N:$N, "")="", $B$5, XLOOKUP(A49, INPUT_Rooms!$B:$B, INPUT_Rooms!$N:$N, "")))</f>
        <v/>
      </c>
      <c r="H49" s="6">
        <f>IF(A49="","", D49*XLOOKUP("PrepMinsPerSqft",Constants!$A$20:$A$40,Constants!$B$20:$B$40)*XLOOKUP(G49,Constants!$E$10:$E$30,Constants!$F$10:$F$30))</f>
        <v/>
      </c>
      <c r="I49" s="6">
        <f>IF(A49="","", D49*XLOOKUP("PaintMinsPerSqftPerCoat",Constants!$A$20:$A$40,Constants!$B$20:$B$40)*F49)</f>
        <v/>
      </c>
      <c r="J49" s="6">
        <f>IF(A49="","", IF(E49="Full", D49*XLOOKUP("PrimerFullMinsPerSqft",Constants!$A$20:$A$40,Constants!$B$20:$B$40), IF(E49="Spot", D49*XLOOKUP("PrimerFullMinsPerSqft",Constants!$A$20:$A$40,Constants!$B$20:$B$40)*XLOOKUP("PrimerSpotFactor",Constants!$A$20:$A$40,Constants!$B$20:$B$40), 0)))</f>
        <v/>
      </c>
      <c r="K49" s="6">
        <f>IF(A49="","", SUMPRODUCT((INPUT_Openings!$A:$A=$B$4)*(INPUT_Openings!$B:$B=A49)*(INPUT_Openings!$D:$D)*INPUT_Openings!$F:$F))</f>
        <v/>
      </c>
      <c r="L49">
        <f>IF($A49="","",IF($D49="", "",IFERROR(CEILING( ($D49*$F49) / IFERROR(XLOOKUP(XLOOKUP('Job Control'!$B$3, INPUT_JobSettings!$A:$A, INPUT_JobSettings!$B:$B, ""), Constants!$A:$A, Constants!$D:$D, ""), ""), 0.25), "")))</f>
        <v/>
      </c>
      <c r="M49">
        <f>IF($A49="","",IF($E49="None",0,IF($D49="", "",IFERROR(CEILING( ($D49*IF($E49="Full",1, XLOOKUP("PrimerSpotFactor",Constants!$A$10:$A$60,Constants!$B$10:$B$60))) / IFERROR(XLOOKUP(XLOOKUP('Job Control'!$B$3, INPUT_JobSettings!$A:$A, INPUT_JobSettings!$E:$E, ""), Constants!$A:$A, Constants!$D:$D, ""), ""), 0.25), ""))))</f>
        <v/>
      </c>
      <c r="N49">
        <f>IF($A49="","",IFERROR($L49*IFERROR(XLOOKUP(XLOOKUP('Job Control'!$B$3, INPUT_JobSettings!$A:$A, INPUT_JobSettings!$B:$B, ""), Constants!$A:$A, Constants!$C:$C, 0), 0) + $M49*IFERROR(XLOOKUP(XLOOKUP('Job Control'!$B$3, INPUT_JobSettings!$A:$A, INPUT_JobSettings!$E:$E, ""), Constants!$A:$A, Constants!$C:$C, 0), 0),0))</f>
        <v/>
      </c>
      <c r="O49" s="6">
        <f>IF($A49="","", SUM($H49:$K49))</f>
        <v/>
      </c>
      <c r="P49" s="6">
        <f>IF($A49="","", $O49/60)</f>
        <v/>
      </c>
      <c r="Q49" s="6">
        <f>IF($A49="","", $P49*IFERROR(IF(XLOOKUP('Job Control'!$B$3, INPUT_JobSettings!$A:$A, INPUT_JobSettings!$F:$F, "")&lt;&gt;"", XLOOKUP('Job Control'!$B$3, INPUT_JobSettings!$A:$A, INPUT_JobSettings!$F:$F, ""), $B$6), $B$6))</f>
        <v/>
      </c>
      <c r="R49" s="6">
        <f>IF($A49="","", ($Q49+$N49)*IFERROR(IF(XLOOKUP('Job Control'!$B$3, INPUT_JobSettings!$A:$A, INPUT_JobSettings!$G:$G, "")&lt;&gt;"", XLOOKUP('Job Control'!$B$3, INPUT_JobSettings!$A:$A, INPUT_JobSettings!$G:$G, ""), $B$7), $B$7))</f>
        <v/>
      </c>
      <c r="S49" s="6">
        <f>IF($A49="","", XLOOKUP($A49, INPUT_Rooms!$B:$B, INPUT_Rooms!$AH:$AH, ""))</f>
        <v/>
      </c>
    </row>
    <row r="50">
      <c r="A50" s="6">
        <f>IFERROR(INDEX(FILTER(INPUT_Rooms!$B$4:$B$83, INPUT_Rooms!$A$4:$A$83=$B$4, INPUT_Rooms!$K$4:$K$83="Y"), 40), "")</f>
        <v/>
      </c>
      <c r="B50" s="6">
        <f>IF(A50="","", XLOOKUP(A50, FILTER(INPUT_Rooms!$B$4:$B$83, INPUT_Rooms!$A$4:$A$83=$B$4), FILTER(INPUT_Rooms!$C$4:$C$83, INPUT_Rooms!$A$4:$A$83=$B$4), ""))</f>
        <v/>
      </c>
      <c r="C50" s="6">
        <f>IF(A50="","", "Y")</f>
        <v/>
      </c>
      <c r="D50" s="6">
        <f>IF(A50="","", XLOOKUP(A50, INPUT_Rooms!$B:$B, INPUT_Rooms!$AD:$AD, ""))</f>
        <v/>
      </c>
      <c r="E50" s="6">
        <f>IF(A50="","", XLOOKUP(A50, INPUT_Rooms!$B:$B, INPUT_Rooms!$L:$L, ""))</f>
        <v/>
      </c>
      <c r="F50" s="6">
        <f>IF(A50="","", XLOOKUP(A50, INPUT_Rooms!$B:$B, INPUT_Rooms!$M:$M, ""))</f>
        <v/>
      </c>
      <c r="G50" s="6">
        <f>IF(A50="","", IF(XLOOKUP(A50, INPUT_Rooms!$B:$B, INPUT_Rooms!$N:$N, "")="", $B$5, XLOOKUP(A50, INPUT_Rooms!$B:$B, INPUT_Rooms!$N:$N, "")))</f>
        <v/>
      </c>
      <c r="H50" s="6">
        <f>IF(A50="","", D50*XLOOKUP("PrepMinsPerSqft",Constants!$A$20:$A$40,Constants!$B$20:$B$40)*XLOOKUP(G50,Constants!$E$10:$E$30,Constants!$F$10:$F$30))</f>
        <v/>
      </c>
      <c r="I50" s="6">
        <f>IF(A50="","", D50*XLOOKUP("PaintMinsPerSqftPerCoat",Constants!$A$20:$A$40,Constants!$B$20:$B$40)*F50)</f>
        <v/>
      </c>
      <c r="J50" s="6">
        <f>IF(A50="","", IF(E50="Full", D50*XLOOKUP("PrimerFullMinsPerSqft",Constants!$A$20:$A$40,Constants!$B$20:$B$40), IF(E50="Spot", D50*XLOOKUP("PrimerFullMinsPerSqft",Constants!$A$20:$A$40,Constants!$B$20:$B$40)*XLOOKUP("PrimerSpotFactor",Constants!$A$20:$A$40,Constants!$B$20:$B$40), 0)))</f>
        <v/>
      </c>
      <c r="K50" s="6">
        <f>IF(A50="","", SUMPRODUCT((INPUT_Openings!$A:$A=$B$4)*(INPUT_Openings!$B:$B=A50)*(INPUT_Openings!$D:$D)*INPUT_Openings!$F:$F))</f>
        <v/>
      </c>
      <c r="L50">
        <f>IF($A50="","",IF($D50="", "",IFERROR(CEILING( ($D50*$F50) / IFERROR(XLOOKUP(XLOOKUP('Job Control'!$B$3, INPUT_JobSettings!$A:$A, INPUT_JobSettings!$B:$B, ""), Constants!$A:$A, Constants!$D:$D, ""), ""), 0.25), "")))</f>
        <v/>
      </c>
      <c r="M50">
        <f>IF($A50="","",IF($E50="None",0,IF($D50="", "",IFERROR(CEILING( ($D50*IF($E50="Full",1, XLOOKUP("PrimerSpotFactor",Constants!$A$10:$A$60,Constants!$B$10:$B$60))) / IFERROR(XLOOKUP(XLOOKUP('Job Control'!$B$3, INPUT_JobSettings!$A:$A, INPUT_JobSettings!$E:$E, ""), Constants!$A:$A, Constants!$D:$D, ""), ""), 0.25), ""))))</f>
        <v/>
      </c>
      <c r="N50">
        <f>IF($A50="","",IFERROR($L50*IFERROR(XLOOKUP(XLOOKUP('Job Control'!$B$3, INPUT_JobSettings!$A:$A, INPUT_JobSettings!$B:$B, ""), Constants!$A:$A, Constants!$C:$C, 0), 0) + $M50*IFERROR(XLOOKUP(XLOOKUP('Job Control'!$B$3, INPUT_JobSettings!$A:$A, INPUT_JobSettings!$E:$E, ""), Constants!$A:$A, Constants!$C:$C, 0), 0),0))</f>
        <v/>
      </c>
      <c r="O50" s="6">
        <f>IF($A50="","", SUM($H50:$K50))</f>
        <v/>
      </c>
      <c r="P50" s="6">
        <f>IF($A50="","", $O50/60)</f>
        <v/>
      </c>
      <c r="Q50" s="6">
        <f>IF($A50="","", $P50*IFERROR(IF(XLOOKUP('Job Control'!$B$3, INPUT_JobSettings!$A:$A, INPUT_JobSettings!$F:$F, "")&lt;&gt;"", XLOOKUP('Job Control'!$B$3, INPUT_JobSettings!$A:$A, INPUT_JobSettings!$F:$F, ""), $B$6), $B$6))</f>
        <v/>
      </c>
      <c r="R50" s="6">
        <f>IF($A50="","", ($Q50+$N50)*IFERROR(IF(XLOOKUP('Job Control'!$B$3, INPUT_JobSettings!$A:$A, INPUT_JobSettings!$G:$G, "")&lt;&gt;"", XLOOKUP('Job Control'!$B$3, INPUT_JobSettings!$A:$A, INPUT_JobSettings!$G:$G, ""), $B$7), $B$7))</f>
        <v/>
      </c>
      <c r="S50" s="6">
        <f>IF($A50="","", XLOOKUP($A50, INPUT_Rooms!$B:$B, INPUT_Rooms!$AH:$AH, ""))</f>
        <v/>
      </c>
    </row>
    <row r="51">
      <c r="A51" s="6">
        <f>IFERROR(INDEX(FILTER(INPUT_Rooms!$B$4:$B$83, INPUT_Rooms!$A$4:$A$83=$B$4, INPUT_Rooms!$K$4:$K$83="Y"), 41), "")</f>
        <v/>
      </c>
      <c r="B51" s="6">
        <f>IF(A51="","", XLOOKUP(A51, FILTER(INPUT_Rooms!$B$4:$B$83, INPUT_Rooms!$A$4:$A$83=$B$4), FILTER(INPUT_Rooms!$C$4:$C$83, INPUT_Rooms!$A$4:$A$83=$B$4), ""))</f>
        <v/>
      </c>
      <c r="C51" s="6">
        <f>IF(A51="","", "Y")</f>
        <v/>
      </c>
      <c r="D51" s="6">
        <f>IF(A51="","", XLOOKUP(A51, INPUT_Rooms!$B:$B, INPUT_Rooms!$AD:$AD, ""))</f>
        <v/>
      </c>
      <c r="E51" s="6">
        <f>IF(A51="","", XLOOKUP(A51, INPUT_Rooms!$B:$B, INPUT_Rooms!$L:$L, ""))</f>
        <v/>
      </c>
      <c r="F51" s="6">
        <f>IF(A51="","", XLOOKUP(A51, INPUT_Rooms!$B:$B, INPUT_Rooms!$M:$M, ""))</f>
        <v/>
      </c>
      <c r="G51" s="6">
        <f>IF(A51="","", IF(XLOOKUP(A51, INPUT_Rooms!$B:$B, INPUT_Rooms!$N:$N, "")="", $B$5, XLOOKUP(A51, INPUT_Rooms!$B:$B, INPUT_Rooms!$N:$N, "")))</f>
        <v/>
      </c>
      <c r="H51" s="6">
        <f>IF(A51="","", D51*XLOOKUP("PrepMinsPerSqft",Constants!$A$20:$A$40,Constants!$B$20:$B$40)*XLOOKUP(G51,Constants!$E$10:$E$30,Constants!$F$10:$F$30))</f>
        <v/>
      </c>
      <c r="I51" s="6">
        <f>IF(A51="","", D51*XLOOKUP("PaintMinsPerSqftPerCoat",Constants!$A$20:$A$40,Constants!$B$20:$B$40)*F51)</f>
        <v/>
      </c>
      <c r="J51" s="6">
        <f>IF(A51="","", IF(E51="Full", D51*XLOOKUP("PrimerFullMinsPerSqft",Constants!$A$20:$A$40,Constants!$B$20:$B$40), IF(E51="Spot", D51*XLOOKUP("PrimerFullMinsPerSqft",Constants!$A$20:$A$40,Constants!$B$20:$B$40)*XLOOKUP("PrimerSpotFactor",Constants!$A$20:$A$40,Constants!$B$20:$B$40), 0)))</f>
        <v/>
      </c>
      <c r="K51" s="6">
        <f>IF(A51="","", SUMPRODUCT((INPUT_Openings!$A:$A=$B$4)*(INPUT_Openings!$B:$B=A51)*(INPUT_Openings!$D:$D)*INPUT_Openings!$F:$F))</f>
        <v/>
      </c>
      <c r="L51">
        <f>IF($A51="","",IF($D51="", "",IFERROR(CEILING( ($D51*$F51) / IFERROR(XLOOKUP(XLOOKUP('Job Control'!$B$3, INPUT_JobSettings!$A:$A, INPUT_JobSettings!$B:$B, ""), Constants!$A:$A, Constants!$D:$D, ""), ""), 0.25), "")))</f>
        <v/>
      </c>
      <c r="M51">
        <f>IF($A51="","",IF($E51="None",0,IF($D51="", "",IFERROR(CEILING( ($D51*IF($E51="Full",1, XLOOKUP("PrimerSpotFactor",Constants!$A$10:$A$60,Constants!$B$10:$B$60))) / IFERROR(XLOOKUP(XLOOKUP('Job Control'!$B$3, INPUT_JobSettings!$A:$A, INPUT_JobSettings!$E:$E, ""), Constants!$A:$A, Constants!$D:$D, ""), ""), 0.25), ""))))</f>
        <v/>
      </c>
      <c r="N51">
        <f>IF($A51="","",IFERROR($L51*IFERROR(XLOOKUP(XLOOKUP('Job Control'!$B$3, INPUT_JobSettings!$A:$A, INPUT_JobSettings!$B:$B, ""), Constants!$A:$A, Constants!$C:$C, 0), 0) + $M51*IFERROR(XLOOKUP(XLOOKUP('Job Control'!$B$3, INPUT_JobSettings!$A:$A, INPUT_JobSettings!$E:$E, ""), Constants!$A:$A, Constants!$C:$C, 0), 0),0))</f>
        <v/>
      </c>
      <c r="O51" s="6">
        <f>IF($A51="","", SUM($H51:$K51))</f>
        <v/>
      </c>
      <c r="P51" s="6">
        <f>IF($A51="","", $O51/60)</f>
        <v/>
      </c>
      <c r="Q51" s="6">
        <f>IF($A51="","", $P51*IFERROR(IF(XLOOKUP('Job Control'!$B$3, INPUT_JobSettings!$A:$A, INPUT_JobSettings!$F:$F, "")&lt;&gt;"", XLOOKUP('Job Control'!$B$3, INPUT_JobSettings!$A:$A, INPUT_JobSettings!$F:$F, ""), $B$6), $B$6))</f>
        <v/>
      </c>
      <c r="R51" s="6">
        <f>IF($A51="","", ($Q51+$N51)*IFERROR(IF(XLOOKUP('Job Control'!$B$3, INPUT_JobSettings!$A:$A, INPUT_JobSettings!$G:$G, "")&lt;&gt;"", XLOOKUP('Job Control'!$B$3, INPUT_JobSettings!$A:$A, INPUT_JobSettings!$G:$G, ""), $B$7), $B$7))</f>
        <v/>
      </c>
      <c r="S51" s="6">
        <f>IF($A51="","", XLOOKUP($A51, INPUT_Rooms!$B:$B, INPUT_Rooms!$AH:$AH, ""))</f>
        <v/>
      </c>
    </row>
    <row r="52">
      <c r="A52" s="6">
        <f>IFERROR(INDEX(FILTER(INPUT_Rooms!$B$4:$B$83, INPUT_Rooms!$A$4:$A$83=$B$4, INPUT_Rooms!$K$4:$K$83="Y"), 42), "")</f>
        <v/>
      </c>
      <c r="B52" s="6">
        <f>IF(A52="","", XLOOKUP(A52, FILTER(INPUT_Rooms!$B$4:$B$83, INPUT_Rooms!$A$4:$A$83=$B$4), FILTER(INPUT_Rooms!$C$4:$C$83, INPUT_Rooms!$A$4:$A$83=$B$4), ""))</f>
        <v/>
      </c>
      <c r="C52" s="6">
        <f>IF(A52="","", "Y")</f>
        <v/>
      </c>
      <c r="D52" s="6">
        <f>IF(A52="","", XLOOKUP(A52, INPUT_Rooms!$B:$B, INPUT_Rooms!$AD:$AD, ""))</f>
        <v/>
      </c>
      <c r="E52" s="6">
        <f>IF(A52="","", XLOOKUP(A52, INPUT_Rooms!$B:$B, INPUT_Rooms!$L:$L, ""))</f>
        <v/>
      </c>
      <c r="F52" s="6">
        <f>IF(A52="","", XLOOKUP(A52, INPUT_Rooms!$B:$B, INPUT_Rooms!$M:$M, ""))</f>
        <v/>
      </c>
      <c r="G52" s="6">
        <f>IF(A52="","", IF(XLOOKUP(A52, INPUT_Rooms!$B:$B, INPUT_Rooms!$N:$N, "")="", $B$5, XLOOKUP(A52, INPUT_Rooms!$B:$B, INPUT_Rooms!$N:$N, "")))</f>
        <v/>
      </c>
      <c r="H52" s="6">
        <f>IF(A52="","", D52*XLOOKUP("PrepMinsPerSqft",Constants!$A$20:$A$40,Constants!$B$20:$B$40)*XLOOKUP(G52,Constants!$E$10:$E$30,Constants!$F$10:$F$30))</f>
        <v/>
      </c>
      <c r="I52" s="6">
        <f>IF(A52="","", D52*XLOOKUP("PaintMinsPerSqftPerCoat",Constants!$A$20:$A$40,Constants!$B$20:$B$40)*F52)</f>
        <v/>
      </c>
      <c r="J52" s="6">
        <f>IF(A52="","", IF(E52="Full", D52*XLOOKUP("PrimerFullMinsPerSqft",Constants!$A$20:$A$40,Constants!$B$20:$B$40), IF(E52="Spot", D52*XLOOKUP("PrimerFullMinsPerSqft",Constants!$A$20:$A$40,Constants!$B$20:$B$40)*XLOOKUP("PrimerSpotFactor",Constants!$A$20:$A$40,Constants!$B$20:$B$40), 0)))</f>
        <v/>
      </c>
      <c r="K52" s="6">
        <f>IF(A52="","", SUMPRODUCT((INPUT_Openings!$A:$A=$B$4)*(INPUT_Openings!$B:$B=A52)*(INPUT_Openings!$D:$D)*INPUT_Openings!$F:$F))</f>
        <v/>
      </c>
      <c r="L52">
        <f>IF($A52="","",IF($D52="", "",IFERROR(CEILING( ($D52*$F52) / IFERROR(XLOOKUP(XLOOKUP('Job Control'!$B$3, INPUT_JobSettings!$A:$A, INPUT_JobSettings!$B:$B, ""), Constants!$A:$A, Constants!$D:$D, ""), ""), 0.25), "")))</f>
        <v/>
      </c>
      <c r="M52">
        <f>IF($A52="","",IF($E52="None",0,IF($D52="", "",IFERROR(CEILING( ($D52*IF($E52="Full",1, XLOOKUP("PrimerSpotFactor",Constants!$A$10:$A$60,Constants!$B$10:$B$60))) / IFERROR(XLOOKUP(XLOOKUP('Job Control'!$B$3, INPUT_JobSettings!$A:$A, INPUT_JobSettings!$E:$E, ""), Constants!$A:$A, Constants!$D:$D, ""), ""), 0.25), ""))))</f>
        <v/>
      </c>
      <c r="N52">
        <f>IF($A52="","",IFERROR($L52*IFERROR(XLOOKUP(XLOOKUP('Job Control'!$B$3, INPUT_JobSettings!$A:$A, INPUT_JobSettings!$B:$B, ""), Constants!$A:$A, Constants!$C:$C, 0), 0) + $M52*IFERROR(XLOOKUP(XLOOKUP('Job Control'!$B$3, INPUT_JobSettings!$A:$A, INPUT_JobSettings!$E:$E, ""), Constants!$A:$A, Constants!$C:$C, 0), 0),0))</f>
        <v/>
      </c>
      <c r="O52" s="6">
        <f>IF($A52="","", SUM($H52:$K52))</f>
        <v/>
      </c>
      <c r="P52" s="6">
        <f>IF($A52="","", $O52/60)</f>
        <v/>
      </c>
      <c r="Q52" s="6">
        <f>IF($A52="","", $P52*IFERROR(IF(XLOOKUP('Job Control'!$B$3, INPUT_JobSettings!$A:$A, INPUT_JobSettings!$F:$F, "")&lt;&gt;"", XLOOKUP('Job Control'!$B$3, INPUT_JobSettings!$A:$A, INPUT_JobSettings!$F:$F, ""), $B$6), $B$6))</f>
        <v/>
      </c>
      <c r="R52" s="6">
        <f>IF($A52="","", ($Q52+$N52)*IFERROR(IF(XLOOKUP('Job Control'!$B$3, INPUT_JobSettings!$A:$A, INPUT_JobSettings!$G:$G, "")&lt;&gt;"", XLOOKUP('Job Control'!$B$3, INPUT_JobSettings!$A:$A, INPUT_JobSettings!$G:$G, ""), $B$7), $B$7))</f>
        <v/>
      </c>
      <c r="S52" s="6">
        <f>IF($A52="","", XLOOKUP($A52, INPUT_Rooms!$B:$B, INPUT_Rooms!$AH:$AH, ""))</f>
        <v/>
      </c>
    </row>
    <row r="53">
      <c r="A53" s="6">
        <f>IFERROR(INDEX(FILTER(INPUT_Rooms!$B$4:$B$83, INPUT_Rooms!$A$4:$A$83=$B$4, INPUT_Rooms!$K$4:$K$83="Y"), 43), "")</f>
        <v/>
      </c>
      <c r="B53" s="6">
        <f>IF(A53="","", XLOOKUP(A53, FILTER(INPUT_Rooms!$B$4:$B$83, INPUT_Rooms!$A$4:$A$83=$B$4), FILTER(INPUT_Rooms!$C$4:$C$83, INPUT_Rooms!$A$4:$A$83=$B$4), ""))</f>
        <v/>
      </c>
      <c r="C53" s="6">
        <f>IF(A53="","", "Y")</f>
        <v/>
      </c>
      <c r="D53" s="6">
        <f>IF(A53="","", XLOOKUP(A53, INPUT_Rooms!$B:$B, INPUT_Rooms!$AD:$AD, ""))</f>
        <v/>
      </c>
      <c r="E53" s="6">
        <f>IF(A53="","", XLOOKUP(A53, INPUT_Rooms!$B:$B, INPUT_Rooms!$L:$L, ""))</f>
        <v/>
      </c>
      <c r="F53" s="6">
        <f>IF(A53="","", XLOOKUP(A53, INPUT_Rooms!$B:$B, INPUT_Rooms!$M:$M, ""))</f>
        <v/>
      </c>
      <c r="G53" s="6">
        <f>IF(A53="","", IF(XLOOKUP(A53, INPUT_Rooms!$B:$B, INPUT_Rooms!$N:$N, "")="", $B$5, XLOOKUP(A53, INPUT_Rooms!$B:$B, INPUT_Rooms!$N:$N, "")))</f>
        <v/>
      </c>
      <c r="H53" s="6">
        <f>IF(A53="","", D53*XLOOKUP("PrepMinsPerSqft",Constants!$A$20:$A$40,Constants!$B$20:$B$40)*XLOOKUP(G53,Constants!$E$10:$E$30,Constants!$F$10:$F$30))</f>
        <v/>
      </c>
      <c r="I53" s="6">
        <f>IF(A53="","", D53*XLOOKUP("PaintMinsPerSqftPerCoat",Constants!$A$20:$A$40,Constants!$B$20:$B$40)*F53)</f>
        <v/>
      </c>
      <c r="J53" s="6">
        <f>IF(A53="","", IF(E53="Full", D53*XLOOKUP("PrimerFullMinsPerSqft",Constants!$A$20:$A$40,Constants!$B$20:$B$40), IF(E53="Spot", D53*XLOOKUP("PrimerFullMinsPerSqft",Constants!$A$20:$A$40,Constants!$B$20:$B$40)*XLOOKUP("PrimerSpotFactor",Constants!$A$20:$A$40,Constants!$B$20:$B$40), 0)))</f>
        <v/>
      </c>
      <c r="K53" s="6">
        <f>IF(A53="","", SUMPRODUCT((INPUT_Openings!$A:$A=$B$4)*(INPUT_Openings!$B:$B=A53)*(INPUT_Openings!$D:$D)*INPUT_Openings!$F:$F))</f>
        <v/>
      </c>
      <c r="L53">
        <f>IF($A53="","",IF($D53="", "",IFERROR(CEILING( ($D53*$F53) / IFERROR(XLOOKUP(XLOOKUP('Job Control'!$B$3, INPUT_JobSettings!$A:$A, INPUT_JobSettings!$B:$B, ""), Constants!$A:$A, Constants!$D:$D, ""), ""), 0.25), "")))</f>
        <v/>
      </c>
      <c r="M53">
        <f>IF($A53="","",IF($E53="None",0,IF($D53="", "",IFERROR(CEILING( ($D53*IF($E53="Full",1, XLOOKUP("PrimerSpotFactor",Constants!$A$10:$A$60,Constants!$B$10:$B$60))) / IFERROR(XLOOKUP(XLOOKUP('Job Control'!$B$3, INPUT_JobSettings!$A:$A, INPUT_JobSettings!$E:$E, ""), Constants!$A:$A, Constants!$D:$D, ""), ""), 0.25), ""))))</f>
        <v/>
      </c>
      <c r="N53">
        <f>IF($A53="","",IFERROR($L53*IFERROR(XLOOKUP(XLOOKUP('Job Control'!$B$3, INPUT_JobSettings!$A:$A, INPUT_JobSettings!$B:$B, ""), Constants!$A:$A, Constants!$C:$C, 0), 0) + $M53*IFERROR(XLOOKUP(XLOOKUP('Job Control'!$B$3, INPUT_JobSettings!$A:$A, INPUT_JobSettings!$E:$E, ""), Constants!$A:$A, Constants!$C:$C, 0), 0),0))</f>
        <v/>
      </c>
      <c r="O53" s="6">
        <f>IF($A53="","", SUM($H53:$K53))</f>
        <v/>
      </c>
      <c r="P53" s="6">
        <f>IF($A53="","", $O53/60)</f>
        <v/>
      </c>
      <c r="Q53" s="6">
        <f>IF($A53="","", $P53*IFERROR(IF(XLOOKUP('Job Control'!$B$3, INPUT_JobSettings!$A:$A, INPUT_JobSettings!$F:$F, "")&lt;&gt;"", XLOOKUP('Job Control'!$B$3, INPUT_JobSettings!$A:$A, INPUT_JobSettings!$F:$F, ""), $B$6), $B$6))</f>
        <v/>
      </c>
      <c r="R53" s="6">
        <f>IF($A53="","", ($Q53+$N53)*IFERROR(IF(XLOOKUP('Job Control'!$B$3, INPUT_JobSettings!$A:$A, INPUT_JobSettings!$G:$G, "")&lt;&gt;"", XLOOKUP('Job Control'!$B$3, INPUT_JobSettings!$A:$A, INPUT_JobSettings!$G:$G, ""), $B$7), $B$7))</f>
        <v/>
      </c>
      <c r="S53" s="6">
        <f>IF($A53="","", XLOOKUP($A53, INPUT_Rooms!$B:$B, INPUT_Rooms!$AH:$AH, ""))</f>
        <v/>
      </c>
    </row>
    <row r="54">
      <c r="A54" s="6">
        <f>IFERROR(INDEX(FILTER(INPUT_Rooms!$B$4:$B$83, INPUT_Rooms!$A$4:$A$83=$B$4, INPUT_Rooms!$K$4:$K$83="Y"), 44), "")</f>
        <v/>
      </c>
      <c r="B54" s="6">
        <f>IF(A54="","", XLOOKUP(A54, FILTER(INPUT_Rooms!$B$4:$B$83, INPUT_Rooms!$A$4:$A$83=$B$4), FILTER(INPUT_Rooms!$C$4:$C$83, INPUT_Rooms!$A$4:$A$83=$B$4), ""))</f>
        <v/>
      </c>
      <c r="C54" s="6">
        <f>IF(A54="","", "Y")</f>
        <v/>
      </c>
      <c r="D54" s="6">
        <f>IF(A54="","", XLOOKUP(A54, INPUT_Rooms!$B:$B, INPUT_Rooms!$AD:$AD, ""))</f>
        <v/>
      </c>
      <c r="E54" s="6">
        <f>IF(A54="","", XLOOKUP(A54, INPUT_Rooms!$B:$B, INPUT_Rooms!$L:$L, ""))</f>
        <v/>
      </c>
      <c r="F54" s="6">
        <f>IF(A54="","", XLOOKUP(A54, INPUT_Rooms!$B:$B, INPUT_Rooms!$M:$M, ""))</f>
        <v/>
      </c>
      <c r="G54" s="6">
        <f>IF(A54="","", IF(XLOOKUP(A54, INPUT_Rooms!$B:$B, INPUT_Rooms!$N:$N, "")="", $B$5, XLOOKUP(A54, INPUT_Rooms!$B:$B, INPUT_Rooms!$N:$N, "")))</f>
        <v/>
      </c>
      <c r="H54" s="6">
        <f>IF(A54="","", D54*XLOOKUP("PrepMinsPerSqft",Constants!$A$20:$A$40,Constants!$B$20:$B$40)*XLOOKUP(G54,Constants!$E$10:$E$30,Constants!$F$10:$F$30))</f>
        <v/>
      </c>
      <c r="I54" s="6">
        <f>IF(A54="","", D54*XLOOKUP("PaintMinsPerSqftPerCoat",Constants!$A$20:$A$40,Constants!$B$20:$B$40)*F54)</f>
        <v/>
      </c>
      <c r="J54" s="6">
        <f>IF(A54="","", IF(E54="Full", D54*XLOOKUP("PrimerFullMinsPerSqft",Constants!$A$20:$A$40,Constants!$B$20:$B$40), IF(E54="Spot", D54*XLOOKUP("PrimerFullMinsPerSqft",Constants!$A$20:$A$40,Constants!$B$20:$B$40)*XLOOKUP("PrimerSpotFactor",Constants!$A$20:$A$40,Constants!$B$20:$B$40), 0)))</f>
        <v/>
      </c>
      <c r="K54" s="6">
        <f>IF(A54="","", SUMPRODUCT((INPUT_Openings!$A:$A=$B$4)*(INPUT_Openings!$B:$B=A54)*(INPUT_Openings!$D:$D)*INPUT_Openings!$F:$F))</f>
        <v/>
      </c>
      <c r="L54">
        <f>IF($A54="","",IF($D54="", "",IFERROR(CEILING( ($D54*$F54) / IFERROR(XLOOKUP(XLOOKUP('Job Control'!$B$3, INPUT_JobSettings!$A:$A, INPUT_JobSettings!$B:$B, ""), Constants!$A:$A, Constants!$D:$D, ""), ""), 0.25), "")))</f>
        <v/>
      </c>
      <c r="M54">
        <f>IF($A54="","",IF($E54="None",0,IF($D54="", "",IFERROR(CEILING( ($D54*IF($E54="Full",1, XLOOKUP("PrimerSpotFactor",Constants!$A$10:$A$60,Constants!$B$10:$B$60))) / IFERROR(XLOOKUP(XLOOKUP('Job Control'!$B$3, INPUT_JobSettings!$A:$A, INPUT_JobSettings!$E:$E, ""), Constants!$A:$A, Constants!$D:$D, ""), ""), 0.25), ""))))</f>
        <v/>
      </c>
      <c r="N54">
        <f>IF($A54="","",IFERROR($L54*IFERROR(XLOOKUP(XLOOKUP('Job Control'!$B$3, INPUT_JobSettings!$A:$A, INPUT_JobSettings!$B:$B, ""), Constants!$A:$A, Constants!$C:$C, 0), 0) + $M54*IFERROR(XLOOKUP(XLOOKUP('Job Control'!$B$3, INPUT_JobSettings!$A:$A, INPUT_JobSettings!$E:$E, ""), Constants!$A:$A, Constants!$C:$C, 0), 0),0))</f>
        <v/>
      </c>
      <c r="O54" s="6">
        <f>IF($A54="","", SUM($H54:$K54))</f>
        <v/>
      </c>
      <c r="P54" s="6">
        <f>IF($A54="","", $O54/60)</f>
        <v/>
      </c>
      <c r="Q54" s="6">
        <f>IF($A54="","", $P54*IFERROR(IF(XLOOKUP('Job Control'!$B$3, INPUT_JobSettings!$A:$A, INPUT_JobSettings!$F:$F, "")&lt;&gt;"", XLOOKUP('Job Control'!$B$3, INPUT_JobSettings!$A:$A, INPUT_JobSettings!$F:$F, ""), $B$6), $B$6))</f>
        <v/>
      </c>
      <c r="R54" s="6">
        <f>IF($A54="","", ($Q54+$N54)*IFERROR(IF(XLOOKUP('Job Control'!$B$3, INPUT_JobSettings!$A:$A, INPUT_JobSettings!$G:$G, "")&lt;&gt;"", XLOOKUP('Job Control'!$B$3, INPUT_JobSettings!$A:$A, INPUT_JobSettings!$G:$G, ""), $B$7), $B$7))</f>
        <v/>
      </c>
      <c r="S54" s="6">
        <f>IF($A54="","", XLOOKUP($A54, INPUT_Rooms!$B:$B, INPUT_Rooms!$AH:$AH, ""))</f>
        <v/>
      </c>
    </row>
    <row r="55">
      <c r="A55" s="6">
        <f>IFERROR(INDEX(FILTER(INPUT_Rooms!$B$4:$B$83, INPUT_Rooms!$A$4:$A$83=$B$4, INPUT_Rooms!$K$4:$K$83="Y"), 45), "")</f>
        <v/>
      </c>
      <c r="B55" s="6">
        <f>IF(A55="","", XLOOKUP(A55, FILTER(INPUT_Rooms!$B$4:$B$83, INPUT_Rooms!$A$4:$A$83=$B$4), FILTER(INPUT_Rooms!$C$4:$C$83, INPUT_Rooms!$A$4:$A$83=$B$4), ""))</f>
        <v/>
      </c>
      <c r="C55" s="6">
        <f>IF(A55="","", "Y")</f>
        <v/>
      </c>
      <c r="D55" s="6">
        <f>IF(A55="","", XLOOKUP(A55, INPUT_Rooms!$B:$B, INPUT_Rooms!$AD:$AD, ""))</f>
        <v/>
      </c>
      <c r="E55" s="6">
        <f>IF(A55="","", XLOOKUP(A55, INPUT_Rooms!$B:$B, INPUT_Rooms!$L:$L, ""))</f>
        <v/>
      </c>
      <c r="F55" s="6">
        <f>IF(A55="","", XLOOKUP(A55, INPUT_Rooms!$B:$B, INPUT_Rooms!$M:$M, ""))</f>
        <v/>
      </c>
      <c r="G55" s="6">
        <f>IF(A55="","", IF(XLOOKUP(A55, INPUT_Rooms!$B:$B, INPUT_Rooms!$N:$N, "")="", $B$5, XLOOKUP(A55, INPUT_Rooms!$B:$B, INPUT_Rooms!$N:$N, "")))</f>
        <v/>
      </c>
      <c r="H55" s="6">
        <f>IF(A55="","", D55*XLOOKUP("PrepMinsPerSqft",Constants!$A$20:$A$40,Constants!$B$20:$B$40)*XLOOKUP(G55,Constants!$E$10:$E$30,Constants!$F$10:$F$30))</f>
        <v/>
      </c>
      <c r="I55" s="6">
        <f>IF(A55="","", D55*XLOOKUP("PaintMinsPerSqftPerCoat",Constants!$A$20:$A$40,Constants!$B$20:$B$40)*F55)</f>
        <v/>
      </c>
      <c r="J55" s="6">
        <f>IF(A55="","", IF(E55="Full", D55*XLOOKUP("PrimerFullMinsPerSqft",Constants!$A$20:$A$40,Constants!$B$20:$B$40), IF(E55="Spot", D55*XLOOKUP("PrimerFullMinsPerSqft",Constants!$A$20:$A$40,Constants!$B$20:$B$40)*XLOOKUP("PrimerSpotFactor",Constants!$A$20:$A$40,Constants!$B$20:$B$40), 0)))</f>
        <v/>
      </c>
      <c r="K55" s="6">
        <f>IF(A55="","", SUMPRODUCT((INPUT_Openings!$A:$A=$B$4)*(INPUT_Openings!$B:$B=A55)*(INPUT_Openings!$D:$D)*INPUT_Openings!$F:$F))</f>
        <v/>
      </c>
      <c r="L55">
        <f>IF($A55="","",IF($D55="", "",IFERROR(CEILING( ($D55*$F55) / IFERROR(XLOOKUP(XLOOKUP('Job Control'!$B$3, INPUT_JobSettings!$A:$A, INPUT_JobSettings!$B:$B, ""), Constants!$A:$A, Constants!$D:$D, ""), ""), 0.25), "")))</f>
        <v/>
      </c>
      <c r="M55">
        <f>IF($A55="","",IF($E55="None",0,IF($D55="", "",IFERROR(CEILING( ($D55*IF($E55="Full",1, XLOOKUP("PrimerSpotFactor",Constants!$A$10:$A$60,Constants!$B$10:$B$60))) / IFERROR(XLOOKUP(XLOOKUP('Job Control'!$B$3, INPUT_JobSettings!$A:$A, INPUT_JobSettings!$E:$E, ""), Constants!$A:$A, Constants!$D:$D, ""), ""), 0.25), ""))))</f>
        <v/>
      </c>
      <c r="N55">
        <f>IF($A55="","",IFERROR($L55*IFERROR(XLOOKUP(XLOOKUP('Job Control'!$B$3, INPUT_JobSettings!$A:$A, INPUT_JobSettings!$B:$B, ""), Constants!$A:$A, Constants!$C:$C, 0), 0) + $M55*IFERROR(XLOOKUP(XLOOKUP('Job Control'!$B$3, INPUT_JobSettings!$A:$A, INPUT_JobSettings!$E:$E, ""), Constants!$A:$A, Constants!$C:$C, 0), 0),0))</f>
        <v/>
      </c>
      <c r="O55" s="6">
        <f>IF($A55="","", SUM($H55:$K55))</f>
        <v/>
      </c>
      <c r="P55" s="6">
        <f>IF($A55="","", $O55/60)</f>
        <v/>
      </c>
      <c r="Q55" s="6">
        <f>IF($A55="","", $P55*IFERROR(IF(XLOOKUP('Job Control'!$B$3, INPUT_JobSettings!$A:$A, INPUT_JobSettings!$F:$F, "")&lt;&gt;"", XLOOKUP('Job Control'!$B$3, INPUT_JobSettings!$A:$A, INPUT_JobSettings!$F:$F, ""), $B$6), $B$6))</f>
        <v/>
      </c>
      <c r="R55" s="6">
        <f>IF($A55="","", ($Q55+$N55)*IFERROR(IF(XLOOKUP('Job Control'!$B$3, INPUT_JobSettings!$A:$A, INPUT_JobSettings!$G:$G, "")&lt;&gt;"", XLOOKUP('Job Control'!$B$3, INPUT_JobSettings!$A:$A, INPUT_JobSettings!$G:$G, ""), $B$7), $B$7))</f>
        <v/>
      </c>
      <c r="S55" s="6">
        <f>IF($A55="","", XLOOKUP($A55, INPUT_Rooms!$B:$B, INPUT_Rooms!$AH:$AH, ""))</f>
        <v/>
      </c>
    </row>
    <row r="56">
      <c r="A56" s="6">
        <f>IFERROR(INDEX(FILTER(INPUT_Rooms!$B$4:$B$83, INPUT_Rooms!$A$4:$A$83=$B$4, INPUT_Rooms!$K$4:$K$83="Y"), 46), "")</f>
        <v/>
      </c>
      <c r="B56" s="6">
        <f>IF(A56="","", XLOOKUP(A56, FILTER(INPUT_Rooms!$B$4:$B$83, INPUT_Rooms!$A$4:$A$83=$B$4), FILTER(INPUT_Rooms!$C$4:$C$83, INPUT_Rooms!$A$4:$A$83=$B$4), ""))</f>
        <v/>
      </c>
      <c r="C56" s="6">
        <f>IF(A56="","", "Y")</f>
        <v/>
      </c>
      <c r="D56" s="6">
        <f>IF(A56="","", XLOOKUP(A56, INPUT_Rooms!$B:$B, INPUT_Rooms!$AD:$AD, ""))</f>
        <v/>
      </c>
      <c r="E56" s="6">
        <f>IF(A56="","", XLOOKUP(A56, INPUT_Rooms!$B:$B, INPUT_Rooms!$L:$L, ""))</f>
        <v/>
      </c>
      <c r="F56" s="6">
        <f>IF(A56="","", XLOOKUP(A56, INPUT_Rooms!$B:$B, INPUT_Rooms!$M:$M, ""))</f>
        <v/>
      </c>
      <c r="G56" s="6">
        <f>IF(A56="","", IF(XLOOKUP(A56, INPUT_Rooms!$B:$B, INPUT_Rooms!$N:$N, "")="", $B$5, XLOOKUP(A56, INPUT_Rooms!$B:$B, INPUT_Rooms!$N:$N, "")))</f>
        <v/>
      </c>
      <c r="H56" s="6">
        <f>IF(A56="","", D56*XLOOKUP("PrepMinsPerSqft",Constants!$A$20:$A$40,Constants!$B$20:$B$40)*XLOOKUP(G56,Constants!$E$10:$E$30,Constants!$F$10:$F$30))</f>
        <v/>
      </c>
      <c r="I56" s="6">
        <f>IF(A56="","", D56*XLOOKUP("PaintMinsPerSqftPerCoat",Constants!$A$20:$A$40,Constants!$B$20:$B$40)*F56)</f>
        <v/>
      </c>
      <c r="J56" s="6">
        <f>IF(A56="","", IF(E56="Full", D56*XLOOKUP("PrimerFullMinsPerSqft",Constants!$A$20:$A$40,Constants!$B$20:$B$40), IF(E56="Spot", D56*XLOOKUP("PrimerFullMinsPerSqft",Constants!$A$20:$A$40,Constants!$B$20:$B$40)*XLOOKUP("PrimerSpotFactor",Constants!$A$20:$A$40,Constants!$B$20:$B$40), 0)))</f>
        <v/>
      </c>
      <c r="K56" s="6">
        <f>IF(A56="","", SUMPRODUCT((INPUT_Openings!$A:$A=$B$4)*(INPUT_Openings!$B:$B=A56)*(INPUT_Openings!$D:$D)*INPUT_Openings!$F:$F))</f>
        <v/>
      </c>
      <c r="L56">
        <f>IF($A56="","",IF($D56="", "",IFERROR(CEILING( ($D56*$F56) / IFERROR(XLOOKUP(XLOOKUP('Job Control'!$B$3, INPUT_JobSettings!$A:$A, INPUT_JobSettings!$B:$B, ""), Constants!$A:$A, Constants!$D:$D, ""), ""), 0.25), "")))</f>
        <v/>
      </c>
      <c r="M56">
        <f>IF($A56="","",IF($E56="None",0,IF($D56="", "",IFERROR(CEILING( ($D56*IF($E56="Full",1, XLOOKUP("PrimerSpotFactor",Constants!$A$10:$A$60,Constants!$B$10:$B$60))) / IFERROR(XLOOKUP(XLOOKUP('Job Control'!$B$3, INPUT_JobSettings!$A:$A, INPUT_JobSettings!$E:$E, ""), Constants!$A:$A, Constants!$D:$D, ""), ""), 0.25), ""))))</f>
        <v/>
      </c>
      <c r="N56">
        <f>IF($A56="","",IFERROR($L56*IFERROR(XLOOKUP(XLOOKUP('Job Control'!$B$3, INPUT_JobSettings!$A:$A, INPUT_JobSettings!$B:$B, ""), Constants!$A:$A, Constants!$C:$C, 0), 0) + $M56*IFERROR(XLOOKUP(XLOOKUP('Job Control'!$B$3, INPUT_JobSettings!$A:$A, INPUT_JobSettings!$E:$E, ""), Constants!$A:$A, Constants!$C:$C, 0), 0),0))</f>
        <v/>
      </c>
      <c r="O56" s="6">
        <f>IF($A56="","", SUM($H56:$K56))</f>
        <v/>
      </c>
      <c r="P56" s="6">
        <f>IF($A56="","", $O56/60)</f>
        <v/>
      </c>
      <c r="Q56" s="6">
        <f>IF($A56="","", $P56*IFERROR(IF(XLOOKUP('Job Control'!$B$3, INPUT_JobSettings!$A:$A, INPUT_JobSettings!$F:$F, "")&lt;&gt;"", XLOOKUP('Job Control'!$B$3, INPUT_JobSettings!$A:$A, INPUT_JobSettings!$F:$F, ""), $B$6), $B$6))</f>
        <v/>
      </c>
      <c r="R56" s="6">
        <f>IF($A56="","", ($Q56+$N56)*IFERROR(IF(XLOOKUP('Job Control'!$B$3, INPUT_JobSettings!$A:$A, INPUT_JobSettings!$G:$G, "")&lt;&gt;"", XLOOKUP('Job Control'!$B$3, INPUT_JobSettings!$A:$A, INPUT_JobSettings!$G:$G, ""), $B$7), $B$7))</f>
        <v/>
      </c>
      <c r="S56" s="6">
        <f>IF($A56="","", XLOOKUP($A56, INPUT_Rooms!$B:$B, INPUT_Rooms!$AH:$AH, ""))</f>
        <v/>
      </c>
    </row>
    <row r="57">
      <c r="A57" s="6">
        <f>IFERROR(INDEX(FILTER(INPUT_Rooms!$B$4:$B$83, INPUT_Rooms!$A$4:$A$83=$B$4, INPUT_Rooms!$K$4:$K$83="Y"), 47), "")</f>
        <v/>
      </c>
      <c r="B57" s="6">
        <f>IF(A57="","", XLOOKUP(A57, FILTER(INPUT_Rooms!$B$4:$B$83, INPUT_Rooms!$A$4:$A$83=$B$4), FILTER(INPUT_Rooms!$C$4:$C$83, INPUT_Rooms!$A$4:$A$83=$B$4), ""))</f>
        <v/>
      </c>
      <c r="C57" s="6">
        <f>IF(A57="","", "Y")</f>
        <v/>
      </c>
      <c r="D57" s="6">
        <f>IF(A57="","", XLOOKUP(A57, INPUT_Rooms!$B:$B, INPUT_Rooms!$AD:$AD, ""))</f>
        <v/>
      </c>
      <c r="E57" s="6">
        <f>IF(A57="","", XLOOKUP(A57, INPUT_Rooms!$B:$B, INPUT_Rooms!$L:$L, ""))</f>
        <v/>
      </c>
      <c r="F57" s="6">
        <f>IF(A57="","", XLOOKUP(A57, INPUT_Rooms!$B:$B, INPUT_Rooms!$M:$M, ""))</f>
        <v/>
      </c>
      <c r="G57" s="6">
        <f>IF(A57="","", IF(XLOOKUP(A57, INPUT_Rooms!$B:$B, INPUT_Rooms!$N:$N, "")="", $B$5, XLOOKUP(A57, INPUT_Rooms!$B:$B, INPUT_Rooms!$N:$N, "")))</f>
        <v/>
      </c>
      <c r="H57" s="6">
        <f>IF(A57="","", D57*XLOOKUP("PrepMinsPerSqft",Constants!$A$20:$A$40,Constants!$B$20:$B$40)*XLOOKUP(G57,Constants!$E$10:$E$30,Constants!$F$10:$F$30))</f>
        <v/>
      </c>
      <c r="I57" s="6">
        <f>IF(A57="","", D57*XLOOKUP("PaintMinsPerSqftPerCoat",Constants!$A$20:$A$40,Constants!$B$20:$B$40)*F57)</f>
        <v/>
      </c>
      <c r="J57" s="6">
        <f>IF(A57="","", IF(E57="Full", D57*XLOOKUP("PrimerFullMinsPerSqft",Constants!$A$20:$A$40,Constants!$B$20:$B$40), IF(E57="Spot", D57*XLOOKUP("PrimerFullMinsPerSqft",Constants!$A$20:$A$40,Constants!$B$20:$B$40)*XLOOKUP("PrimerSpotFactor",Constants!$A$20:$A$40,Constants!$B$20:$B$40), 0)))</f>
        <v/>
      </c>
      <c r="K57" s="6">
        <f>IF(A57="","", SUMPRODUCT((INPUT_Openings!$A:$A=$B$4)*(INPUT_Openings!$B:$B=A57)*(INPUT_Openings!$D:$D)*INPUT_Openings!$F:$F))</f>
        <v/>
      </c>
      <c r="L57">
        <f>IF($A57="","",IF($D57="", "",IFERROR(CEILING( ($D57*$F57) / IFERROR(XLOOKUP(XLOOKUP('Job Control'!$B$3, INPUT_JobSettings!$A:$A, INPUT_JobSettings!$B:$B, ""), Constants!$A:$A, Constants!$D:$D, ""), ""), 0.25), "")))</f>
        <v/>
      </c>
      <c r="M57">
        <f>IF($A57="","",IF($E57="None",0,IF($D57="", "",IFERROR(CEILING( ($D57*IF($E57="Full",1, XLOOKUP("PrimerSpotFactor",Constants!$A$10:$A$60,Constants!$B$10:$B$60))) / IFERROR(XLOOKUP(XLOOKUP('Job Control'!$B$3, INPUT_JobSettings!$A:$A, INPUT_JobSettings!$E:$E, ""), Constants!$A:$A, Constants!$D:$D, ""), ""), 0.25), ""))))</f>
        <v/>
      </c>
      <c r="N57">
        <f>IF($A57="","",IFERROR($L57*IFERROR(XLOOKUP(XLOOKUP('Job Control'!$B$3, INPUT_JobSettings!$A:$A, INPUT_JobSettings!$B:$B, ""), Constants!$A:$A, Constants!$C:$C, 0), 0) + $M57*IFERROR(XLOOKUP(XLOOKUP('Job Control'!$B$3, INPUT_JobSettings!$A:$A, INPUT_JobSettings!$E:$E, ""), Constants!$A:$A, Constants!$C:$C, 0), 0),0))</f>
        <v/>
      </c>
      <c r="O57" s="6">
        <f>IF($A57="","", SUM($H57:$K57))</f>
        <v/>
      </c>
      <c r="P57" s="6">
        <f>IF($A57="","", $O57/60)</f>
        <v/>
      </c>
      <c r="Q57" s="6">
        <f>IF($A57="","", $P57*IFERROR(IF(XLOOKUP('Job Control'!$B$3, INPUT_JobSettings!$A:$A, INPUT_JobSettings!$F:$F, "")&lt;&gt;"", XLOOKUP('Job Control'!$B$3, INPUT_JobSettings!$A:$A, INPUT_JobSettings!$F:$F, ""), $B$6), $B$6))</f>
        <v/>
      </c>
      <c r="R57" s="6">
        <f>IF($A57="","", ($Q57+$N57)*IFERROR(IF(XLOOKUP('Job Control'!$B$3, INPUT_JobSettings!$A:$A, INPUT_JobSettings!$G:$G, "")&lt;&gt;"", XLOOKUP('Job Control'!$B$3, INPUT_JobSettings!$A:$A, INPUT_JobSettings!$G:$G, ""), $B$7), $B$7))</f>
        <v/>
      </c>
      <c r="S57" s="6">
        <f>IF($A57="","", XLOOKUP($A57, INPUT_Rooms!$B:$B, INPUT_Rooms!$AH:$AH, ""))</f>
        <v/>
      </c>
    </row>
    <row r="58">
      <c r="A58" s="6">
        <f>IFERROR(INDEX(FILTER(INPUT_Rooms!$B$4:$B$83, INPUT_Rooms!$A$4:$A$83=$B$4, INPUT_Rooms!$K$4:$K$83="Y"), 48), "")</f>
        <v/>
      </c>
      <c r="B58" s="6">
        <f>IF(A58="","", XLOOKUP(A58, FILTER(INPUT_Rooms!$B$4:$B$83, INPUT_Rooms!$A$4:$A$83=$B$4), FILTER(INPUT_Rooms!$C$4:$C$83, INPUT_Rooms!$A$4:$A$83=$B$4), ""))</f>
        <v/>
      </c>
      <c r="C58" s="6">
        <f>IF(A58="","", "Y")</f>
        <v/>
      </c>
      <c r="D58" s="6">
        <f>IF(A58="","", XLOOKUP(A58, INPUT_Rooms!$B:$B, INPUT_Rooms!$AD:$AD, ""))</f>
        <v/>
      </c>
      <c r="E58" s="6">
        <f>IF(A58="","", XLOOKUP(A58, INPUT_Rooms!$B:$B, INPUT_Rooms!$L:$L, ""))</f>
        <v/>
      </c>
      <c r="F58" s="6">
        <f>IF(A58="","", XLOOKUP(A58, INPUT_Rooms!$B:$B, INPUT_Rooms!$M:$M, ""))</f>
        <v/>
      </c>
      <c r="G58" s="6">
        <f>IF(A58="","", IF(XLOOKUP(A58, INPUT_Rooms!$B:$B, INPUT_Rooms!$N:$N, "")="", $B$5, XLOOKUP(A58, INPUT_Rooms!$B:$B, INPUT_Rooms!$N:$N, "")))</f>
        <v/>
      </c>
      <c r="H58" s="6">
        <f>IF(A58="","", D58*XLOOKUP("PrepMinsPerSqft",Constants!$A$20:$A$40,Constants!$B$20:$B$40)*XLOOKUP(G58,Constants!$E$10:$E$30,Constants!$F$10:$F$30))</f>
        <v/>
      </c>
      <c r="I58" s="6">
        <f>IF(A58="","", D58*XLOOKUP("PaintMinsPerSqftPerCoat",Constants!$A$20:$A$40,Constants!$B$20:$B$40)*F58)</f>
        <v/>
      </c>
      <c r="J58" s="6">
        <f>IF(A58="","", IF(E58="Full", D58*XLOOKUP("PrimerFullMinsPerSqft",Constants!$A$20:$A$40,Constants!$B$20:$B$40), IF(E58="Spot", D58*XLOOKUP("PrimerFullMinsPerSqft",Constants!$A$20:$A$40,Constants!$B$20:$B$40)*XLOOKUP("PrimerSpotFactor",Constants!$A$20:$A$40,Constants!$B$20:$B$40), 0)))</f>
        <v/>
      </c>
      <c r="K58" s="6">
        <f>IF(A58="","", SUMPRODUCT((INPUT_Openings!$A:$A=$B$4)*(INPUT_Openings!$B:$B=A58)*(INPUT_Openings!$D:$D)*INPUT_Openings!$F:$F))</f>
        <v/>
      </c>
      <c r="L58">
        <f>IF($A58="","",IF($D58="", "",IFERROR(CEILING( ($D58*$F58) / IFERROR(XLOOKUP(XLOOKUP('Job Control'!$B$3, INPUT_JobSettings!$A:$A, INPUT_JobSettings!$B:$B, ""), Constants!$A:$A, Constants!$D:$D, ""), ""), 0.25), "")))</f>
        <v/>
      </c>
      <c r="M58">
        <f>IF($A58="","",IF($E58="None",0,IF($D58="", "",IFERROR(CEILING( ($D58*IF($E58="Full",1, XLOOKUP("PrimerSpotFactor",Constants!$A$10:$A$60,Constants!$B$10:$B$60))) / IFERROR(XLOOKUP(XLOOKUP('Job Control'!$B$3, INPUT_JobSettings!$A:$A, INPUT_JobSettings!$E:$E, ""), Constants!$A:$A, Constants!$D:$D, ""), ""), 0.25), ""))))</f>
        <v/>
      </c>
      <c r="N58">
        <f>IF($A58="","",IFERROR($L58*IFERROR(XLOOKUP(XLOOKUP('Job Control'!$B$3, INPUT_JobSettings!$A:$A, INPUT_JobSettings!$B:$B, ""), Constants!$A:$A, Constants!$C:$C, 0), 0) + $M58*IFERROR(XLOOKUP(XLOOKUP('Job Control'!$B$3, INPUT_JobSettings!$A:$A, INPUT_JobSettings!$E:$E, ""), Constants!$A:$A, Constants!$C:$C, 0), 0),0))</f>
        <v/>
      </c>
      <c r="O58" s="6">
        <f>IF($A58="","", SUM($H58:$K58))</f>
        <v/>
      </c>
      <c r="P58" s="6">
        <f>IF($A58="","", $O58/60)</f>
        <v/>
      </c>
      <c r="Q58" s="6">
        <f>IF($A58="","", $P58*IFERROR(IF(XLOOKUP('Job Control'!$B$3, INPUT_JobSettings!$A:$A, INPUT_JobSettings!$F:$F, "")&lt;&gt;"", XLOOKUP('Job Control'!$B$3, INPUT_JobSettings!$A:$A, INPUT_JobSettings!$F:$F, ""), $B$6), $B$6))</f>
        <v/>
      </c>
      <c r="R58" s="6">
        <f>IF($A58="","", ($Q58+$N58)*IFERROR(IF(XLOOKUP('Job Control'!$B$3, INPUT_JobSettings!$A:$A, INPUT_JobSettings!$G:$G, "")&lt;&gt;"", XLOOKUP('Job Control'!$B$3, INPUT_JobSettings!$A:$A, INPUT_JobSettings!$G:$G, ""), $B$7), $B$7))</f>
        <v/>
      </c>
      <c r="S58" s="6">
        <f>IF($A58="","", XLOOKUP($A58, INPUT_Rooms!$B:$B, INPUT_Rooms!$AH:$AH, ""))</f>
        <v/>
      </c>
    </row>
    <row r="59">
      <c r="A59" s="6">
        <f>IFERROR(INDEX(FILTER(INPUT_Rooms!$B$4:$B$83, INPUT_Rooms!$A$4:$A$83=$B$4, INPUT_Rooms!$K$4:$K$83="Y"), 49), "")</f>
        <v/>
      </c>
      <c r="B59" s="6">
        <f>IF(A59="","", XLOOKUP(A59, FILTER(INPUT_Rooms!$B$4:$B$83, INPUT_Rooms!$A$4:$A$83=$B$4), FILTER(INPUT_Rooms!$C$4:$C$83, INPUT_Rooms!$A$4:$A$83=$B$4), ""))</f>
        <v/>
      </c>
      <c r="C59" s="6">
        <f>IF(A59="","", "Y")</f>
        <v/>
      </c>
      <c r="D59" s="6">
        <f>IF(A59="","", XLOOKUP(A59, INPUT_Rooms!$B:$B, INPUT_Rooms!$AD:$AD, ""))</f>
        <v/>
      </c>
      <c r="E59" s="6">
        <f>IF(A59="","", XLOOKUP(A59, INPUT_Rooms!$B:$B, INPUT_Rooms!$L:$L, ""))</f>
        <v/>
      </c>
      <c r="F59" s="6">
        <f>IF(A59="","", XLOOKUP(A59, INPUT_Rooms!$B:$B, INPUT_Rooms!$M:$M, ""))</f>
        <v/>
      </c>
      <c r="G59" s="6">
        <f>IF(A59="","", IF(XLOOKUP(A59, INPUT_Rooms!$B:$B, INPUT_Rooms!$N:$N, "")="", $B$5, XLOOKUP(A59, INPUT_Rooms!$B:$B, INPUT_Rooms!$N:$N, "")))</f>
        <v/>
      </c>
      <c r="H59" s="6">
        <f>IF(A59="","", D59*XLOOKUP("PrepMinsPerSqft",Constants!$A$20:$A$40,Constants!$B$20:$B$40)*XLOOKUP(G59,Constants!$E$10:$E$30,Constants!$F$10:$F$30))</f>
        <v/>
      </c>
      <c r="I59" s="6">
        <f>IF(A59="","", D59*XLOOKUP("PaintMinsPerSqftPerCoat",Constants!$A$20:$A$40,Constants!$B$20:$B$40)*F59)</f>
        <v/>
      </c>
      <c r="J59" s="6">
        <f>IF(A59="","", IF(E59="Full", D59*XLOOKUP("PrimerFullMinsPerSqft",Constants!$A$20:$A$40,Constants!$B$20:$B$40), IF(E59="Spot", D59*XLOOKUP("PrimerFullMinsPerSqft",Constants!$A$20:$A$40,Constants!$B$20:$B$40)*XLOOKUP("PrimerSpotFactor",Constants!$A$20:$A$40,Constants!$B$20:$B$40), 0)))</f>
        <v/>
      </c>
      <c r="K59" s="6">
        <f>IF(A59="","", SUMPRODUCT((INPUT_Openings!$A:$A=$B$4)*(INPUT_Openings!$B:$B=A59)*(INPUT_Openings!$D:$D)*INPUT_Openings!$F:$F))</f>
        <v/>
      </c>
      <c r="L59">
        <f>IF($A59="","",IF($D59="", "",IFERROR(CEILING( ($D59*$F59) / IFERROR(XLOOKUP(XLOOKUP('Job Control'!$B$3, INPUT_JobSettings!$A:$A, INPUT_JobSettings!$B:$B, ""), Constants!$A:$A, Constants!$D:$D, ""), ""), 0.25), "")))</f>
        <v/>
      </c>
      <c r="M59">
        <f>IF($A59="","",IF($E59="None",0,IF($D59="", "",IFERROR(CEILING( ($D59*IF($E59="Full",1, XLOOKUP("PrimerSpotFactor",Constants!$A$10:$A$60,Constants!$B$10:$B$60))) / IFERROR(XLOOKUP(XLOOKUP('Job Control'!$B$3, INPUT_JobSettings!$A:$A, INPUT_JobSettings!$E:$E, ""), Constants!$A:$A, Constants!$D:$D, ""), ""), 0.25), ""))))</f>
        <v/>
      </c>
      <c r="N59">
        <f>IF($A59="","",IFERROR($L59*IFERROR(XLOOKUP(XLOOKUP('Job Control'!$B$3, INPUT_JobSettings!$A:$A, INPUT_JobSettings!$B:$B, ""), Constants!$A:$A, Constants!$C:$C, 0), 0) + $M59*IFERROR(XLOOKUP(XLOOKUP('Job Control'!$B$3, INPUT_JobSettings!$A:$A, INPUT_JobSettings!$E:$E, ""), Constants!$A:$A, Constants!$C:$C, 0), 0),0))</f>
        <v/>
      </c>
      <c r="O59" s="6">
        <f>IF($A59="","", SUM($H59:$K59))</f>
        <v/>
      </c>
      <c r="P59" s="6">
        <f>IF($A59="","", $O59/60)</f>
        <v/>
      </c>
      <c r="Q59" s="6">
        <f>IF($A59="","", $P59*IFERROR(IF(XLOOKUP('Job Control'!$B$3, INPUT_JobSettings!$A:$A, INPUT_JobSettings!$F:$F, "")&lt;&gt;"", XLOOKUP('Job Control'!$B$3, INPUT_JobSettings!$A:$A, INPUT_JobSettings!$F:$F, ""), $B$6), $B$6))</f>
        <v/>
      </c>
      <c r="R59" s="6">
        <f>IF($A59="","", ($Q59+$N59)*IFERROR(IF(XLOOKUP('Job Control'!$B$3, INPUT_JobSettings!$A:$A, INPUT_JobSettings!$G:$G, "")&lt;&gt;"", XLOOKUP('Job Control'!$B$3, INPUT_JobSettings!$A:$A, INPUT_JobSettings!$G:$G, ""), $B$7), $B$7))</f>
        <v/>
      </c>
      <c r="S59" s="6">
        <f>IF($A59="","", XLOOKUP($A59, INPUT_Rooms!$B:$B, INPUT_Rooms!$AH:$AH, ""))</f>
        <v/>
      </c>
    </row>
    <row r="60">
      <c r="A60" s="6">
        <f>IFERROR(INDEX(FILTER(INPUT_Rooms!$B$4:$B$83, INPUT_Rooms!$A$4:$A$83=$B$4, INPUT_Rooms!$K$4:$K$83="Y"), 50), "")</f>
        <v/>
      </c>
      <c r="B60" s="6">
        <f>IF(A60="","", XLOOKUP(A60, FILTER(INPUT_Rooms!$B$4:$B$83, INPUT_Rooms!$A$4:$A$83=$B$4), FILTER(INPUT_Rooms!$C$4:$C$83, INPUT_Rooms!$A$4:$A$83=$B$4), ""))</f>
        <v/>
      </c>
      <c r="C60" s="6">
        <f>IF(A60="","", "Y")</f>
        <v/>
      </c>
      <c r="D60" s="6">
        <f>IF(A60="","", XLOOKUP(A60, INPUT_Rooms!$B:$B, INPUT_Rooms!$AD:$AD, ""))</f>
        <v/>
      </c>
      <c r="E60" s="6">
        <f>IF(A60="","", XLOOKUP(A60, INPUT_Rooms!$B:$B, INPUT_Rooms!$L:$L, ""))</f>
        <v/>
      </c>
      <c r="F60" s="6">
        <f>IF(A60="","", XLOOKUP(A60, INPUT_Rooms!$B:$B, INPUT_Rooms!$M:$M, ""))</f>
        <v/>
      </c>
      <c r="G60" s="6">
        <f>IF(A60="","", IF(XLOOKUP(A60, INPUT_Rooms!$B:$B, INPUT_Rooms!$N:$N, "")="", $B$5, XLOOKUP(A60, INPUT_Rooms!$B:$B, INPUT_Rooms!$N:$N, "")))</f>
        <v/>
      </c>
      <c r="H60" s="6">
        <f>IF(A60="","", D60*XLOOKUP("PrepMinsPerSqft",Constants!$A$20:$A$40,Constants!$B$20:$B$40)*XLOOKUP(G60,Constants!$E$10:$E$30,Constants!$F$10:$F$30))</f>
        <v/>
      </c>
      <c r="I60" s="6">
        <f>IF(A60="","", D60*XLOOKUP("PaintMinsPerSqftPerCoat",Constants!$A$20:$A$40,Constants!$B$20:$B$40)*F60)</f>
        <v/>
      </c>
      <c r="J60" s="6">
        <f>IF(A60="","", IF(E60="Full", D60*XLOOKUP("PrimerFullMinsPerSqft",Constants!$A$20:$A$40,Constants!$B$20:$B$40), IF(E60="Spot", D60*XLOOKUP("PrimerFullMinsPerSqft",Constants!$A$20:$A$40,Constants!$B$20:$B$40)*XLOOKUP("PrimerSpotFactor",Constants!$A$20:$A$40,Constants!$B$20:$B$40), 0)))</f>
        <v/>
      </c>
      <c r="K60" s="6">
        <f>IF(A60="","", SUMPRODUCT((INPUT_Openings!$A:$A=$B$4)*(INPUT_Openings!$B:$B=A60)*(INPUT_Openings!$D:$D)*INPUT_Openings!$F:$F))</f>
        <v/>
      </c>
      <c r="L60">
        <f>IF($A60="","",IF($D60="", "",IFERROR(CEILING( ($D60*$F60) / IFERROR(XLOOKUP(XLOOKUP('Job Control'!$B$3, INPUT_JobSettings!$A:$A, INPUT_JobSettings!$B:$B, ""), Constants!$A:$A, Constants!$D:$D, ""), ""), 0.25), "")))</f>
        <v/>
      </c>
      <c r="M60">
        <f>IF($A60="","",IF($E60="None",0,IF($D60="", "",IFERROR(CEILING( ($D60*IF($E60="Full",1, XLOOKUP("PrimerSpotFactor",Constants!$A$10:$A$60,Constants!$B$10:$B$60))) / IFERROR(XLOOKUP(XLOOKUP('Job Control'!$B$3, INPUT_JobSettings!$A:$A, INPUT_JobSettings!$E:$E, ""), Constants!$A:$A, Constants!$D:$D, ""), ""), 0.25), ""))))</f>
        <v/>
      </c>
      <c r="N60">
        <f>IF($A60="","",IFERROR($L60*IFERROR(XLOOKUP(XLOOKUP('Job Control'!$B$3, INPUT_JobSettings!$A:$A, INPUT_JobSettings!$B:$B, ""), Constants!$A:$A, Constants!$C:$C, 0), 0) + $M60*IFERROR(XLOOKUP(XLOOKUP('Job Control'!$B$3, INPUT_JobSettings!$A:$A, INPUT_JobSettings!$E:$E, ""), Constants!$A:$A, Constants!$C:$C, 0), 0),0))</f>
        <v/>
      </c>
      <c r="O60" s="6">
        <f>IF($A60="","", SUM($H60:$K60))</f>
        <v/>
      </c>
      <c r="P60" s="6">
        <f>IF($A60="","", $O60/60)</f>
        <v/>
      </c>
      <c r="Q60" s="6">
        <f>IF($A60="","", $P60*IFERROR(IF(XLOOKUP('Job Control'!$B$3, INPUT_JobSettings!$A:$A, INPUT_JobSettings!$F:$F, "")&lt;&gt;"", XLOOKUP('Job Control'!$B$3, INPUT_JobSettings!$A:$A, INPUT_JobSettings!$F:$F, ""), $B$6), $B$6))</f>
        <v/>
      </c>
      <c r="R60" s="6">
        <f>IF($A60="","", ($Q60+$N60)*IFERROR(IF(XLOOKUP('Job Control'!$B$3, INPUT_JobSettings!$A:$A, INPUT_JobSettings!$G:$G, "")&lt;&gt;"", XLOOKUP('Job Control'!$B$3, INPUT_JobSettings!$A:$A, INPUT_JobSettings!$G:$G, ""), $B$7), $B$7))</f>
        <v/>
      </c>
      <c r="S60" s="6">
        <f>IF($A60="","", XLOOKUP($A60, INPUT_Rooms!$B:$B, INPUT_Rooms!$AH:$AH, ""))</f>
        <v/>
      </c>
    </row>
    <row r="61">
      <c r="A61" s="6">
        <f>IFERROR(INDEX(FILTER(INPUT_Rooms!$B$4:$B$83, INPUT_Rooms!$A$4:$A$83=$B$4, INPUT_Rooms!$K$4:$K$83="Y"), 51), "")</f>
        <v/>
      </c>
      <c r="B61" s="6">
        <f>IF(A61="","", XLOOKUP(A61, FILTER(INPUT_Rooms!$B$4:$B$83, INPUT_Rooms!$A$4:$A$83=$B$4), FILTER(INPUT_Rooms!$C$4:$C$83, INPUT_Rooms!$A$4:$A$83=$B$4), ""))</f>
        <v/>
      </c>
      <c r="C61" s="6">
        <f>IF(A61="","", "Y")</f>
        <v/>
      </c>
      <c r="D61" s="6">
        <f>IF(A61="","", XLOOKUP(A61, INPUT_Rooms!$B:$B, INPUT_Rooms!$AD:$AD, ""))</f>
        <v/>
      </c>
      <c r="E61" s="6">
        <f>IF(A61="","", XLOOKUP(A61, INPUT_Rooms!$B:$B, INPUT_Rooms!$L:$L, ""))</f>
        <v/>
      </c>
      <c r="F61" s="6">
        <f>IF(A61="","", XLOOKUP(A61, INPUT_Rooms!$B:$B, INPUT_Rooms!$M:$M, ""))</f>
        <v/>
      </c>
      <c r="G61" s="6">
        <f>IF(A61="","", IF(XLOOKUP(A61, INPUT_Rooms!$B:$B, INPUT_Rooms!$N:$N, "")="", $B$5, XLOOKUP(A61, INPUT_Rooms!$B:$B, INPUT_Rooms!$N:$N, "")))</f>
        <v/>
      </c>
      <c r="H61" s="6">
        <f>IF(A61="","", D61*XLOOKUP("PrepMinsPerSqft",Constants!$A$20:$A$40,Constants!$B$20:$B$40)*XLOOKUP(G61,Constants!$E$10:$E$30,Constants!$F$10:$F$30))</f>
        <v/>
      </c>
      <c r="I61" s="6">
        <f>IF(A61="","", D61*XLOOKUP("PaintMinsPerSqftPerCoat",Constants!$A$20:$A$40,Constants!$B$20:$B$40)*F61)</f>
        <v/>
      </c>
      <c r="J61" s="6">
        <f>IF(A61="","", IF(E61="Full", D61*XLOOKUP("PrimerFullMinsPerSqft",Constants!$A$20:$A$40,Constants!$B$20:$B$40), IF(E61="Spot", D61*XLOOKUP("PrimerFullMinsPerSqft",Constants!$A$20:$A$40,Constants!$B$20:$B$40)*XLOOKUP("PrimerSpotFactor",Constants!$A$20:$A$40,Constants!$B$20:$B$40), 0)))</f>
        <v/>
      </c>
      <c r="K61" s="6">
        <f>IF(A61="","", SUMPRODUCT((INPUT_Openings!$A:$A=$B$4)*(INPUT_Openings!$B:$B=A61)*(INPUT_Openings!$D:$D)*INPUT_Openings!$F:$F))</f>
        <v/>
      </c>
      <c r="L61">
        <f>IF($A61="","",IF($D61="", "",IFERROR(CEILING( ($D61*$F61) / IFERROR(XLOOKUP(XLOOKUP('Job Control'!$B$3, INPUT_JobSettings!$A:$A, INPUT_JobSettings!$B:$B, ""), Constants!$A:$A, Constants!$D:$D, ""), ""), 0.25), "")))</f>
        <v/>
      </c>
      <c r="M61">
        <f>IF($A61="","",IF($E61="None",0,IF($D61="", "",IFERROR(CEILING( ($D61*IF($E61="Full",1, XLOOKUP("PrimerSpotFactor",Constants!$A$10:$A$60,Constants!$B$10:$B$60))) / IFERROR(XLOOKUP(XLOOKUP('Job Control'!$B$3, INPUT_JobSettings!$A:$A, INPUT_JobSettings!$E:$E, ""), Constants!$A:$A, Constants!$D:$D, ""), ""), 0.25), ""))))</f>
        <v/>
      </c>
      <c r="N61">
        <f>IF($A61="","",IFERROR($L61*IFERROR(XLOOKUP(XLOOKUP('Job Control'!$B$3, INPUT_JobSettings!$A:$A, INPUT_JobSettings!$B:$B, ""), Constants!$A:$A, Constants!$C:$C, 0), 0) + $M61*IFERROR(XLOOKUP(XLOOKUP('Job Control'!$B$3, INPUT_JobSettings!$A:$A, INPUT_JobSettings!$E:$E, ""), Constants!$A:$A, Constants!$C:$C, 0), 0),0))</f>
        <v/>
      </c>
      <c r="O61" s="6">
        <f>IF($A61="","", SUM($H61:$K61))</f>
        <v/>
      </c>
      <c r="P61" s="6">
        <f>IF($A61="","", $O61/60)</f>
        <v/>
      </c>
      <c r="Q61" s="6">
        <f>IF($A61="","", $P61*IFERROR(IF(XLOOKUP('Job Control'!$B$3, INPUT_JobSettings!$A:$A, INPUT_JobSettings!$F:$F, "")&lt;&gt;"", XLOOKUP('Job Control'!$B$3, INPUT_JobSettings!$A:$A, INPUT_JobSettings!$F:$F, ""), $B$6), $B$6))</f>
        <v/>
      </c>
      <c r="R61" s="6">
        <f>IF($A61="","", ($Q61+$N61)*IFERROR(IF(XLOOKUP('Job Control'!$B$3, INPUT_JobSettings!$A:$A, INPUT_JobSettings!$G:$G, "")&lt;&gt;"", XLOOKUP('Job Control'!$B$3, INPUT_JobSettings!$A:$A, INPUT_JobSettings!$G:$G, ""), $B$7), $B$7))</f>
        <v/>
      </c>
      <c r="S61" s="6">
        <f>IF($A61="","", XLOOKUP($A61, INPUT_Rooms!$B:$B, INPUT_Rooms!$AH:$AH, ""))</f>
        <v/>
      </c>
    </row>
    <row r="62">
      <c r="A62" s="6">
        <f>IFERROR(INDEX(FILTER(INPUT_Rooms!$B$4:$B$83, INPUT_Rooms!$A$4:$A$83=$B$4, INPUT_Rooms!$K$4:$K$83="Y"), 52), "")</f>
        <v/>
      </c>
      <c r="B62" s="6">
        <f>IF(A62="","", XLOOKUP(A62, FILTER(INPUT_Rooms!$B$4:$B$83, INPUT_Rooms!$A$4:$A$83=$B$4), FILTER(INPUT_Rooms!$C$4:$C$83, INPUT_Rooms!$A$4:$A$83=$B$4), ""))</f>
        <v/>
      </c>
      <c r="C62" s="6">
        <f>IF(A62="","", "Y")</f>
        <v/>
      </c>
      <c r="D62" s="6">
        <f>IF(A62="","", XLOOKUP(A62, INPUT_Rooms!$B:$B, INPUT_Rooms!$AD:$AD, ""))</f>
        <v/>
      </c>
      <c r="E62" s="6">
        <f>IF(A62="","", XLOOKUP(A62, INPUT_Rooms!$B:$B, INPUT_Rooms!$L:$L, ""))</f>
        <v/>
      </c>
      <c r="F62" s="6">
        <f>IF(A62="","", XLOOKUP(A62, INPUT_Rooms!$B:$B, INPUT_Rooms!$M:$M, ""))</f>
        <v/>
      </c>
      <c r="G62" s="6">
        <f>IF(A62="","", IF(XLOOKUP(A62, INPUT_Rooms!$B:$B, INPUT_Rooms!$N:$N, "")="", $B$5, XLOOKUP(A62, INPUT_Rooms!$B:$B, INPUT_Rooms!$N:$N, "")))</f>
        <v/>
      </c>
      <c r="H62" s="6">
        <f>IF(A62="","", D62*XLOOKUP("PrepMinsPerSqft",Constants!$A$20:$A$40,Constants!$B$20:$B$40)*XLOOKUP(G62,Constants!$E$10:$E$30,Constants!$F$10:$F$30))</f>
        <v/>
      </c>
      <c r="I62" s="6">
        <f>IF(A62="","", D62*XLOOKUP("PaintMinsPerSqftPerCoat",Constants!$A$20:$A$40,Constants!$B$20:$B$40)*F62)</f>
        <v/>
      </c>
      <c r="J62" s="6">
        <f>IF(A62="","", IF(E62="Full", D62*XLOOKUP("PrimerFullMinsPerSqft",Constants!$A$20:$A$40,Constants!$B$20:$B$40), IF(E62="Spot", D62*XLOOKUP("PrimerFullMinsPerSqft",Constants!$A$20:$A$40,Constants!$B$20:$B$40)*XLOOKUP("PrimerSpotFactor",Constants!$A$20:$A$40,Constants!$B$20:$B$40), 0)))</f>
        <v/>
      </c>
      <c r="K62" s="6">
        <f>IF(A62="","", SUMPRODUCT((INPUT_Openings!$A:$A=$B$4)*(INPUT_Openings!$B:$B=A62)*(INPUT_Openings!$D:$D)*INPUT_Openings!$F:$F))</f>
        <v/>
      </c>
      <c r="L62">
        <f>IF($A62="","",IF($D62="", "",IFERROR(CEILING( ($D62*$F62) / IFERROR(XLOOKUP(XLOOKUP('Job Control'!$B$3, INPUT_JobSettings!$A:$A, INPUT_JobSettings!$B:$B, ""), Constants!$A:$A, Constants!$D:$D, ""), ""), 0.25), "")))</f>
        <v/>
      </c>
      <c r="M62">
        <f>IF($A62="","",IF($E62="None",0,IF($D62="", "",IFERROR(CEILING( ($D62*IF($E62="Full",1, XLOOKUP("PrimerSpotFactor",Constants!$A$10:$A$60,Constants!$B$10:$B$60))) / IFERROR(XLOOKUP(XLOOKUP('Job Control'!$B$3, INPUT_JobSettings!$A:$A, INPUT_JobSettings!$E:$E, ""), Constants!$A:$A, Constants!$D:$D, ""), ""), 0.25), ""))))</f>
        <v/>
      </c>
      <c r="N62">
        <f>IF($A62="","",IFERROR($L62*IFERROR(XLOOKUP(XLOOKUP('Job Control'!$B$3, INPUT_JobSettings!$A:$A, INPUT_JobSettings!$B:$B, ""), Constants!$A:$A, Constants!$C:$C, 0), 0) + $M62*IFERROR(XLOOKUP(XLOOKUP('Job Control'!$B$3, INPUT_JobSettings!$A:$A, INPUT_JobSettings!$E:$E, ""), Constants!$A:$A, Constants!$C:$C, 0), 0),0))</f>
        <v/>
      </c>
      <c r="O62" s="6">
        <f>IF($A62="","", SUM($H62:$K62))</f>
        <v/>
      </c>
      <c r="P62" s="6">
        <f>IF($A62="","", $O62/60)</f>
        <v/>
      </c>
      <c r="Q62" s="6">
        <f>IF($A62="","", $P62*IFERROR(IF(XLOOKUP('Job Control'!$B$3, INPUT_JobSettings!$A:$A, INPUT_JobSettings!$F:$F, "")&lt;&gt;"", XLOOKUP('Job Control'!$B$3, INPUT_JobSettings!$A:$A, INPUT_JobSettings!$F:$F, ""), $B$6), $B$6))</f>
        <v/>
      </c>
      <c r="R62" s="6">
        <f>IF($A62="","", ($Q62+$N62)*IFERROR(IF(XLOOKUP('Job Control'!$B$3, INPUT_JobSettings!$A:$A, INPUT_JobSettings!$G:$G, "")&lt;&gt;"", XLOOKUP('Job Control'!$B$3, INPUT_JobSettings!$A:$A, INPUT_JobSettings!$G:$G, ""), $B$7), $B$7))</f>
        <v/>
      </c>
      <c r="S62" s="6">
        <f>IF($A62="","", XLOOKUP($A62, INPUT_Rooms!$B:$B, INPUT_Rooms!$AH:$AH, ""))</f>
        <v/>
      </c>
    </row>
    <row r="63">
      <c r="A63" s="6">
        <f>IFERROR(INDEX(FILTER(INPUT_Rooms!$B$4:$B$83, INPUT_Rooms!$A$4:$A$83=$B$4, INPUT_Rooms!$K$4:$K$83="Y"), 53), "")</f>
        <v/>
      </c>
      <c r="B63" s="6">
        <f>IF(A63="","", XLOOKUP(A63, FILTER(INPUT_Rooms!$B$4:$B$83, INPUT_Rooms!$A$4:$A$83=$B$4), FILTER(INPUT_Rooms!$C$4:$C$83, INPUT_Rooms!$A$4:$A$83=$B$4), ""))</f>
        <v/>
      </c>
      <c r="C63" s="6">
        <f>IF(A63="","", "Y")</f>
        <v/>
      </c>
      <c r="D63" s="6">
        <f>IF(A63="","", XLOOKUP(A63, INPUT_Rooms!$B:$B, INPUT_Rooms!$AD:$AD, ""))</f>
        <v/>
      </c>
      <c r="E63" s="6">
        <f>IF(A63="","", XLOOKUP(A63, INPUT_Rooms!$B:$B, INPUT_Rooms!$L:$L, ""))</f>
        <v/>
      </c>
      <c r="F63" s="6">
        <f>IF(A63="","", XLOOKUP(A63, INPUT_Rooms!$B:$B, INPUT_Rooms!$M:$M, ""))</f>
        <v/>
      </c>
      <c r="G63" s="6">
        <f>IF(A63="","", IF(XLOOKUP(A63, INPUT_Rooms!$B:$B, INPUT_Rooms!$N:$N, "")="", $B$5, XLOOKUP(A63, INPUT_Rooms!$B:$B, INPUT_Rooms!$N:$N, "")))</f>
        <v/>
      </c>
      <c r="H63" s="6">
        <f>IF(A63="","", D63*XLOOKUP("PrepMinsPerSqft",Constants!$A$20:$A$40,Constants!$B$20:$B$40)*XLOOKUP(G63,Constants!$E$10:$E$30,Constants!$F$10:$F$30))</f>
        <v/>
      </c>
      <c r="I63" s="6">
        <f>IF(A63="","", D63*XLOOKUP("PaintMinsPerSqftPerCoat",Constants!$A$20:$A$40,Constants!$B$20:$B$40)*F63)</f>
        <v/>
      </c>
      <c r="J63" s="6">
        <f>IF(A63="","", IF(E63="Full", D63*XLOOKUP("PrimerFullMinsPerSqft",Constants!$A$20:$A$40,Constants!$B$20:$B$40), IF(E63="Spot", D63*XLOOKUP("PrimerFullMinsPerSqft",Constants!$A$20:$A$40,Constants!$B$20:$B$40)*XLOOKUP("PrimerSpotFactor",Constants!$A$20:$A$40,Constants!$B$20:$B$40), 0)))</f>
        <v/>
      </c>
      <c r="K63" s="6">
        <f>IF(A63="","", SUMPRODUCT((INPUT_Openings!$A:$A=$B$4)*(INPUT_Openings!$B:$B=A63)*(INPUT_Openings!$D:$D)*INPUT_Openings!$F:$F))</f>
        <v/>
      </c>
      <c r="L63">
        <f>IF($A63="","",IF($D63="", "",IFERROR(CEILING( ($D63*$F63) / IFERROR(XLOOKUP(XLOOKUP('Job Control'!$B$3, INPUT_JobSettings!$A:$A, INPUT_JobSettings!$B:$B, ""), Constants!$A:$A, Constants!$D:$D, ""), ""), 0.25), "")))</f>
        <v/>
      </c>
      <c r="M63">
        <f>IF($A63="","",IF($E63="None",0,IF($D63="", "",IFERROR(CEILING( ($D63*IF($E63="Full",1, XLOOKUP("PrimerSpotFactor",Constants!$A$10:$A$60,Constants!$B$10:$B$60))) / IFERROR(XLOOKUP(XLOOKUP('Job Control'!$B$3, INPUT_JobSettings!$A:$A, INPUT_JobSettings!$E:$E, ""), Constants!$A:$A, Constants!$D:$D, ""), ""), 0.25), ""))))</f>
        <v/>
      </c>
      <c r="N63">
        <f>IF($A63="","",IFERROR($L63*IFERROR(XLOOKUP(XLOOKUP('Job Control'!$B$3, INPUT_JobSettings!$A:$A, INPUT_JobSettings!$B:$B, ""), Constants!$A:$A, Constants!$C:$C, 0), 0) + $M63*IFERROR(XLOOKUP(XLOOKUP('Job Control'!$B$3, INPUT_JobSettings!$A:$A, INPUT_JobSettings!$E:$E, ""), Constants!$A:$A, Constants!$C:$C, 0), 0),0))</f>
        <v/>
      </c>
      <c r="O63" s="6">
        <f>IF($A63="","", SUM($H63:$K63))</f>
        <v/>
      </c>
      <c r="P63" s="6">
        <f>IF($A63="","", $O63/60)</f>
        <v/>
      </c>
      <c r="Q63" s="6">
        <f>IF($A63="","", $P63*IFERROR(IF(XLOOKUP('Job Control'!$B$3, INPUT_JobSettings!$A:$A, INPUT_JobSettings!$F:$F, "")&lt;&gt;"", XLOOKUP('Job Control'!$B$3, INPUT_JobSettings!$A:$A, INPUT_JobSettings!$F:$F, ""), $B$6), $B$6))</f>
        <v/>
      </c>
      <c r="R63" s="6">
        <f>IF($A63="","", ($Q63+$N63)*IFERROR(IF(XLOOKUP('Job Control'!$B$3, INPUT_JobSettings!$A:$A, INPUT_JobSettings!$G:$G, "")&lt;&gt;"", XLOOKUP('Job Control'!$B$3, INPUT_JobSettings!$A:$A, INPUT_JobSettings!$G:$G, ""), $B$7), $B$7))</f>
        <v/>
      </c>
      <c r="S63" s="6">
        <f>IF($A63="","", XLOOKUP($A63, INPUT_Rooms!$B:$B, INPUT_Rooms!$AH:$AH, ""))</f>
        <v/>
      </c>
    </row>
    <row r="64">
      <c r="A64" s="6">
        <f>IFERROR(INDEX(FILTER(INPUT_Rooms!$B$4:$B$83, INPUT_Rooms!$A$4:$A$83=$B$4, INPUT_Rooms!$K$4:$K$83="Y"), 54), "")</f>
        <v/>
      </c>
      <c r="B64" s="6">
        <f>IF(A64="","", XLOOKUP(A64, FILTER(INPUT_Rooms!$B$4:$B$83, INPUT_Rooms!$A$4:$A$83=$B$4), FILTER(INPUT_Rooms!$C$4:$C$83, INPUT_Rooms!$A$4:$A$83=$B$4), ""))</f>
        <v/>
      </c>
      <c r="C64" s="6">
        <f>IF(A64="","", "Y")</f>
        <v/>
      </c>
      <c r="D64" s="6">
        <f>IF(A64="","", XLOOKUP(A64, INPUT_Rooms!$B:$B, INPUT_Rooms!$AD:$AD, ""))</f>
        <v/>
      </c>
      <c r="E64" s="6">
        <f>IF(A64="","", XLOOKUP(A64, INPUT_Rooms!$B:$B, INPUT_Rooms!$L:$L, ""))</f>
        <v/>
      </c>
      <c r="F64" s="6">
        <f>IF(A64="","", XLOOKUP(A64, INPUT_Rooms!$B:$B, INPUT_Rooms!$M:$M, ""))</f>
        <v/>
      </c>
      <c r="G64" s="6">
        <f>IF(A64="","", IF(XLOOKUP(A64, INPUT_Rooms!$B:$B, INPUT_Rooms!$N:$N, "")="", $B$5, XLOOKUP(A64, INPUT_Rooms!$B:$B, INPUT_Rooms!$N:$N, "")))</f>
        <v/>
      </c>
      <c r="H64" s="6">
        <f>IF(A64="","", D64*XLOOKUP("PrepMinsPerSqft",Constants!$A$20:$A$40,Constants!$B$20:$B$40)*XLOOKUP(G64,Constants!$E$10:$E$30,Constants!$F$10:$F$30))</f>
        <v/>
      </c>
      <c r="I64" s="6">
        <f>IF(A64="","", D64*XLOOKUP("PaintMinsPerSqftPerCoat",Constants!$A$20:$A$40,Constants!$B$20:$B$40)*F64)</f>
        <v/>
      </c>
      <c r="J64" s="6">
        <f>IF(A64="","", IF(E64="Full", D64*XLOOKUP("PrimerFullMinsPerSqft",Constants!$A$20:$A$40,Constants!$B$20:$B$40), IF(E64="Spot", D64*XLOOKUP("PrimerFullMinsPerSqft",Constants!$A$20:$A$40,Constants!$B$20:$B$40)*XLOOKUP("PrimerSpotFactor",Constants!$A$20:$A$40,Constants!$B$20:$B$40), 0)))</f>
        <v/>
      </c>
      <c r="K64" s="6">
        <f>IF(A64="","", SUMPRODUCT((INPUT_Openings!$A:$A=$B$4)*(INPUT_Openings!$B:$B=A64)*(INPUT_Openings!$D:$D)*INPUT_Openings!$F:$F))</f>
        <v/>
      </c>
      <c r="L64">
        <f>IF($A64="","",IF($D64="", "",IFERROR(CEILING( ($D64*$F64) / IFERROR(XLOOKUP(XLOOKUP('Job Control'!$B$3, INPUT_JobSettings!$A:$A, INPUT_JobSettings!$B:$B, ""), Constants!$A:$A, Constants!$D:$D, ""), ""), 0.25), "")))</f>
        <v/>
      </c>
      <c r="M64">
        <f>IF($A64="","",IF($E64="None",0,IF($D64="", "",IFERROR(CEILING( ($D64*IF($E64="Full",1, XLOOKUP("PrimerSpotFactor",Constants!$A$10:$A$60,Constants!$B$10:$B$60))) / IFERROR(XLOOKUP(XLOOKUP('Job Control'!$B$3, INPUT_JobSettings!$A:$A, INPUT_JobSettings!$E:$E, ""), Constants!$A:$A, Constants!$D:$D, ""), ""), 0.25), ""))))</f>
        <v/>
      </c>
      <c r="N64">
        <f>IF($A64="","",IFERROR($L64*IFERROR(XLOOKUP(XLOOKUP('Job Control'!$B$3, INPUT_JobSettings!$A:$A, INPUT_JobSettings!$B:$B, ""), Constants!$A:$A, Constants!$C:$C, 0), 0) + $M64*IFERROR(XLOOKUP(XLOOKUP('Job Control'!$B$3, INPUT_JobSettings!$A:$A, INPUT_JobSettings!$E:$E, ""), Constants!$A:$A, Constants!$C:$C, 0), 0),0))</f>
        <v/>
      </c>
      <c r="O64" s="6">
        <f>IF($A64="","", SUM($H64:$K64))</f>
        <v/>
      </c>
      <c r="P64" s="6">
        <f>IF($A64="","", $O64/60)</f>
        <v/>
      </c>
      <c r="Q64" s="6">
        <f>IF($A64="","", $P64*IFERROR(IF(XLOOKUP('Job Control'!$B$3, INPUT_JobSettings!$A:$A, INPUT_JobSettings!$F:$F, "")&lt;&gt;"", XLOOKUP('Job Control'!$B$3, INPUT_JobSettings!$A:$A, INPUT_JobSettings!$F:$F, ""), $B$6), $B$6))</f>
        <v/>
      </c>
      <c r="R64" s="6">
        <f>IF($A64="","", ($Q64+$N64)*IFERROR(IF(XLOOKUP('Job Control'!$B$3, INPUT_JobSettings!$A:$A, INPUT_JobSettings!$G:$G, "")&lt;&gt;"", XLOOKUP('Job Control'!$B$3, INPUT_JobSettings!$A:$A, INPUT_JobSettings!$G:$G, ""), $B$7), $B$7))</f>
        <v/>
      </c>
      <c r="S64" s="6">
        <f>IF($A64="","", XLOOKUP($A64, INPUT_Rooms!$B:$B, INPUT_Rooms!$AH:$AH, ""))</f>
        <v/>
      </c>
    </row>
    <row r="65">
      <c r="A65" s="6">
        <f>IFERROR(INDEX(FILTER(INPUT_Rooms!$B$4:$B$83, INPUT_Rooms!$A$4:$A$83=$B$4, INPUT_Rooms!$K$4:$K$83="Y"), 55), "")</f>
        <v/>
      </c>
      <c r="B65" s="6">
        <f>IF(A65="","", XLOOKUP(A65, FILTER(INPUT_Rooms!$B$4:$B$83, INPUT_Rooms!$A$4:$A$83=$B$4), FILTER(INPUT_Rooms!$C$4:$C$83, INPUT_Rooms!$A$4:$A$83=$B$4), ""))</f>
        <v/>
      </c>
      <c r="C65" s="6">
        <f>IF(A65="","", "Y")</f>
        <v/>
      </c>
      <c r="D65" s="6">
        <f>IF(A65="","", XLOOKUP(A65, INPUT_Rooms!$B:$B, INPUT_Rooms!$AD:$AD, ""))</f>
        <v/>
      </c>
      <c r="E65" s="6">
        <f>IF(A65="","", XLOOKUP(A65, INPUT_Rooms!$B:$B, INPUT_Rooms!$L:$L, ""))</f>
        <v/>
      </c>
      <c r="F65" s="6">
        <f>IF(A65="","", XLOOKUP(A65, INPUT_Rooms!$B:$B, INPUT_Rooms!$M:$M, ""))</f>
        <v/>
      </c>
      <c r="G65" s="6">
        <f>IF(A65="","", IF(XLOOKUP(A65, INPUT_Rooms!$B:$B, INPUT_Rooms!$N:$N, "")="", $B$5, XLOOKUP(A65, INPUT_Rooms!$B:$B, INPUT_Rooms!$N:$N, "")))</f>
        <v/>
      </c>
      <c r="H65" s="6">
        <f>IF(A65="","", D65*XLOOKUP("PrepMinsPerSqft",Constants!$A$20:$A$40,Constants!$B$20:$B$40)*XLOOKUP(G65,Constants!$E$10:$E$30,Constants!$F$10:$F$30))</f>
        <v/>
      </c>
      <c r="I65" s="6">
        <f>IF(A65="","", D65*XLOOKUP("PaintMinsPerSqftPerCoat",Constants!$A$20:$A$40,Constants!$B$20:$B$40)*F65)</f>
        <v/>
      </c>
      <c r="J65" s="6">
        <f>IF(A65="","", IF(E65="Full", D65*XLOOKUP("PrimerFullMinsPerSqft",Constants!$A$20:$A$40,Constants!$B$20:$B$40), IF(E65="Spot", D65*XLOOKUP("PrimerFullMinsPerSqft",Constants!$A$20:$A$40,Constants!$B$20:$B$40)*XLOOKUP("PrimerSpotFactor",Constants!$A$20:$A$40,Constants!$B$20:$B$40), 0)))</f>
        <v/>
      </c>
      <c r="K65" s="6">
        <f>IF(A65="","", SUMPRODUCT((INPUT_Openings!$A:$A=$B$4)*(INPUT_Openings!$B:$B=A65)*(INPUT_Openings!$D:$D)*INPUT_Openings!$F:$F))</f>
        <v/>
      </c>
      <c r="L65">
        <f>IF($A65="","",IF($D65="", "",IFERROR(CEILING( ($D65*$F65) / IFERROR(XLOOKUP(XLOOKUP('Job Control'!$B$3, INPUT_JobSettings!$A:$A, INPUT_JobSettings!$B:$B, ""), Constants!$A:$A, Constants!$D:$D, ""), ""), 0.25), "")))</f>
        <v/>
      </c>
      <c r="M65">
        <f>IF($A65="","",IF($E65="None",0,IF($D65="", "",IFERROR(CEILING( ($D65*IF($E65="Full",1, XLOOKUP("PrimerSpotFactor",Constants!$A$10:$A$60,Constants!$B$10:$B$60))) / IFERROR(XLOOKUP(XLOOKUP('Job Control'!$B$3, INPUT_JobSettings!$A:$A, INPUT_JobSettings!$E:$E, ""), Constants!$A:$A, Constants!$D:$D, ""), ""), 0.25), ""))))</f>
        <v/>
      </c>
      <c r="N65">
        <f>IF($A65="","",IFERROR($L65*IFERROR(XLOOKUP(XLOOKUP('Job Control'!$B$3, INPUT_JobSettings!$A:$A, INPUT_JobSettings!$B:$B, ""), Constants!$A:$A, Constants!$C:$C, 0), 0) + $M65*IFERROR(XLOOKUP(XLOOKUP('Job Control'!$B$3, INPUT_JobSettings!$A:$A, INPUT_JobSettings!$E:$E, ""), Constants!$A:$A, Constants!$C:$C, 0), 0),0))</f>
        <v/>
      </c>
      <c r="O65" s="6">
        <f>IF($A65="","", SUM($H65:$K65))</f>
        <v/>
      </c>
      <c r="P65" s="6">
        <f>IF($A65="","", $O65/60)</f>
        <v/>
      </c>
      <c r="Q65" s="6">
        <f>IF($A65="","", $P65*IFERROR(IF(XLOOKUP('Job Control'!$B$3, INPUT_JobSettings!$A:$A, INPUT_JobSettings!$F:$F, "")&lt;&gt;"", XLOOKUP('Job Control'!$B$3, INPUT_JobSettings!$A:$A, INPUT_JobSettings!$F:$F, ""), $B$6), $B$6))</f>
        <v/>
      </c>
      <c r="R65" s="6">
        <f>IF($A65="","", ($Q65+$N65)*IFERROR(IF(XLOOKUP('Job Control'!$B$3, INPUT_JobSettings!$A:$A, INPUT_JobSettings!$G:$G, "")&lt;&gt;"", XLOOKUP('Job Control'!$B$3, INPUT_JobSettings!$A:$A, INPUT_JobSettings!$G:$G, ""), $B$7), $B$7))</f>
        <v/>
      </c>
      <c r="S65" s="6">
        <f>IF($A65="","", XLOOKUP($A65, INPUT_Rooms!$B:$B, INPUT_Rooms!$AH:$AH, ""))</f>
        <v/>
      </c>
    </row>
    <row r="66">
      <c r="A66" s="6">
        <f>IFERROR(INDEX(FILTER(INPUT_Rooms!$B$4:$B$83, INPUT_Rooms!$A$4:$A$83=$B$4, INPUT_Rooms!$K$4:$K$83="Y"), 56), "")</f>
        <v/>
      </c>
      <c r="B66" s="6">
        <f>IF(A66="","", XLOOKUP(A66, FILTER(INPUT_Rooms!$B$4:$B$83, INPUT_Rooms!$A$4:$A$83=$B$4), FILTER(INPUT_Rooms!$C$4:$C$83, INPUT_Rooms!$A$4:$A$83=$B$4), ""))</f>
        <v/>
      </c>
      <c r="C66" s="6">
        <f>IF(A66="","", "Y")</f>
        <v/>
      </c>
      <c r="D66" s="6">
        <f>IF(A66="","", XLOOKUP(A66, INPUT_Rooms!$B:$B, INPUT_Rooms!$AD:$AD, ""))</f>
        <v/>
      </c>
      <c r="E66" s="6">
        <f>IF(A66="","", XLOOKUP(A66, INPUT_Rooms!$B:$B, INPUT_Rooms!$L:$L, ""))</f>
        <v/>
      </c>
      <c r="F66" s="6">
        <f>IF(A66="","", XLOOKUP(A66, INPUT_Rooms!$B:$B, INPUT_Rooms!$M:$M, ""))</f>
        <v/>
      </c>
      <c r="G66" s="6">
        <f>IF(A66="","", IF(XLOOKUP(A66, INPUT_Rooms!$B:$B, INPUT_Rooms!$N:$N, "")="", $B$5, XLOOKUP(A66, INPUT_Rooms!$B:$B, INPUT_Rooms!$N:$N, "")))</f>
        <v/>
      </c>
      <c r="H66" s="6">
        <f>IF(A66="","", D66*XLOOKUP("PrepMinsPerSqft",Constants!$A$20:$A$40,Constants!$B$20:$B$40)*XLOOKUP(G66,Constants!$E$10:$E$30,Constants!$F$10:$F$30))</f>
        <v/>
      </c>
      <c r="I66" s="6">
        <f>IF(A66="","", D66*XLOOKUP("PaintMinsPerSqftPerCoat",Constants!$A$20:$A$40,Constants!$B$20:$B$40)*F66)</f>
        <v/>
      </c>
      <c r="J66" s="6">
        <f>IF(A66="","", IF(E66="Full", D66*XLOOKUP("PrimerFullMinsPerSqft",Constants!$A$20:$A$40,Constants!$B$20:$B$40), IF(E66="Spot", D66*XLOOKUP("PrimerFullMinsPerSqft",Constants!$A$20:$A$40,Constants!$B$20:$B$40)*XLOOKUP("PrimerSpotFactor",Constants!$A$20:$A$40,Constants!$B$20:$B$40), 0)))</f>
        <v/>
      </c>
      <c r="K66" s="6">
        <f>IF(A66="","", SUMPRODUCT((INPUT_Openings!$A:$A=$B$4)*(INPUT_Openings!$B:$B=A66)*(INPUT_Openings!$D:$D)*INPUT_Openings!$F:$F))</f>
        <v/>
      </c>
      <c r="L66">
        <f>IF($A66="","",IF($D66="", "",IFERROR(CEILING( ($D66*$F66) / IFERROR(XLOOKUP(XLOOKUP('Job Control'!$B$3, INPUT_JobSettings!$A:$A, INPUT_JobSettings!$B:$B, ""), Constants!$A:$A, Constants!$D:$D, ""), ""), 0.25), "")))</f>
        <v/>
      </c>
      <c r="M66">
        <f>IF($A66="","",IF($E66="None",0,IF($D66="", "",IFERROR(CEILING( ($D66*IF($E66="Full",1, XLOOKUP("PrimerSpotFactor",Constants!$A$10:$A$60,Constants!$B$10:$B$60))) / IFERROR(XLOOKUP(XLOOKUP('Job Control'!$B$3, INPUT_JobSettings!$A:$A, INPUT_JobSettings!$E:$E, ""), Constants!$A:$A, Constants!$D:$D, ""), ""), 0.25), ""))))</f>
        <v/>
      </c>
      <c r="N66">
        <f>IF($A66="","",IFERROR($L66*IFERROR(XLOOKUP(XLOOKUP('Job Control'!$B$3, INPUT_JobSettings!$A:$A, INPUT_JobSettings!$B:$B, ""), Constants!$A:$A, Constants!$C:$C, 0), 0) + $M66*IFERROR(XLOOKUP(XLOOKUP('Job Control'!$B$3, INPUT_JobSettings!$A:$A, INPUT_JobSettings!$E:$E, ""), Constants!$A:$A, Constants!$C:$C, 0), 0),0))</f>
        <v/>
      </c>
      <c r="O66" s="6">
        <f>IF($A66="","", SUM($H66:$K66))</f>
        <v/>
      </c>
      <c r="P66" s="6">
        <f>IF($A66="","", $O66/60)</f>
        <v/>
      </c>
      <c r="Q66" s="6">
        <f>IF($A66="","", $P66*IFERROR(IF(XLOOKUP('Job Control'!$B$3, INPUT_JobSettings!$A:$A, INPUT_JobSettings!$F:$F, "")&lt;&gt;"", XLOOKUP('Job Control'!$B$3, INPUT_JobSettings!$A:$A, INPUT_JobSettings!$F:$F, ""), $B$6), $B$6))</f>
        <v/>
      </c>
      <c r="R66" s="6">
        <f>IF($A66="","", ($Q66+$N66)*IFERROR(IF(XLOOKUP('Job Control'!$B$3, INPUT_JobSettings!$A:$A, INPUT_JobSettings!$G:$G, "")&lt;&gt;"", XLOOKUP('Job Control'!$B$3, INPUT_JobSettings!$A:$A, INPUT_JobSettings!$G:$G, ""), $B$7), $B$7))</f>
        <v/>
      </c>
      <c r="S66" s="6">
        <f>IF($A66="","", XLOOKUP($A66, INPUT_Rooms!$B:$B, INPUT_Rooms!$AH:$AH, ""))</f>
        <v/>
      </c>
    </row>
    <row r="67">
      <c r="A67" s="6">
        <f>IFERROR(INDEX(FILTER(INPUT_Rooms!$B$4:$B$83, INPUT_Rooms!$A$4:$A$83=$B$4, INPUT_Rooms!$K$4:$K$83="Y"), 57), "")</f>
        <v/>
      </c>
      <c r="B67" s="6">
        <f>IF(A67="","", XLOOKUP(A67, FILTER(INPUT_Rooms!$B$4:$B$83, INPUT_Rooms!$A$4:$A$83=$B$4), FILTER(INPUT_Rooms!$C$4:$C$83, INPUT_Rooms!$A$4:$A$83=$B$4), ""))</f>
        <v/>
      </c>
      <c r="C67" s="6">
        <f>IF(A67="","", "Y")</f>
        <v/>
      </c>
      <c r="D67" s="6">
        <f>IF(A67="","", XLOOKUP(A67, INPUT_Rooms!$B:$B, INPUT_Rooms!$AD:$AD, ""))</f>
        <v/>
      </c>
      <c r="E67" s="6">
        <f>IF(A67="","", XLOOKUP(A67, INPUT_Rooms!$B:$B, INPUT_Rooms!$L:$L, ""))</f>
        <v/>
      </c>
      <c r="F67" s="6">
        <f>IF(A67="","", XLOOKUP(A67, INPUT_Rooms!$B:$B, INPUT_Rooms!$M:$M, ""))</f>
        <v/>
      </c>
      <c r="G67" s="6">
        <f>IF(A67="","", IF(XLOOKUP(A67, INPUT_Rooms!$B:$B, INPUT_Rooms!$N:$N, "")="", $B$5, XLOOKUP(A67, INPUT_Rooms!$B:$B, INPUT_Rooms!$N:$N, "")))</f>
        <v/>
      </c>
      <c r="H67" s="6">
        <f>IF(A67="","", D67*XLOOKUP("PrepMinsPerSqft",Constants!$A$20:$A$40,Constants!$B$20:$B$40)*XLOOKUP(G67,Constants!$E$10:$E$30,Constants!$F$10:$F$30))</f>
        <v/>
      </c>
      <c r="I67" s="6">
        <f>IF(A67="","", D67*XLOOKUP("PaintMinsPerSqftPerCoat",Constants!$A$20:$A$40,Constants!$B$20:$B$40)*F67)</f>
        <v/>
      </c>
      <c r="J67" s="6">
        <f>IF(A67="","", IF(E67="Full", D67*XLOOKUP("PrimerFullMinsPerSqft",Constants!$A$20:$A$40,Constants!$B$20:$B$40), IF(E67="Spot", D67*XLOOKUP("PrimerFullMinsPerSqft",Constants!$A$20:$A$40,Constants!$B$20:$B$40)*XLOOKUP("PrimerSpotFactor",Constants!$A$20:$A$40,Constants!$B$20:$B$40), 0)))</f>
        <v/>
      </c>
      <c r="K67" s="6">
        <f>IF(A67="","", SUMPRODUCT((INPUT_Openings!$A:$A=$B$4)*(INPUT_Openings!$B:$B=A67)*(INPUT_Openings!$D:$D)*INPUT_Openings!$F:$F))</f>
        <v/>
      </c>
      <c r="L67">
        <f>IF($A67="","",IF($D67="", "",IFERROR(CEILING( ($D67*$F67) / IFERROR(XLOOKUP(XLOOKUP('Job Control'!$B$3, INPUT_JobSettings!$A:$A, INPUT_JobSettings!$B:$B, ""), Constants!$A:$A, Constants!$D:$D, ""), ""), 0.25), "")))</f>
        <v/>
      </c>
      <c r="M67">
        <f>IF($A67="","",IF($E67="None",0,IF($D67="", "",IFERROR(CEILING( ($D67*IF($E67="Full",1, XLOOKUP("PrimerSpotFactor",Constants!$A$10:$A$60,Constants!$B$10:$B$60))) / IFERROR(XLOOKUP(XLOOKUP('Job Control'!$B$3, INPUT_JobSettings!$A:$A, INPUT_JobSettings!$E:$E, ""), Constants!$A:$A, Constants!$D:$D, ""), ""), 0.25), ""))))</f>
        <v/>
      </c>
      <c r="N67">
        <f>IF($A67="","",IFERROR($L67*IFERROR(XLOOKUP(XLOOKUP('Job Control'!$B$3, INPUT_JobSettings!$A:$A, INPUT_JobSettings!$B:$B, ""), Constants!$A:$A, Constants!$C:$C, 0), 0) + $M67*IFERROR(XLOOKUP(XLOOKUP('Job Control'!$B$3, INPUT_JobSettings!$A:$A, INPUT_JobSettings!$E:$E, ""), Constants!$A:$A, Constants!$C:$C, 0), 0),0))</f>
        <v/>
      </c>
      <c r="O67" s="6">
        <f>IF($A67="","", SUM($H67:$K67))</f>
        <v/>
      </c>
      <c r="P67" s="6">
        <f>IF($A67="","", $O67/60)</f>
        <v/>
      </c>
      <c r="Q67" s="6">
        <f>IF($A67="","", $P67*IFERROR(IF(XLOOKUP('Job Control'!$B$3, INPUT_JobSettings!$A:$A, INPUT_JobSettings!$F:$F, "")&lt;&gt;"", XLOOKUP('Job Control'!$B$3, INPUT_JobSettings!$A:$A, INPUT_JobSettings!$F:$F, ""), $B$6), $B$6))</f>
        <v/>
      </c>
      <c r="R67" s="6">
        <f>IF($A67="","", ($Q67+$N67)*IFERROR(IF(XLOOKUP('Job Control'!$B$3, INPUT_JobSettings!$A:$A, INPUT_JobSettings!$G:$G, "")&lt;&gt;"", XLOOKUP('Job Control'!$B$3, INPUT_JobSettings!$A:$A, INPUT_JobSettings!$G:$G, ""), $B$7), $B$7))</f>
        <v/>
      </c>
      <c r="S67" s="6">
        <f>IF($A67="","", XLOOKUP($A67, INPUT_Rooms!$B:$B, INPUT_Rooms!$AH:$AH, ""))</f>
        <v/>
      </c>
    </row>
    <row r="68">
      <c r="A68" s="6">
        <f>IFERROR(INDEX(FILTER(INPUT_Rooms!$B$4:$B$83, INPUT_Rooms!$A$4:$A$83=$B$4, INPUT_Rooms!$K$4:$K$83="Y"), 58), "")</f>
        <v/>
      </c>
      <c r="B68" s="6">
        <f>IF(A68="","", XLOOKUP(A68, FILTER(INPUT_Rooms!$B$4:$B$83, INPUT_Rooms!$A$4:$A$83=$B$4), FILTER(INPUT_Rooms!$C$4:$C$83, INPUT_Rooms!$A$4:$A$83=$B$4), ""))</f>
        <v/>
      </c>
      <c r="C68" s="6">
        <f>IF(A68="","", "Y")</f>
        <v/>
      </c>
      <c r="D68" s="6">
        <f>IF(A68="","", XLOOKUP(A68, INPUT_Rooms!$B:$B, INPUT_Rooms!$AD:$AD, ""))</f>
        <v/>
      </c>
      <c r="E68" s="6">
        <f>IF(A68="","", XLOOKUP(A68, INPUT_Rooms!$B:$B, INPUT_Rooms!$L:$L, ""))</f>
        <v/>
      </c>
      <c r="F68" s="6">
        <f>IF(A68="","", XLOOKUP(A68, INPUT_Rooms!$B:$B, INPUT_Rooms!$M:$M, ""))</f>
        <v/>
      </c>
      <c r="G68" s="6">
        <f>IF(A68="","", IF(XLOOKUP(A68, INPUT_Rooms!$B:$B, INPUT_Rooms!$N:$N, "")="", $B$5, XLOOKUP(A68, INPUT_Rooms!$B:$B, INPUT_Rooms!$N:$N, "")))</f>
        <v/>
      </c>
      <c r="H68" s="6">
        <f>IF(A68="","", D68*XLOOKUP("PrepMinsPerSqft",Constants!$A$20:$A$40,Constants!$B$20:$B$40)*XLOOKUP(G68,Constants!$E$10:$E$30,Constants!$F$10:$F$30))</f>
        <v/>
      </c>
      <c r="I68" s="6">
        <f>IF(A68="","", D68*XLOOKUP("PaintMinsPerSqftPerCoat",Constants!$A$20:$A$40,Constants!$B$20:$B$40)*F68)</f>
        <v/>
      </c>
      <c r="J68" s="6">
        <f>IF(A68="","", IF(E68="Full", D68*XLOOKUP("PrimerFullMinsPerSqft",Constants!$A$20:$A$40,Constants!$B$20:$B$40), IF(E68="Spot", D68*XLOOKUP("PrimerFullMinsPerSqft",Constants!$A$20:$A$40,Constants!$B$20:$B$40)*XLOOKUP("PrimerSpotFactor",Constants!$A$20:$A$40,Constants!$B$20:$B$40), 0)))</f>
        <v/>
      </c>
      <c r="K68" s="6">
        <f>IF(A68="","", SUMPRODUCT((INPUT_Openings!$A:$A=$B$4)*(INPUT_Openings!$B:$B=A68)*(INPUT_Openings!$D:$D)*INPUT_Openings!$F:$F))</f>
        <v/>
      </c>
      <c r="L68">
        <f>IF($A68="","",IF($D68="", "",IFERROR(CEILING( ($D68*$F68) / IFERROR(XLOOKUP(XLOOKUP('Job Control'!$B$3, INPUT_JobSettings!$A:$A, INPUT_JobSettings!$B:$B, ""), Constants!$A:$A, Constants!$D:$D, ""), ""), 0.25), "")))</f>
        <v/>
      </c>
      <c r="M68">
        <f>IF($A68="","",IF($E68="None",0,IF($D68="", "",IFERROR(CEILING( ($D68*IF($E68="Full",1, XLOOKUP("PrimerSpotFactor",Constants!$A$10:$A$60,Constants!$B$10:$B$60))) / IFERROR(XLOOKUP(XLOOKUP('Job Control'!$B$3, INPUT_JobSettings!$A:$A, INPUT_JobSettings!$E:$E, ""), Constants!$A:$A, Constants!$D:$D, ""), ""), 0.25), ""))))</f>
        <v/>
      </c>
      <c r="N68">
        <f>IF($A68="","",IFERROR($L68*IFERROR(XLOOKUP(XLOOKUP('Job Control'!$B$3, INPUT_JobSettings!$A:$A, INPUT_JobSettings!$B:$B, ""), Constants!$A:$A, Constants!$C:$C, 0), 0) + $M68*IFERROR(XLOOKUP(XLOOKUP('Job Control'!$B$3, INPUT_JobSettings!$A:$A, INPUT_JobSettings!$E:$E, ""), Constants!$A:$A, Constants!$C:$C, 0), 0),0))</f>
        <v/>
      </c>
      <c r="O68" s="6">
        <f>IF($A68="","", SUM($H68:$K68))</f>
        <v/>
      </c>
      <c r="P68" s="6">
        <f>IF($A68="","", $O68/60)</f>
        <v/>
      </c>
      <c r="Q68" s="6">
        <f>IF($A68="","", $P68*IFERROR(IF(XLOOKUP('Job Control'!$B$3, INPUT_JobSettings!$A:$A, INPUT_JobSettings!$F:$F, "")&lt;&gt;"", XLOOKUP('Job Control'!$B$3, INPUT_JobSettings!$A:$A, INPUT_JobSettings!$F:$F, ""), $B$6), $B$6))</f>
        <v/>
      </c>
      <c r="R68" s="6">
        <f>IF($A68="","", ($Q68+$N68)*IFERROR(IF(XLOOKUP('Job Control'!$B$3, INPUT_JobSettings!$A:$A, INPUT_JobSettings!$G:$G, "")&lt;&gt;"", XLOOKUP('Job Control'!$B$3, INPUT_JobSettings!$A:$A, INPUT_JobSettings!$G:$G, ""), $B$7), $B$7))</f>
        <v/>
      </c>
      <c r="S68" s="6">
        <f>IF($A68="","", XLOOKUP($A68, INPUT_Rooms!$B:$B, INPUT_Rooms!$AH:$AH, ""))</f>
        <v/>
      </c>
    </row>
    <row r="69">
      <c r="A69" s="6">
        <f>IFERROR(INDEX(FILTER(INPUT_Rooms!$B$4:$B$83, INPUT_Rooms!$A$4:$A$83=$B$4, INPUT_Rooms!$K$4:$K$83="Y"), 59), "")</f>
        <v/>
      </c>
      <c r="B69" s="6">
        <f>IF(A69="","", XLOOKUP(A69, FILTER(INPUT_Rooms!$B$4:$B$83, INPUT_Rooms!$A$4:$A$83=$B$4), FILTER(INPUT_Rooms!$C$4:$C$83, INPUT_Rooms!$A$4:$A$83=$B$4), ""))</f>
        <v/>
      </c>
      <c r="C69" s="6">
        <f>IF(A69="","", "Y")</f>
        <v/>
      </c>
      <c r="D69" s="6">
        <f>IF(A69="","", XLOOKUP(A69, INPUT_Rooms!$B:$B, INPUT_Rooms!$AD:$AD, ""))</f>
        <v/>
      </c>
      <c r="E69" s="6">
        <f>IF(A69="","", XLOOKUP(A69, INPUT_Rooms!$B:$B, INPUT_Rooms!$L:$L, ""))</f>
        <v/>
      </c>
      <c r="F69" s="6">
        <f>IF(A69="","", XLOOKUP(A69, INPUT_Rooms!$B:$B, INPUT_Rooms!$M:$M, ""))</f>
        <v/>
      </c>
      <c r="G69" s="6">
        <f>IF(A69="","", IF(XLOOKUP(A69, INPUT_Rooms!$B:$B, INPUT_Rooms!$N:$N, "")="", $B$5, XLOOKUP(A69, INPUT_Rooms!$B:$B, INPUT_Rooms!$N:$N, "")))</f>
        <v/>
      </c>
      <c r="H69" s="6">
        <f>IF(A69="","", D69*XLOOKUP("PrepMinsPerSqft",Constants!$A$20:$A$40,Constants!$B$20:$B$40)*XLOOKUP(G69,Constants!$E$10:$E$30,Constants!$F$10:$F$30))</f>
        <v/>
      </c>
      <c r="I69" s="6">
        <f>IF(A69="","", D69*XLOOKUP("PaintMinsPerSqftPerCoat",Constants!$A$20:$A$40,Constants!$B$20:$B$40)*F69)</f>
        <v/>
      </c>
      <c r="J69" s="6">
        <f>IF(A69="","", IF(E69="Full", D69*XLOOKUP("PrimerFullMinsPerSqft",Constants!$A$20:$A$40,Constants!$B$20:$B$40), IF(E69="Spot", D69*XLOOKUP("PrimerFullMinsPerSqft",Constants!$A$20:$A$40,Constants!$B$20:$B$40)*XLOOKUP("PrimerSpotFactor",Constants!$A$20:$A$40,Constants!$B$20:$B$40), 0)))</f>
        <v/>
      </c>
      <c r="K69" s="6">
        <f>IF(A69="","", SUMPRODUCT((INPUT_Openings!$A:$A=$B$4)*(INPUT_Openings!$B:$B=A69)*(INPUT_Openings!$D:$D)*INPUT_Openings!$F:$F))</f>
        <v/>
      </c>
      <c r="L69">
        <f>IF($A69="","",IF($D69="", "",IFERROR(CEILING( ($D69*$F69) / IFERROR(XLOOKUP(XLOOKUP('Job Control'!$B$3, INPUT_JobSettings!$A:$A, INPUT_JobSettings!$B:$B, ""), Constants!$A:$A, Constants!$D:$D, ""), ""), 0.25), "")))</f>
        <v/>
      </c>
      <c r="M69">
        <f>IF($A69="","",IF($E69="None",0,IF($D69="", "",IFERROR(CEILING( ($D69*IF($E69="Full",1, XLOOKUP("PrimerSpotFactor",Constants!$A$10:$A$60,Constants!$B$10:$B$60))) / IFERROR(XLOOKUP(XLOOKUP('Job Control'!$B$3, INPUT_JobSettings!$A:$A, INPUT_JobSettings!$E:$E, ""), Constants!$A:$A, Constants!$D:$D, ""), ""), 0.25), ""))))</f>
        <v/>
      </c>
      <c r="N69">
        <f>IF($A69="","",IFERROR($L69*IFERROR(XLOOKUP(XLOOKUP('Job Control'!$B$3, INPUT_JobSettings!$A:$A, INPUT_JobSettings!$B:$B, ""), Constants!$A:$A, Constants!$C:$C, 0), 0) + $M69*IFERROR(XLOOKUP(XLOOKUP('Job Control'!$B$3, INPUT_JobSettings!$A:$A, INPUT_JobSettings!$E:$E, ""), Constants!$A:$A, Constants!$C:$C, 0), 0),0))</f>
        <v/>
      </c>
      <c r="O69" s="6">
        <f>IF($A69="","", SUM($H69:$K69))</f>
        <v/>
      </c>
      <c r="P69" s="6">
        <f>IF($A69="","", $O69/60)</f>
        <v/>
      </c>
      <c r="Q69" s="6">
        <f>IF($A69="","", $P69*IFERROR(IF(XLOOKUP('Job Control'!$B$3, INPUT_JobSettings!$A:$A, INPUT_JobSettings!$F:$F, "")&lt;&gt;"", XLOOKUP('Job Control'!$B$3, INPUT_JobSettings!$A:$A, INPUT_JobSettings!$F:$F, ""), $B$6), $B$6))</f>
        <v/>
      </c>
      <c r="R69" s="6">
        <f>IF($A69="","", ($Q69+$N69)*IFERROR(IF(XLOOKUP('Job Control'!$B$3, INPUT_JobSettings!$A:$A, INPUT_JobSettings!$G:$G, "")&lt;&gt;"", XLOOKUP('Job Control'!$B$3, INPUT_JobSettings!$A:$A, INPUT_JobSettings!$G:$G, ""), $B$7), $B$7))</f>
        <v/>
      </c>
      <c r="S69" s="6">
        <f>IF($A69="","", XLOOKUP($A69, INPUT_Rooms!$B:$B, INPUT_Rooms!$AH:$AH, ""))</f>
        <v/>
      </c>
    </row>
    <row r="70">
      <c r="A70" s="6">
        <f>IFERROR(INDEX(FILTER(INPUT_Rooms!$B$4:$B$83, INPUT_Rooms!$A$4:$A$83=$B$4, INPUT_Rooms!$K$4:$K$83="Y"), 60), "")</f>
        <v/>
      </c>
      <c r="B70" s="6">
        <f>IF(A70="","", XLOOKUP(A70, FILTER(INPUT_Rooms!$B$4:$B$83, INPUT_Rooms!$A$4:$A$83=$B$4), FILTER(INPUT_Rooms!$C$4:$C$83, INPUT_Rooms!$A$4:$A$83=$B$4), ""))</f>
        <v/>
      </c>
      <c r="C70" s="6">
        <f>IF(A70="","", "Y")</f>
        <v/>
      </c>
      <c r="D70" s="6">
        <f>IF(A70="","", XLOOKUP(A70, INPUT_Rooms!$B:$B, INPUT_Rooms!$AD:$AD, ""))</f>
        <v/>
      </c>
      <c r="E70" s="6">
        <f>IF(A70="","", XLOOKUP(A70, INPUT_Rooms!$B:$B, INPUT_Rooms!$L:$L, ""))</f>
        <v/>
      </c>
      <c r="F70" s="6">
        <f>IF(A70="","", XLOOKUP(A70, INPUT_Rooms!$B:$B, INPUT_Rooms!$M:$M, ""))</f>
        <v/>
      </c>
      <c r="G70" s="6">
        <f>IF(A70="","", IF(XLOOKUP(A70, INPUT_Rooms!$B:$B, INPUT_Rooms!$N:$N, "")="", $B$5, XLOOKUP(A70, INPUT_Rooms!$B:$B, INPUT_Rooms!$N:$N, "")))</f>
        <v/>
      </c>
      <c r="H70" s="6">
        <f>IF(A70="","", D70*XLOOKUP("PrepMinsPerSqft",Constants!$A$20:$A$40,Constants!$B$20:$B$40)*XLOOKUP(G70,Constants!$E$10:$E$30,Constants!$F$10:$F$30))</f>
        <v/>
      </c>
      <c r="I70" s="6">
        <f>IF(A70="","", D70*XLOOKUP("PaintMinsPerSqftPerCoat",Constants!$A$20:$A$40,Constants!$B$20:$B$40)*F70)</f>
        <v/>
      </c>
      <c r="J70" s="6">
        <f>IF(A70="","", IF(E70="Full", D70*XLOOKUP("PrimerFullMinsPerSqft",Constants!$A$20:$A$40,Constants!$B$20:$B$40), IF(E70="Spot", D70*XLOOKUP("PrimerFullMinsPerSqft",Constants!$A$20:$A$40,Constants!$B$20:$B$40)*XLOOKUP("PrimerSpotFactor",Constants!$A$20:$A$40,Constants!$B$20:$B$40), 0)))</f>
        <v/>
      </c>
      <c r="K70" s="6">
        <f>IF(A70="","", SUMPRODUCT((INPUT_Openings!$A:$A=$B$4)*(INPUT_Openings!$B:$B=A70)*(INPUT_Openings!$D:$D)*INPUT_Openings!$F:$F))</f>
        <v/>
      </c>
      <c r="L70">
        <f>IF($A70="","",IF($D70="", "",IFERROR(CEILING( ($D70*$F70) / IFERROR(XLOOKUP(XLOOKUP('Job Control'!$B$3, INPUT_JobSettings!$A:$A, INPUT_JobSettings!$B:$B, ""), Constants!$A:$A, Constants!$D:$D, ""), ""), 0.25), "")))</f>
        <v/>
      </c>
      <c r="M70">
        <f>IF($A70="","",IF($E70="None",0,IF($D70="", "",IFERROR(CEILING( ($D70*IF($E70="Full",1, XLOOKUP("PrimerSpotFactor",Constants!$A$10:$A$60,Constants!$B$10:$B$60))) / IFERROR(XLOOKUP(XLOOKUP('Job Control'!$B$3, INPUT_JobSettings!$A:$A, INPUT_JobSettings!$E:$E, ""), Constants!$A:$A, Constants!$D:$D, ""), ""), 0.25), ""))))</f>
        <v/>
      </c>
      <c r="N70">
        <f>IF($A70="","",IFERROR($L70*IFERROR(XLOOKUP(XLOOKUP('Job Control'!$B$3, INPUT_JobSettings!$A:$A, INPUT_JobSettings!$B:$B, ""), Constants!$A:$A, Constants!$C:$C, 0), 0) + $M70*IFERROR(XLOOKUP(XLOOKUP('Job Control'!$B$3, INPUT_JobSettings!$A:$A, INPUT_JobSettings!$E:$E, ""), Constants!$A:$A, Constants!$C:$C, 0), 0),0))</f>
        <v/>
      </c>
      <c r="O70" s="6">
        <f>IF($A70="","", SUM($H70:$K70))</f>
        <v/>
      </c>
      <c r="P70" s="6">
        <f>IF($A70="","", $O70/60)</f>
        <v/>
      </c>
      <c r="Q70" s="6">
        <f>IF($A70="","", $P70*IFERROR(IF(XLOOKUP('Job Control'!$B$3, INPUT_JobSettings!$A:$A, INPUT_JobSettings!$F:$F, "")&lt;&gt;"", XLOOKUP('Job Control'!$B$3, INPUT_JobSettings!$A:$A, INPUT_JobSettings!$F:$F, ""), $B$6), $B$6))</f>
        <v/>
      </c>
      <c r="R70" s="6">
        <f>IF($A70="","", ($Q70+$N70)*IFERROR(IF(XLOOKUP('Job Control'!$B$3, INPUT_JobSettings!$A:$A, INPUT_JobSettings!$G:$G, "")&lt;&gt;"", XLOOKUP('Job Control'!$B$3, INPUT_JobSettings!$A:$A, INPUT_JobSettings!$G:$G, ""), $B$7), $B$7))</f>
        <v/>
      </c>
      <c r="S70" s="6">
        <f>IF($A70="","", XLOOKUP($A70, INPUT_Rooms!$B:$B, INPUT_Rooms!$AH:$AH, ""))</f>
        <v/>
      </c>
    </row>
    <row r="71">
      <c r="A71" s="6">
        <f>IFERROR(INDEX(FILTER(INPUT_Rooms!$B$4:$B$83, INPUT_Rooms!$A$4:$A$83=$B$4, INPUT_Rooms!$K$4:$K$83="Y"), 61), "")</f>
        <v/>
      </c>
      <c r="B71" s="6">
        <f>IF(A71="","", XLOOKUP(A71, FILTER(INPUT_Rooms!$B$4:$B$83, INPUT_Rooms!$A$4:$A$83=$B$4), FILTER(INPUT_Rooms!$C$4:$C$83, INPUT_Rooms!$A$4:$A$83=$B$4), ""))</f>
        <v/>
      </c>
      <c r="C71" s="6">
        <f>IF(A71="","", "Y")</f>
        <v/>
      </c>
      <c r="D71" s="6">
        <f>IF(A71="","", XLOOKUP(A71, INPUT_Rooms!$B:$B, INPUT_Rooms!$AD:$AD, ""))</f>
        <v/>
      </c>
      <c r="E71" s="6">
        <f>IF(A71="","", XLOOKUP(A71, INPUT_Rooms!$B:$B, INPUT_Rooms!$L:$L, ""))</f>
        <v/>
      </c>
      <c r="F71" s="6">
        <f>IF(A71="","", XLOOKUP(A71, INPUT_Rooms!$B:$B, INPUT_Rooms!$M:$M, ""))</f>
        <v/>
      </c>
      <c r="G71" s="6">
        <f>IF(A71="","", IF(XLOOKUP(A71, INPUT_Rooms!$B:$B, INPUT_Rooms!$N:$N, "")="", $B$5, XLOOKUP(A71, INPUT_Rooms!$B:$B, INPUT_Rooms!$N:$N, "")))</f>
        <v/>
      </c>
      <c r="H71" s="6">
        <f>IF(A71="","", D71*XLOOKUP("PrepMinsPerSqft",Constants!$A$20:$A$40,Constants!$B$20:$B$40)*XLOOKUP(G71,Constants!$E$10:$E$30,Constants!$F$10:$F$30))</f>
        <v/>
      </c>
      <c r="I71" s="6">
        <f>IF(A71="","", D71*XLOOKUP("PaintMinsPerSqftPerCoat",Constants!$A$20:$A$40,Constants!$B$20:$B$40)*F71)</f>
        <v/>
      </c>
      <c r="J71" s="6">
        <f>IF(A71="","", IF(E71="Full", D71*XLOOKUP("PrimerFullMinsPerSqft",Constants!$A$20:$A$40,Constants!$B$20:$B$40), IF(E71="Spot", D71*XLOOKUP("PrimerFullMinsPerSqft",Constants!$A$20:$A$40,Constants!$B$20:$B$40)*XLOOKUP("PrimerSpotFactor",Constants!$A$20:$A$40,Constants!$B$20:$B$40), 0)))</f>
        <v/>
      </c>
      <c r="K71" s="6">
        <f>IF(A71="","", SUMPRODUCT((INPUT_Openings!$A:$A=$B$4)*(INPUT_Openings!$B:$B=A71)*(INPUT_Openings!$D:$D)*INPUT_Openings!$F:$F))</f>
        <v/>
      </c>
      <c r="L71">
        <f>IF($A71="","",IF($D71="", "",IFERROR(CEILING( ($D71*$F71) / IFERROR(XLOOKUP(XLOOKUP('Job Control'!$B$3, INPUT_JobSettings!$A:$A, INPUT_JobSettings!$B:$B, ""), Constants!$A:$A, Constants!$D:$D, ""), ""), 0.25), "")))</f>
        <v/>
      </c>
      <c r="M71">
        <f>IF($A71="","",IF($E71="None",0,IF($D71="", "",IFERROR(CEILING( ($D71*IF($E71="Full",1, XLOOKUP("PrimerSpotFactor",Constants!$A$10:$A$60,Constants!$B$10:$B$60))) / IFERROR(XLOOKUP(XLOOKUP('Job Control'!$B$3, INPUT_JobSettings!$A:$A, INPUT_JobSettings!$E:$E, ""), Constants!$A:$A, Constants!$D:$D, ""), ""), 0.25), ""))))</f>
        <v/>
      </c>
      <c r="N71">
        <f>IF($A71="","",IFERROR($L71*IFERROR(XLOOKUP(XLOOKUP('Job Control'!$B$3, INPUT_JobSettings!$A:$A, INPUT_JobSettings!$B:$B, ""), Constants!$A:$A, Constants!$C:$C, 0), 0) + $M71*IFERROR(XLOOKUP(XLOOKUP('Job Control'!$B$3, INPUT_JobSettings!$A:$A, INPUT_JobSettings!$E:$E, ""), Constants!$A:$A, Constants!$C:$C, 0), 0),0))</f>
        <v/>
      </c>
      <c r="O71" s="6">
        <f>IF($A71="","", SUM($H71:$K71))</f>
        <v/>
      </c>
      <c r="P71" s="6">
        <f>IF($A71="","", $O71/60)</f>
        <v/>
      </c>
      <c r="Q71" s="6">
        <f>IF($A71="","", $P71*IFERROR(IF(XLOOKUP('Job Control'!$B$3, INPUT_JobSettings!$A:$A, INPUT_JobSettings!$F:$F, "")&lt;&gt;"", XLOOKUP('Job Control'!$B$3, INPUT_JobSettings!$A:$A, INPUT_JobSettings!$F:$F, ""), $B$6), $B$6))</f>
        <v/>
      </c>
      <c r="R71" s="6">
        <f>IF($A71="","", ($Q71+$N71)*IFERROR(IF(XLOOKUP('Job Control'!$B$3, INPUT_JobSettings!$A:$A, INPUT_JobSettings!$G:$G, "")&lt;&gt;"", XLOOKUP('Job Control'!$B$3, INPUT_JobSettings!$A:$A, INPUT_JobSettings!$G:$G, ""), $B$7), $B$7))</f>
        <v/>
      </c>
      <c r="S71" s="6">
        <f>IF($A71="","", XLOOKUP($A71, INPUT_Rooms!$B:$B, INPUT_Rooms!$AH:$AH, ""))</f>
        <v/>
      </c>
    </row>
    <row r="72">
      <c r="A72" s="6">
        <f>IFERROR(INDEX(FILTER(INPUT_Rooms!$B$4:$B$83, INPUT_Rooms!$A$4:$A$83=$B$4, INPUT_Rooms!$K$4:$K$83="Y"), 62), "")</f>
        <v/>
      </c>
      <c r="B72" s="6">
        <f>IF(A72="","", XLOOKUP(A72, FILTER(INPUT_Rooms!$B$4:$B$83, INPUT_Rooms!$A$4:$A$83=$B$4), FILTER(INPUT_Rooms!$C$4:$C$83, INPUT_Rooms!$A$4:$A$83=$B$4), ""))</f>
        <v/>
      </c>
      <c r="C72" s="6">
        <f>IF(A72="","", "Y")</f>
        <v/>
      </c>
      <c r="D72" s="6">
        <f>IF(A72="","", XLOOKUP(A72, INPUT_Rooms!$B:$B, INPUT_Rooms!$AD:$AD, ""))</f>
        <v/>
      </c>
      <c r="E72" s="6">
        <f>IF(A72="","", XLOOKUP(A72, INPUT_Rooms!$B:$B, INPUT_Rooms!$L:$L, ""))</f>
        <v/>
      </c>
      <c r="F72" s="6">
        <f>IF(A72="","", XLOOKUP(A72, INPUT_Rooms!$B:$B, INPUT_Rooms!$M:$M, ""))</f>
        <v/>
      </c>
      <c r="G72" s="6">
        <f>IF(A72="","", IF(XLOOKUP(A72, INPUT_Rooms!$B:$B, INPUT_Rooms!$N:$N, "")="", $B$5, XLOOKUP(A72, INPUT_Rooms!$B:$B, INPUT_Rooms!$N:$N, "")))</f>
        <v/>
      </c>
      <c r="H72" s="6">
        <f>IF(A72="","", D72*XLOOKUP("PrepMinsPerSqft",Constants!$A$20:$A$40,Constants!$B$20:$B$40)*XLOOKUP(G72,Constants!$E$10:$E$30,Constants!$F$10:$F$30))</f>
        <v/>
      </c>
      <c r="I72" s="6">
        <f>IF(A72="","", D72*XLOOKUP("PaintMinsPerSqftPerCoat",Constants!$A$20:$A$40,Constants!$B$20:$B$40)*F72)</f>
        <v/>
      </c>
      <c r="J72" s="6">
        <f>IF(A72="","", IF(E72="Full", D72*XLOOKUP("PrimerFullMinsPerSqft",Constants!$A$20:$A$40,Constants!$B$20:$B$40), IF(E72="Spot", D72*XLOOKUP("PrimerFullMinsPerSqft",Constants!$A$20:$A$40,Constants!$B$20:$B$40)*XLOOKUP("PrimerSpotFactor",Constants!$A$20:$A$40,Constants!$B$20:$B$40), 0)))</f>
        <v/>
      </c>
      <c r="K72" s="6">
        <f>IF(A72="","", SUMPRODUCT((INPUT_Openings!$A:$A=$B$4)*(INPUT_Openings!$B:$B=A72)*(INPUT_Openings!$D:$D)*INPUT_Openings!$F:$F))</f>
        <v/>
      </c>
      <c r="L72">
        <f>IF($A72="","",IF($D72="", "",IFERROR(CEILING( ($D72*$F72) / IFERROR(XLOOKUP(XLOOKUP('Job Control'!$B$3, INPUT_JobSettings!$A:$A, INPUT_JobSettings!$B:$B, ""), Constants!$A:$A, Constants!$D:$D, ""), ""), 0.25), "")))</f>
        <v/>
      </c>
      <c r="M72">
        <f>IF($A72="","",IF($E72="None",0,IF($D72="", "",IFERROR(CEILING( ($D72*IF($E72="Full",1, XLOOKUP("PrimerSpotFactor",Constants!$A$10:$A$60,Constants!$B$10:$B$60))) / IFERROR(XLOOKUP(XLOOKUP('Job Control'!$B$3, INPUT_JobSettings!$A:$A, INPUT_JobSettings!$E:$E, ""), Constants!$A:$A, Constants!$D:$D, ""), ""), 0.25), ""))))</f>
        <v/>
      </c>
      <c r="N72">
        <f>IF($A72="","",IFERROR($L72*IFERROR(XLOOKUP(XLOOKUP('Job Control'!$B$3, INPUT_JobSettings!$A:$A, INPUT_JobSettings!$B:$B, ""), Constants!$A:$A, Constants!$C:$C, 0), 0) + $M72*IFERROR(XLOOKUP(XLOOKUP('Job Control'!$B$3, INPUT_JobSettings!$A:$A, INPUT_JobSettings!$E:$E, ""), Constants!$A:$A, Constants!$C:$C, 0), 0),0))</f>
        <v/>
      </c>
      <c r="O72" s="6">
        <f>IF($A72="","", SUM($H72:$K72))</f>
        <v/>
      </c>
      <c r="P72" s="6">
        <f>IF($A72="","", $O72/60)</f>
        <v/>
      </c>
      <c r="Q72" s="6">
        <f>IF($A72="","", $P72*IFERROR(IF(XLOOKUP('Job Control'!$B$3, INPUT_JobSettings!$A:$A, INPUT_JobSettings!$F:$F, "")&lt;&gt;"", XLOOKUP('Job Control'!$B$3, INPUT_JobSettings!$A:$A, INPUT_JobSettings!$F:$F, ""), $B$6), $B$6))</f>
        <v/>
      </c>
      <c r="R72" s="6">
        <f>IF($A72="","", ($Q72+$N72)*IFERROR(IF(XLOOKUP('Job Control'!$B$3, INPUT_JobSettings!$A:$A, INPUT_JobSettings!$G:$G, "")&lt;&gt;"", XLOOKUP('Job Control'!$B$3, INPUT_JobSettings!$A:$A, INPUT_JobSettings!$G:$G, ""), $B$7), $B$7))</f>
        <v/>
      </c>
      <c r="S72" s="6">
        <f>IF($A72="","", XLOOKUP($A72, INPUT_Rooms!$B:$B, INPUT_Rooms!$AH:$AH, ""))</f>
        <v/>
      </c>
    </row>
    <row r="73">
      <c r="A73" s="6">
        <f>IFERROR(INDEX(FILTER(INPUT_Rooms!$B$4:$B$83, INPUT_Rooms!$A$4:$A$83=$B$4, INPUT_Rooms!$K$4:$K$83="Y"), 63), "")</f>
        <v/>
      </c>
      <c r="B73" s="6">
        <f>IF(A73="","", XLOOKUP(A73, FILTER(INPUT_Rooms!$B$4:$B$83, INPUT_Rooms!$A$4:$A$83=$B$4), FILTER(INPUT_Rooms!$C$4:$C$83, INPUT_Rooms!$A$4:$A$83=$B$4), ""))</f>
        <v/>
      </c>
      <c r="C73" s="6">
        <f>IF(A73="","", "Y")</f>
        <v/>
      </c>
      <c r="D73" s="6">
        <f>IF(A73="","", XLOOKUP(A73, INPUT_Rooms!$B:$B, INPUT_Rooms!$AD:$AD, ""))</f>
        <v/>
      </c>
      <c r="E73" s="6">
        <f>IF(A73="","", XLOOKUP(A73, INPUT_Rooms!$B:$B, INPUT_Rooms!$L:$L, ""))</f>
        <v/>
      </c>
      <c r="F73" s="6">
        <f>IF(A73="","", XLOOKUP(A73, INPUT_Rooms!$B:$B, INPUT_Rooms!$M:$M, ""))</f>
        <v/>
      </c>
      <c r="G73" s="6">
        <f>IF(A73="","", IF(XLOOKUP(A73, INPUT_Rooms!$B:$B, INPUT_Rooms!$N:$N, "")="", $B$5, XLOOKUP(A73, INPUT_Rooms!$B:$B, INPUT_Rooms!$N:$N, "")))</f>
        <v/>
      </c>
      <c r="H73" s="6">
        <f>IF(A73="","", D73*XLOOKUP("PrepMinsPerSqft",Constants!$A$20:$A$40,Constants!$B$20:$B$40)*XLOOKUP(G73,Constants!$E$10:$E$30,Constants!$F$10:$F$30))</f>
        <v/>
      </c>
      <c r="I73" s="6">
        <f>IF(A73="","", D73*XLOOKUP("PaintMinsPerSqftPerCoat",Constants!$A$20:$A$40,Constants!$B$20:$B$40)*F73)</f>
        <v/>
      </c>
      <c r="J73" s="6">
        <f>IF(A73="","", IF(E73="Full", D73*XLOOKUP("PrimerFullMinsPerSqft",Constants!$A$20:$A$40,Constants!$B$20:$B$40), IF(E73="Spot", D73*XLOOKUP("PrimerFullMinsPerSqft",Constants!$A$20:$A$40,Constants!$B$20:$B$40)*XLOOKUP("PrimerSpotFactor",Constants!$A$20:$A$40,Constants!$B$20:$B$40), 0)))</f>
        <v/>
      </c>
      <c r="K73" s="6">
        <f>IF(A73="","", SUMPRODUCT((INPUT_Openings!$A:$A=$B$4)*(INPUT_Openings!$B:$B=A73)*(INPUT_Openings!$D:$D)*INPUT_Openings!$F:$F))</f>
        <v/>
      </c>
      <c r="L73">
        <f>IF($A73="","",IF($D73="", "",IFERROR(CEILING( ($D73*$F73) / IFERROR(XLOOKUP(XLOOKUP('Job Control'!$B$3, INPUT_JobSettings!$A:$A, INPUT_JobSettings!$B:$B, ""), Constants!$A:$A, Constants!$D:$D, ""), ""), 0.25), "")))</f>
        <v/>
      </c>
      <c r="M73">
        <f>IF($A73="","",IF($E73="None",0,IF($D73="", "",IFERROR(CEILING( ($D73*IF($E73="Full",1, XLOOKUP("PrimerSpotFactor",Constants!$A$10:$A$60,Constants!$B$10:$B$60))) / IFERROR(XLOOKUP(XLOOKUP('Job Control'!$B$3, INPUT_JobSettings!$A:$A, INPUT_JobSettings!$E:$E, ""), Constants!$A:$A, Constants!$D:$D, ""), ""), 0.25), ""))))</f>
        <v/>
      </c>
      <c r="N73">
        <f>IF($A73="","",IFERROR($L73*IFERROR(XLOOKUP(XLOOKUP('Job Control'!$B$3, INPUT_JobSettings!$A:$A, INPUT_JobSettings!$B:$B, ""), Constants!$A:$A, Constants!$C:$C, 0), 0) + $M73*IFERROR(XLOOKUP(XLOOKUP('Job Control'!$B$3, INPUT_JobSettings!$A:$A, INPUT_JobSettings!$E:$E, ""), Constants!$A:$A, Constants!$C:$C, 0), 0),0))</f>
        <v/>
      </c>
      <c r="O73" s="6">
        <f>IF($A73="","", SUM($H73:$K73))</f>
        <v/>
      </c>
      <c r="P73" s="6">
        <f>IF($A73="","", $O73/60)</f>
        <v/>
      </c>
      <c r="Q73" s="6">
        <f>IF($A73="","", $P73*IFERROR(IF(XLOOKUP('Job Control'!$B$3, INPUT_JobSettings!$A:$A, INPUT_JobSettings!$F:$F, "")&lt;&gt;"", XLOOKUP('Job Control'!$B$3, INPUT_JobSettings!$A:$A, INPUT_JobSettings!$F:$F, ""), $B$6), $B$6))</f>
        <v/>
      </c>
      <c r="R73" s="6">
        <f>IF($A73="","", ($Q73+$N73)*IFERROR(IF(XLOOKUP('Job Control'!$B$3, INPUT_JobSettings!$A:$A, INPUT_JobSettings!$G:$G, "")&lt;&gt;"", XLOOKUP('Job Control'!$B$3, INPUT_JobSettings!$A:$A, INPUT_JobSettings!$G:$G, ""), $B$7), $B$7))</f>
        <v/>
      </c>
      <c r="S73" s="6">
        <f>IF($A73="","", XLOOKUP($A73, INPUT_Rooms!$B:$B, INPUT_Rooms!$AH:$AH, ""))</f>
        <v/>
      </c>
    </row>
    <row r="74">
      <c r="A74" s="6">
        <f>IFERROR(INDEX(FILTER(INPUT_Rooms!$B$4:$B$83, INPUT_Rooms!$A$4:$A$83=$B$4, INPUT_Rooms!$K$4:$K$83="Y"), 64), "")</f>
        <v/>
      </c>
      <c r="B74" s="6">
        <f>IF(A74="","", XLOOKUP(A74, FILTER(INPUT_Rooms!$B$4:$B$83, INPUT_Rooms!$A$4:$A$83=$B$4), FILTER(INPUT_Rooms!$C$4:$C$83, INPUT_Rooms!$A$4:$A$83=$B$4), ""))</f>
        <v/>
      </c>
      <c r="C74" s="6">
        <f>IF(A74="","", "Y")</f>
        <v/>
      </c>
      <c r="D74" s="6">
        <f>IF(A74="","", XLOOKUP(A74, INPUT_Rooms!$B:$B, INPUT_Rooms!$AD:$AD, ""))</f>
        <v/>
      </c>
      <c r="E74" s="6">
        <f>IF(A74="","", XLOOKUP(A74, INPUT_Rooms!$B:$B, INPUT_Rooms!$L:$L, ""))</f>
        <v/>
      </c>
      <c r="F74" s="6">
        <f>IF(A74="","", XLOOKUP(A74, INPUT_Rooms!$B:$B, INPUT_Rooms!$M:$M, ""))</f>
        <v/>
      </c>
      <c r="G74" s="6">
        <f>IF(A74="","", IF(XLOOKUP(A74, INPUT_Rooms!$B:$B, INPUT_Rooms!$N:$N, "")="", $B$5, XLOOKUP(A74, INPUT_Rooms!$B:$B, INPUT_Rooms!$N:$N, "")))</f>
        <v/>
      </c>
      <c r="H74" s="6">
        <f>IF(A74="","", D74*XLOOKUP("PrepMinsPerSqft",Constants!$A$20:$A$40,Constants!$B$20:$B$40)*XLOOKUP(G74,Constants!$E$10:$E$30,Constants!$F$10:$F$30))</f>
        <v/>
      </c>
      <c r="I74" s="6">
        <f>IF(A74="","", D74*XLOOKUP("PaintMinsPerSqftPerCoat",Constants!$A$20:$A$40,Constants!$B$20:$B$40)*F74)</f>
        <v/>
      </c>
      <c r="J74" s="6">
        <f>IF(A74="","", IF(E74="Full", D74*XLOOKUP("PrimerFullMinsPerSqft",Constants!$A$20:$A$40,Constants!$B$20:$B$40), IF(E74="Spot", D74*XLOOKUP("PrimerFullMinsPerSqft",Constants!$A$20:$A$40,Constants!$B$20:$B$40)*XLOOKUP("PrimerSpotFactor",Constants!$A$20:$A$40,Constants!$B$20:$B$40), 0)))</f>
        <v/>
      </c>
      <c r="K74" s="6">
        <f>IF(A74="","", SUMPRODUCT((INPUT_Openings!$A:$A=$B$4)*(INPUT_Openings!$B:$B=A74)*(INPUT_Openings!$D:$D)*INPUT_Openings!$F:$F))</f>
        <v/>
      </c>
      <c r="L74">
        <f>IF($A74="","",IF($D74="", "",IFERROR(CEILING( ($D74*$F74) / IFERROR(XLOOKUP(XLOOKUP('Job Control'!$B$3, INPUT_JobSettings!$A:$A, INPUT_JobSettings!$B:$B, ""), Constants!$A:$A, Constants!$D:$D, ""), ""), 0.25), "")))</f>
        <v/>
      </c>
      <c r="M74">
        <f>IF($A74="","",IF($E74="None",0,IF($D74="", "",IFERROR(CEILING( ($D74*IF($E74="Full",1, XLOOKUP("PrimerSpotFactor",Constants!$A$10:$A$60,Constants!$B$10:$B$60))) / IFERROR(XLOOKUP(XLOOKUP('Job Control'!$B$3, INPUT_JobSettings!$A:$A, INPUT_JobSettings!$E:$E, ""), Constants!$A:$A, Constants!$D:$D, ""), ""), 0.25), ""))))</f>
        <v/>
      </c>
      <c r="N74">
        <f>IF($A74="","",IFERROR($L74*IFERROR(XLOOKUP(XLOOKUP('Job Control'!$B$3, INPUT_JobSettings!$A:$A, INPUT_JobSettings!$B:$B, ""), Constants!$A:$A, Constants!$C:$C, 0), 0) + $M74*IFERROR(XLOOKUP(XLOOKUP('Job Control'!$B$3, INPUT_JobSettings!$A:$A, INPUT_JobSettings!$E:$E, ""), Constants!$A:$A, Constants!$C:$C, 0), 0),0))</f>
        <v/>
      </c>
      <c r="O74" s="6">
        <f>IF($A74="","", SUM($H74:$K74))</f>
        <v/>
      </c>
      <c r="P74" s="6">
        <f>IF($A74="","", $O74/60)</f>
        <v/>
      </c>
      <c r="Q74" s="6">
        <f>IF($A74="","", $P74*IFERROR(IF(XLOOKUP('Job Control'!$B$3, INPUT_JobSettings!$A:$A, INPUT_JobSettings!$F:$F, "")&lt;&gt;"", XLOOKUP('Job Control'!$B$3, INPUT_JobSettings!$A:$A, INPUT_JobSettings!$F:$F, ""), $B$6), $B$6))</f>
        <v/>
      </c>
      <c r="R74" s="6">
        <f>IF($A74="","", ($Q74+$N74)*IFERROR(IF(XLOOKUP('Job Control'!$B$3, INPUT_JobSettings!$A:$A, INPUT_JobSettings!$G:$G, "")&lt;&gt;"", XLOOKUP('Job Control'!$B$3, INPUT_JobSettings!$A:$A, INPUT_JobSettings!$G:$G, ""), $B$7), $B$7))</f>
        <v/>
      </c>
      <c r="S74" s="6">
        <f>IF($A74="","", XLOOKUP($A74, INPUT_Rooms!$B:$B, INPUT_Rooms!$AH:$AH, ""))</f>
        <v/>
      </c>
    </row>
    <row r="75">
      <c r="A75" s="6">
        <f>IFERROR(INDEX(FILTER(INPUT_Rooms!$B$4:$B$83, INPUT_Rooms!$A$4:$A$83=$B$4, INPUT_Rooms!$K$4:$K$83="Y"), 65), "")</f>
        <v/>
      </c>
      <c r="B75" s="6">
        <f>IF(A75="","", XLOOKUP(A75, FILTER(INPUT_Rooms!$B$4:$B$83, INPUT_Rooms!$A$4:$A$83=$B$4), FILTER(INPUT_Rooms!$C$4:$C$83, INPUT_Rooms!$A$4:$A$83=$B$4), ""))</f>
        <v/>
      </c>
      <c r="C75" s="6">
        <f>IF(A75="","", "Y")</f>
        <v/>
      </c>
      <c r="D75" s="6">
        <f>IF(A75="","", XLOOKUP(A75, INPUT_Rooms!$B:$B, INPUT_Rooms!$AD:$AD, ""))</f>
        <v/>
      </c>
      <c r="E75" s="6">
        <f>IF(A75="","", XLOOKUP(A75, INPUT_Rooms!$B:$B, INPUT_Rooms!$L:$L, ""))</f>
        <v/>
      </c>
      <c r="F75" s="6">
        <f>IF(A75="","", XLOOKUP(A75, INPUT_Rooms!$B:$B, INPUT_Rooms!$M:$M, ""))</f>
        <v/>
      </c>
      <c r="G75" s="6">
        <f>IF(A75="","", IF(XLOOKUP(A75, INPUT_Rooms!$B:$B, INPUT_Rooms!$N:$N, "")="", $B$5, XLOOKUP(A75, INPUT_Rooms!$B:$B, INPUT_Rooms!$N:$N, "")))</f>
        <v/>
      </c>
      <c r="H75" s="6">
        <f>IF(A75="","", D75*XLOOKUP("PrepMinsPerSqft",Constants!$A$20:$A$40,Constants!$B$20:$B$40)*XLOOKUP(G75,Constants!$E$10:$E$30,Constants!$F$10:$F$30))</f>
        <v/>
      </c>
      <c r="I75" s="6">
        <f>IF(A75="","", D75*XLOOKUP("PaintMinsPerSqftPerCoat",Constants!$A$20:$A$40,Constants!$B$20:$B$40)*F75)</f>
        <v/>
      </c>
      <c r="J75" s="6">
        <f>IF(A75="","", IF(E75="Full", D75*XLOOKUP("PrimerFullMinsPerSqft",Constants!$A$20:$A$40,Constants!$B$20:$B$40), IF(E75="Spot", D75*XLOOKUP("PrimerFullMinsPerSqft",Constants!$A$20:$A$40,Constants!$B$20:$B$40)*XLOOKUP("PrimerSpotFactor",Constants!$A$20:$A$40,Constants!$B$20:$B$40), 0)))</f>
        <v/>
      </c>
      <c r="K75" s="6">
        <f>IF(A75="","", SUMPRODUCT((INPUT_Openings!$A:$A=$B$4)*(INPUT_Openings!$B:$B=A75)*(INPUT_Openings!$D:$D)*INPUT_Openings!$F:$F))</f>
        <v/>
      </c>
      <c r="L75">
        <f>IF($A75="","",IF($D75="", "",IFERROR(CEILING( ($D75*$F75) / IFERROR(XLOOKUP(XLOOKUP('Job Control'!$B$3, INPUT_JobSettings!$A:$A, INPUT_JobSettings!$B:$B, ""), Constants!$A:$A, Constants!$D:$D, ""), ""), 0.25), "")))</f>
        <v/>
      </c>
      <c r="M75">
        <f>IF($A75="","",IF($E75="None",0,IF($D75="", "",IFERROR(CEILING( ($D75*IF($E75="Full",1, XLOOKUP("PrimerSpotFactor",Constants!$A$10:$A$60,Constants!$B$10:$B$60))) / IFERROR(XLOOKUP(XLOOKUP('Job Control'!$B$3, INPUT_JobSettings!$A:$A, INPUT_JobSettings!$E:$E, ""), Constants!$A:$A, Constants!$D:$D, ""), ""), 0.25), ""))))</f>
        <v/>
      </c>
      <c r="N75">
        <f>IF($A75="","",IFERROR($L75*IFERROR(XLOOKUP(XLOOKUP('Job Control'!$B$3, INPUT_JobSettings!$A:$A, INPUT_JobSettings!$B:$B, ""), Constants!$A:$A, Constants!$C:$C, 0), 0) + $M75*IFERROR(XLOOKUP(XLOOKUP('Job Control'!$B$3, INPUT_JobSettings!$A:$A, INPUT_JobSettings!$E:$E, ""), Constants!$A:$A, Constants!$C:$C, 0), 0),0))</f>
        <v/>
      </c>
      <c r="O75" s="6">
        <f>IF($A75="","", SUM($H75:$K75))</f>
        <v/>
      </c>
      <c r="P75" s="6">
        <f>IF($A75="","", $O75/60)</f>
        <v/>
      </c>
      <c r="Q75" s="6">
        <f>IF($A75="","", $P75*IFERROR(IF(XLOOKUP('Job Control'!$B$3, INPUT_JobSettings!$A:$A, INPUT_JobSettings!$F:$F, "")&lt;&gt;"", XLOOKUP('Job Control'!$B$3, INPUT_JobSettings!$A:$A, INPUT_JobSettings!$F:$F, ""), $B$6), $B$6))</f>
        <v/>
      </c>
      <c r="R75" s="6">
        <f>IF($A75="","", ($Q75+$N75)*IFERROR(IF(XLOOKUP('Job Control'!$B$3, INPUT_JobSettings!$A:$A, INPUT_JobSettings!$G:$G, "")&lt;&gt;"", XLOOKUP('Job Control'!$B$3, INPUT_JobSettings!$A:$A, INPUT_JobSettings!$G:$G, ""), $B$7), $B$7))</f>
        <v/>
      </c>
      <c r="S75" s="6">
        <f>IF($A75="","", XLOOKUP($A75, INPUT_Rooms!$B:$B, INPUT_Rooms!$AH:$AH, ""))</f>
        <v/>
      </c>
    </row>
    <row r="76">
      <c r="A76" s="6">
        <f>IFERROR(INDEX(FILTER(INPUT_Rooms!$B$4:$B$83, INPUT_Rooms!$A$4:$A$83=$B$4, INPUT_Rooms!$K$4:$K$83="Y"), 66), "")</f>
        <v/>
      </c>
      <c r="B76" s="6">
        <f>IF(A76="","", XLOOKUP(A76, FILTER(INPUT_Rooms!$B$4:$B$83, INPUT_Rooms!$A$4:$A$83=$B$4), FILTER(INPUT_Rooms!$C$4:$C$83, INPUT_Rooms!$A$4:$A$83=$B$4), ""))</f>
        <v/>
      </c>
      <c r="C76" s="6">
        <f>IF(A76="","", "Y")</f>
        <v/>
      </c>
      <c r="D76" s="6">
        <f>IF(A76="","", XLOOKUP(A76, INPUT_Rooms!$B:$B, INPUT_Rooms!$AD:$AD, ""))</f>
        <v/>
      </c>
      <c r="E76" s="6">
        <f>IF(A76="","", XLOOKUP(A76, INPUT_Rooms!$B:$B, INPUT_Rooms!$L:$L, ""))</f>
        <v/>
      </c>
      <c r="F76" s="6">
        <f>IF(A76="","", XLOOKUP(A76, INPUT_Rooms!$B:$B, INPUT_Rooms!$M:$M, ""))</f>
        <v/>
      </c>
      <c r="G76" s="6">
        <f>IF(A76="","", IF(XLOOKUP(A76, INPUT_Rooms!$B:$B, INPUT_Rooms!$N:$N, "")="", $B$5, XLOOKUP(A76, INPUT_Rooms!$B:$B, INPUT_Rooms!$N:$N, "")))</f>
        <v/>
      </c>
      <c r="H76" s="6">
        <f>IF(A76="","", D76*XLOOKUP("PrepMinsPerSqft",Constants!$A$20:$A$40,Constants!$B$20:$B$40)*XLOOKUP(G76,Constants!$E$10:$E$30,Constants!$F$10:$F$30))</f>
        <v/>
      </c>
      <c r="I76" s="6">
        <f>IF(A76="","", D76*XLOOKUP("PaintMinsPerSqftPerCoat",Constants!$A$20:$A$40,Constants!$B$20:$B$40)*F76)</f>
        <v/>
      </c>
      <c r="J76" s="6">
        <f>IF(A76="","", IF(E76="Full", D76*XLOOKUP("PrimerFullMinsPerSqft",Constants!$A$20:$A$40,Constants!$B$20:$B$40), IF(E76="Spot", D76*XLOOKUP("PrimerFullMinsPerSqft",Constants!$A$20:$A$40,Constants!$B$20:$B$40)*XLOOKUP("PrimerSpotFactor",Constants!$A$20:$A$40,Constants!$B$20:$B$40), 0)))</f>
        <v/>
      </c>
      <c r="K76" s="6">
        <f>IF(A76="","", SUMPRODUCT((INPUT_Openings!$A:$A=$B$4)*(INPUT_Openings!$B:$B=A76)*(INPUT_Openings!$D:$D)*INPUT_Openings!$F:$F))</f>
        <v/>
      </c>
      <c r="L76">
        <f>IF($A76="","",IF($D76="", "",IFERROR(CEILING( ($D76*$F76) / IFERROR(XLOOKUP(XLOOKUP('Job Control'!$B$3, INPUT_JobSettings!$A:$A, INPUT_JobSettings!$B:$B, ""), Constants!$A:$A, Constants!$D:$D, ""), ""), 0.25), "")))</f>
        <v/>
      </c>
      <c r="M76">
        <f>IF($A76="","",IF($E76="None",0,IF($D76="", "",IFERROR(CEILING( ($D76*IF($E76="Full",1, XLOOKUP("PrimerSpotFactor",Constants!$A$10:$A$60,Constants!$B$10:$B$60))) / IFERROR(XLOOKUP(XLOOKUP('Job Control'!$B$3, INPUT_JobSettings!$A:$A, INPUT_JobSettings!$E:$E, ""), Constants!$A:$A, Constants!$D:$D, ""), ""), 0.25), ""))))</f>
        <v/>
      </c>
      <c r="N76">
        <f>IF($A76="","",IFERROR($L76*IFERROR(XLOOKUP(XLOOKUP('Job Control'!$B$3, INPUT_JobSettings!$A:$A, INPUT_JobSettings!$B:$B, ""), Constants!$A:$A, Constants!$C:$C, 0), 0) + $M76*IFERROR(XLOOKUP(XLOOKUP('Job Control'!$B$3, INPUT_JobSettings!$A:$A, INPUT_JobSettings!$E:$E, ""), Constants!$A:$A, Constants!$C:$C, 0), 0),0))</f>
        <v/>
      </c>
      <c r="O76" s="6">
        <f>IF($A76="","", SUM($H76:$K76))</f>
        <v/>
      </c>
      <c r="P76" s="6">
        <f>IF($A76="","", $O76/60)</f>
        <v/>
      </c>
      <c r="Q76" s="6">
        <f>IF($A76="","", $P76*IFERROR(IF(XLOOKUP('Job Control'!$B$3, INPUT_JobSettings!$A:$A, INPUT_JobSettings!$F:$F, "")&lt;&gt;"", XLOOKUP('Job Control'!$B$3, INPUT_JobSettings!$A:$A, INPUT_JobSettings!$F:$F, ""), $B$6), $B$6))</f>
        <v/>
      </c>
      <c r="R76" s="6">
        <f>IF($A76="","", ($Q76+$N76)*IFERROR(IF(XLOOKUP('Job Control'!$B$3, INPUT_JobSettings!$A:$A, INPUT_JobSettings!$G:$G, "")&lt;&gt;"", XLOOKUP('Job Control'!$B$3, INPUT_JobSettings!$A:$A, INPUT_JobSettings!$G:$G, ""), $B$7), $B$7))</f>
        <v/>
      </c>
      <c r="S76" s="6">
        <f>IF($A76="","", XLOOKUP($A76, INPUT_Rooms!$B:$B, INPUT_Rooms!$AH:$AH, ""))</f>
        <v/>
      </c>
    </row>
    <row r="77">
      <c r="A77" s="6">
        <f>IFERROR(INDEX(FILTER(INPUT_Rooms!$B$4:$B$83, INPUT_Rooms!$A$4:$A$83=$B$4, INPUT_Rooms!$K$4:$K$83="Y"), 67), "")</f>
        <v/>
      </c>
      <c r="B77" s="6">
        <f>IF(A77="","", XLOOKUP(A77, FILTER(INPUT_Rooms!$B$4:$B$83, INPUT_Rooms!$A$4:$A$83=$B$4), FILTER(INPUT_Rooms!$C$4:$C$83, INPUT_Rooms!$A$4:$A$83=$B$4), ""))</f>
        <v/>
      </c>
      <c r="C77" s="6">
        <f>IF(A77="","", "Y")</f>
        <v/>
      </c>
      <c r="D77" s="6">
        <f>IF(A77="","", XLOOKUP(A77, INPUT_Rooms!$B:$B, INPUT_Rooms!$AD:$AD, ""))</f>
        <v/>
      </c>
      <c r="E77" s="6">
        <f>IF(A77="","", XLOOKUP(A77, INPUT_Rooms!$B:$B, INPUT_Rooms!$L:$L, ""))</f>
        <v/>
      </c>
      <c r="F77" s="6">
        <f>IF(A77="","", XLOOKUP(A77, INPUT_Rooms!$B:$B, INPUT_Rooms!$M:$M, ""))</f>
        <v/>
      </c>
      <c r="G77" s="6">
        <f>IF(A77="","", IF(XLOOKUP(A77, INPUT_Rooms!$B:$B, INPUT_Rooms!$N:$N, "")="", $B$5, XLOOKUP(A77, INPUT_Rooms!$B:$B, INPUT_Rooms!$N:$N, "")))</f>
        <v/>
      </c>
      <c r="H77" s="6">
        <f>IF(A77="","", D77*XLOOKUP("PrepMinsPerSqft",Constants!$A$20:$A$40,Constants!$B$20:$B$40)*XLOOKUP(G77,Constants!$E$10:$E$30,Constants!$F$10:$F$30))</f>
        <v/>
      </c>
      <c r="I77" s="6">
        <f>IF(A77="","", D77*XLOOKUP("PaintMinsPerSqftPerCoat",Constants!$A$20:$A$40,Constants!$B$20:$B$40)*F77)</f>
        <v/>
      </c>
      <c r="J77" s="6">
        <f>IF(A77="","", IF(E77="Full", D77*XLOOKUP("PrimerFullMinsPerSqft",Constants!$A$20:$A$40,Constants!$B$20:$B$40), IF(E77="Spot", D77*XLOOKUP("PrimerFullMinsPerSqft",Constants!$A$20:$A$40,Constants!$B$20:$B$40)*XLOOKUP("PrimerSpotFactor",Constants!$A$20:$A$40,Constants!$B$20:$B$40), 0)))</f>
        <v/>
      </c>
      <c r="K77" s="6">
        <f>IF(A77="","", SUMPRODUCT((INPUT_Openings!$A:$A=$B$4)*(INPUT_Openings!$B:$B=A77)*(INPUT_Openings!$D:$D)*INPUT_Openings!$F:$F))</f>
        <v/>
      </c>
      <c r="L77">
        <f>IF($A77="","",IF($D77="", "",IFERROR(CEILING( ($D77*$F77) / IFERROR(XLOOKUP(XLOOKUP('Job Control'!$B$3, INPUT_JobSettings!$A:$A, INPUT_JobSettings!$B:$B, ""), Constants!$A:$A, Constants!$D:$D, ""), ""), 0.25), "")))</f>
        <v/>
      </c>
      <c r="M77">
        <f>IF($A77="","",IF($E77="None",0,IF($D77="", "",IFERROR(CEILING( ($D77*IF($E77="Full",1, XLOOKUP("PrimerSpotFactor",Constants!$A$10:$A$60,Constants!$B$10:$B$60))) / IFERROR(XLOOKUP(XLOOKUP('Job Control'!$B$3, INPUT_JobSettings!$A:$A, INPUT_JobSettings!$E:$E, ""), Constants!$A:$A, Constants!$D:$D, ""), ""), 0.25), ""))))</f>
        <v/>
      </c>
      <c r="N77">
        <f>IF($A77="","",IFERROR($L77*IFERROR(XLOOKUP(XLOOKUP('Job Control'!$B$3, INPUT_JobSettings!$A:$A, INPUT_JobSettings!$B:$B, ""), Constants!$A:$A, Constants!$C:$C, 0), 0) + $M77*IFERROR(XLOOKUP(XLOOKUP('Job Control'!$B$3, INPUT_JobSettings!$A:$A, INPUT_JobSettings!$E:$E, ""), Constants!$A:$A, Constants!$C:$C, 0), 0),0))</f>
        <v/>
      </c>
      <c r="O77" s="6">
        <f>IF($A77="","", SUM($H77:$K77))</f>
        <v/>
      </c>
      <c r="P77" s="6">
        <f>IF($A77="","", $O77/60)</f>
        <v/>
      </c>
      <c r="Q77" s="6">
        <f>IF($A77="","", $P77*IFERROR(IF(XLOOKUP('Job Control'!$B$3, INPUT_JobSettings!$A:$A, INPUT_JobSettings!$F:$F, "")&lt;&gt;"", XLOOKUP('Job Control'!$B$3, INPUT_JobSettings!$A:$A, INPUT_JobSettings!$F:$F, ""), $B$6), $B$6))</f>
        <v/>
      </c>
      <c r="R77" s="6">
        <f>IF($A77="","", ($Q77+$N77)*IFERROR(IF(XLOOKUP('Job Control'!$B$3, INPUT_JobSettings!$A:$A, INPUT_JobSettings!$G:$G, "")&lt;&gt;"", XLOOKUP('Job Control'!$B$3, INPUT_JobSettings!$A:$A, INPUT_JobSettings!$G:$G, ""), $B$7), $B$7))</f>
        <v/>
      </c>
      <c r="S77" s="6">
        <f>IF($A77="","", XLOOKUP($A77, INPUT_Rooms!$B:$B, INPUT_Rooms!$AH:$AH, ""))</f>
        <v/>
      </c>
    </row>
    <row r="78">
      <c r="A78" s="6">
        <f>IFERROR(INDEX(FILTER(INPUT_Rooms!$B$4:$B$83, INPUT_Rooms!$A$4:$A$83=$B$4, INPUT_Rooms!$K$4:$K$83="Y"), 68), "")</f>
        <v/>
      </c>
      <c r="B78" s="6">
        <f>IF(A78="","", XLOOKUP(A78, FILTER(INPUT_Rooms!$B$4:$B$83, INPUT_Rooms!$A$4:$A$83=$B$4), FILTER(INPUT_Rooms!$C$4:$C$83, INPUT_Rooms!$A$4:$A$83=$B$4), ""))</f>
        <v/>
      </c>
      <c r="C78" s="6">
        <f>IF(A78="","", "Y")</f>
        <v/>
      </c>
      <c r="D78" s="6">
        <f>IF(A78="","", XLOOKUP(A78, INPUT_Rooms!$B:$B, INPUT_Rooms!$AD:$AD, ""))</f>
        <v/>
      </c>
      <c r="E78" s="6">
        <f>IF(A78="","", XLOOKUP(A78, INPUT_Rooms!$B:$B, INPUT_Rooms!$L:$L, ""))</f>
        <v/>
      </c>
      <c r="F78" s="6">
        <f>IF(A78="","", XLOOKUP(A78, INPUT_Rooms!$B:$B, INPUT_Rooms!$M:$M, ""))</f>
        <v/>
      </c>
      <c r="G78" s="6">
        <f>IF(A78="","", IF(XLOOKUP(A78, INPUT_Rooms!$B:$B, INPUT_Rooms!$N:$N, "")="", $B$5, XLOOKUP(A78, INPUT_Rooms!$B:$B, INPUT_Rooms!$N:$N, "")))</f>
        <v/>
      </c>
      <c r="H78" s="6">
        <f>IF(A78="","", D78*XLOOKUP("PrepMinsPerSqft",Constants!$A$20:$A$40,Constants!$B$20:$B$40)*XLOOKUP(G78,Constants!$E$10:$E$30,Constants!$F$10:$F$30))</f>
        <v/>
      </c>
      <c r="I78" s="6">
        <f>IF(A78="","", D78*XLOOKUP("PaintMinsPerSqftPerCoat",Constants!$A$20:$A$40,Constants!$B$20:$B$40)*F78)</f>
        <v/>
      </c>
      <c r="J78" s="6">
        <f>IF(A78="","", IF(E78="Full", D78*XLOOKUP("PrimerFullMinsPerSqft",Constants!$A$20:$A$40,Constants!$B$20:$B$40), IF(E78="Spot", D78*XLOOKUP("PrimerFullMinsPerSqft",Constants!$A$20:$A$40,Constants!$B$20:$B$40)*XLOOKUP("PrimerSpotFactor",Constants!$A$20:$A$40,Constants!$B$20:$B$40), 0)))</f>
        <v/>
      </c>
      <c r="K78" s="6">
        <f>IF(A78="","", SUMPRODUCT((INPUT_Openings!$A:$A=$B$4)*(INPUT_Openings!$B:$B=A78)*(INPUT_Openings!$D:$D)*INPUT_Openings!$F:$F))</f>
        <v/>
      </c>
      <c r="L78">
        <f>IF($A78="","",IF($D78="", "",IFERROR(CEILING( ($D78*$F78) / IFERROR(XLOOKUP(XLOOKUP('Job Control'!$B$3, INPUT_JobSettings!$A:$A, INPUT_JobSettings!$B:$B, ""), Constants!$A:$A, Constants!$D:$D, ""), ""), 0.25), "")))</f>
        <v/>
      </c>
      <c r="M78">
        <f>IF($A78="","",IF($E78="None",0,IF($D78="", "",IFERROR(CEILING( ($D78*IF($E78="Full",1, XLOOKUP("PrimerSpotFactor",Constants!$A$10:$A$60,Constants!$B$10:$B$60))) / IFERROR(XLOOKUP(XLOOKUP('Job Control'!$B$3, INPUT_JobSettings!$A:$A, INPUT_JobSettings!$E:$E, ""), Constants!$A:$A, Constants!$D:$D, ""), ""), 0.25), ""))))</f>
        <v/>
      </c>
      <c r="N78">
        <f>IF($A78="","",IFERROR($L78*IFERROR(XLOOKUP(XLOOKUP('Job Control'!$B$3, INPUT_JobSettings!$A:$A, INPUT_JobSettings!$B:$B, ""), Constants!$A:$A, Constants!$C:$C, 0), 0) + $M78*IFERROR(XLOOKUP(XLOOKUP('Job Control'!$B$3, INPUT_JobSettings!$A:$A, INPUT_JobSettings!$E:$E, ""), Constants!$A:$A, Constants!$C:$C, 0), 0),0))</f>
        <v/>
      </c>
      <c r="O78" s="6">
        <f>IF($A78="","", SUM($H78:$K78))</f>
        <v/>
      </c>
      <c r="P78" s="6">
        <f>IF($A78="","", $O78/60)</f>
        <v/>
      </c>
      <c r="Q78" s="6">
        <f>IF($A78="","", $P78*IFERROR(IF(XLOOKUP('Job Control'!$B$3, INPUT_JobSettings!$A:$A, INPUT_JobSettings!$F:$F, "")&lt;&gt;"", XLOOKUP('Job Control'!$B$3, INPUT_JobSettings!$A:$A, INPUT_JobSettings!$F:$F, ""), $B$6), $B$6))</f>
        <v/>
      </c>
      <c r="R78" s="6">
        <f>IF($A78="","", ($Q78+$N78)*IFERROR(IF(XLOOKUP('Job Control'!$B$3, INPUT_JobSettings!$A:$A, INPUT_JobSettings!$G:$G, "")&lt;&gt;"", XLOOKUP('Job Control'!$B$3, INPUT_JobSettings!$A:$A, INPUT_JobSettings!$G:$G, ""), $B$7), $B$7))</f>
        <v/>
      </c>
      <c r="S78" s="6">
        <f>IF($A78="","", XLOOKUP($A78, INPUT_Rooms!$B:$B, INPUT_Rooms!$AH:$AH, ""))</f>
        <v/>
      </c>
    </row>
    <row r="79">
      <c r="A79" s="6">
        <f>IFERROR(INDEX(FILTER(INPUT_Rooms!$B$4:$B$83, INPUT_Rooms!$A$4:$A$83=$B$4, INPUT_Rooms!$K$4:$K$83="Y"), 69), "")</f>
        <v/>
      </c>
      <c r="B79" s="6">
        <f>IF(A79="","", XLOOKUP(A79, FILTER(INPUT_Rooms!$B$4:$B$83, INPUT_Rooms!$A$4:$A$83=$B$4), FILTER(INPUT_Rooms!$C$4:$C$83, INPUT_Rooms!$A$4:$A$83=$B$4), ""))</f>
        <v/>
      </c>
      <c r="C79" s="6">
        <f>IF(A79="","", "Y")</f>
        <v/>
      </c>
      <c r="D79" s="6">
        <f>IF(A79="","", XLOOKUP(A79, INPUT_Rooms!$B:$B, INPUT_Rooms!$AD:$AD, ""))</f>
        <v/>
      </c>
      <c r="E79" s="6">
        <f>IF(A79="","", XLOOKUP(A79, INPUT_Rooms!$B:$B, INPUT_Rooms!$L:$L, ""))</f>
        <v/>
      </c>
      <c r="F79" s="6">
        <f>IF(A79="","", XLOOKUP(A79, INPUT_Rooms!$B:$B, INPUT_Rooms!$M:$M, ""))</f>
        <v/>
      </c>
      <c r="G79" s="6">
        <f>IF(A79="","", IF(XLOOKUP(A79, INPUT_Rooms!$B:$B, INPUT_Rooms!$N:$N, "")="", $B$5, XLOOKUP(A79, INPUT_Rooms!$B:$B, INPUT_Rooms!$N:$N, "")))</f>
        <v/>
      </c>
      <c r="H79" s="6">
        <f>IF(A79="","", D79*XLOOKUP("PrepMinsPerSqft",Constants!$A$20:$A$40,Constants!$B$20:$B$40)*XLOOKUP(G79,Constants!$E$10:$E$30,Constants!$F$10:$F$30))</f>
        <v/>
      </c>
      <c r="I79" s="6">
        <f>IF(A79="","", D79*XLOOKUP("PaintMinsPerSqftPerCoat",Constants!$A$20:$A$40,Constants!$B$20:$B$40)*F79)</f>
        <v/>
      </c>
      <c r="J79" s="6">
        <f>IF(A79="","", IF(E79="Full", D79*XLOOKUP("PrimerFullMinsPerSqft",Constants!$A$20:$A$40,Constants!$B$20:$B$40), IF(E79="Spot", D79*XLOOKUP("PrimerFullMinsPerSqft",Constants!$A$20:$A$40,Constants!$B$20:$B$40)*XLOOKUP("PrimerSpotFactor",Constants!$A$20:$A$40,Constants!$B$20:$B$40), 0)))</f>
        <v/>
      </c>
      <c r="K79" s="6">
        <f>IF(A79="","", SUMPRODUCT((INPUT_Openings!$A:$A=$B$4)*(INPUT_Openings!$B:$B=A79)*(INPUT_Openings!$D:$D)*INPUT_Openings!$F:$F))</f>
        <v/>
      </c>
      <c r="L79">
        <f>IF($A79="","",IF($D79="", "",IFERROR(CEILING( ($D79*$F79) / IFERROR(XLOOKUP(XLOOKUP('Job Control'!$B$3, INPUT_JobSettings!$A:$A, INPUT_JobSettings!$B:$B, ""), Constants!$A:$A, Constants!$D:$D, ""), ""), 0.25), "")))</f>
        <v/>
      </c>
      <c r="M79">
        <f>IF($A79="","",IF($E79="None",0,IF($D79="", "",IFERROR(CEILING( ($D79*IF($E79="Full",1, XLOOKUP("PrimerSpotFactor",Constants!$A$10:$A$60,Constants!$B$10:$B$60))) / IFERROR(XLOOKUP(XLOOKUP('Job Control'!$B$3, INPUT_JobSettings!$A:$A, INPUT_JobSettings!$E:$E, ""), Constants!$A:$A, Constants!$D:$D, ""), ""), 0.25), ""))))</f>
        <v/>
      </c>
      <c r="N79">
        <f>IF($A79="","",IFERROR($L79*IFERROR(XLOOKUP(XLOOKUP('Job Control'!$B$3, INPUT_JobSettings!$A:$A, INPUT_JobSettings!$B:$B, ""), Constants!$A:$A, Constants!$C:$C, 0), 0) + $M79*IFERROR(XLOOKUP(XLOOKUP('Job Control'!$B$3, INPUT_JobSettings!$A:$A, INPUT_JobSettings!$E:$E, ""), Constants!$A:$A, Constants!$C:$C, 0), 0),0))</f>
        <v/>
      </c>
      <c r="O79" s="6">
        <f>IF($A79="","", SUM($H79:$K79))</f>
        <v/>
      </c>
      <c r="P79" s="6">
        <f>IF($A79="","", $O79/60)</f>
        <v/>
      </c>
      <c r="Q79" s="6">
        <f>IF($A79="","", $P79*IFERROR(IF(XLOOKUP('Job Control'!$B$3, INPUT_JobSettings!$A:$A, INPUT_JobSettings!$F:$F, "")&lt;&gt;"", XLOOKUP('Job Control'!$B$3, INPUT_JobSettings!$A:$A, INPUT_JobSettings!$F:$F, ""), $B$6), $B$6))</f>
        <v/>
      </c>
      <c r="R79" s="6">
        <f>IF($A79="","", ($Q79+$N79)*IFERROR(IF(XLOOKUP('Job Control'!$B$3, INPUT_JobSettings!$A:$A, INPUT_JobSettings!$G:$G, "")&lt;&gt;"", XLOOKUP('Job Control'!$B$3, INPUT_JobSettings!$A:$A, INPUT_JobSettings!$G:$G, ""), $B$7), $B$7))</f>
        <v/>
      </c>
      <c r="S79" s="6">
        <f>IF($A79="","", XLOOKUP($A79, INPUT_Rooms!$B:$B, INPUT_Rooms!$AH:$AH, ""))</f>
        <v/>
      </c>
    </row>
    <row r="80">
      <c r="A80" s="6">
        <f>IFERROR(INDEX(FILTER(INPUT_Rooms!$B$4:$B$83, INPUT_Rooms!$A$4:$A$83=$B$4, INPUT_Rooms!$K$4:$K$83="Y"), 70), "")</f>
        <v/>
      </c>
      <c r="B80" s="6">
        <f>IF(A80="","", XLOOKUP(A80, FILTER(INPUT_Rooms!$B$4:$B$83, INPUT_Rooms!$A$4:$A$83=$B$4), FILTER(INPUT_Rooms!$C$4:$C$83, INPUT_Rooms!$A$4:$A$83=$B$4), ""))</f>
        <v/>
      </c>
      <c r="C80" s="6">
        <f>IF(A80="","", "Y")</f>
        <v/>
      </c>
      <c r="D80" s="6">
        <f>IF(A80="","", XLOOKUP(A80, INPUT_Rooms!$B:$B, INPUT_Rooms!$AD:$AD, ""))</f>
        <v/>
      </c>
      <c r="E80" s="6">
        <f>IF(A80="","", XLOOKUP(A80, INPUT_Rooms!$B:$B, INPUT_Rooms!$L:$L, ""))</f>
        <v/>
      </c>
      <c r="F80" s="6">
        <f>IF(A80="","", XLOOKUP(A80, INPUT_Rooms!$B:$B, INPUT_Rooms!$M:$M, ""))</f>
        <v/>
      </c>
      <c r="G80" s="6">
        <f>IF(A80="","", IF(XLOOKUP(A80, INPUT_Rooms!$B:$B, INPUT_Rooms!$N:$N, "")="", $B$5, XLOOKUP(A80, INPUT_Rooms!$B:$B, INPUT_Rooms!$N:$N, "")))</f>
        <v/>
      </c>
      <c r="H80" s="6">
        <f>IF(A80="","", D80*XLOOKUP("PrepMinsPerSqft",Constants!$A$20:$A$40,Constants!$B$20:$B$40)*XLOOKUP(G80,Constants!$E$10:$E$30,Constants!$F$10:$F$30))</f>
        <v/>
      </c>
      <c r="I80" s="6">
        <f>IF(A80="","", D80*XLOOKUP("PaintMinsPerSqftPerCoat",Constants!$A$20:$A$40,Constants!$B$20:$B$40)*F80)</f>
        <v/>
      </c>
      <c r="J80" s="6">
        <f>IF(A80="","", IF(E80="Full", D80*XLOOKUP("PrimerFullMinsPerSqft",Constants!$A$20:$A$40,Constants!$B$20:$B$40), IF(E80="Spot", D80*XLOOKUP("PrimerFullMinsPerSqft",Constants!$A$20:$A$40,Constants!$B$20:$B$40)*XLOOKUP("PrimerSpotFactor",Constants!$A$20:$A$40,Constants!$B$20:$B$40), 0)))</f>
        <v/>
      </c>
      <c r="K80" s="6">
        <f>IF(A80="","", SUMPRODUCT((INPUT_Openings!$A:$A=$B$4)*(INPUT_Openings!$B:$B=A80)*(INPUT_Openings!$D:$D)*INPUT_Openings!$F:$F))</f>
        <v/>
      </c>
      <c r="L80">
        <f>IF($A80="","",IF($D80="", "",IFERROR(CEILING( ($D80*$F80) / IFERROR(XLOOKUP(XLOOKUP('Job Control'!$B$3, INPUT_JobSettings!$A:$A, INPUT_JobSettings!$B:$B, ""), Constants!$A:$A, Constants!$D:$D, ""), ""), 0.25), "")))</f>
        <v/>
      </c>
      <c r="M80">
        <f>IF($A80="","",IF($E80="None",0,IF($D80="", "",IFERROR(CEILING( ($D80*IF($E80="Full",1, XLOOKUP("PrimerSpotFactor",Constants!$A$10:$A$60,Constants!$B$10:$B$60))) / IFERROR(XLOOKUP(XLOOKUP('Job Control'!$B$3, INPUT_JobSettings!$A:$A, INPUT_JobSettings!$E:$E, ""), Constants!$A:$A, Constants!$D:$D, ""), ""), 0.25), ""))))</f>
        <v/>
      </c>
      <c r="N80">
        <f>IF($A80="","",IFERROR($L80*IFERROR(XLOOKUP(XLOOKUP('Job Control'!$B$3, INPUT_JobSettings!$A:$A, INPUT_JobSettings!$B:$B, ""), Constants!$A:$A, Constants!$C:$C, 0), 0) + $M80*IFERROR(XLOOKUP(XLOOKUP('Job Control'!$B$3, INPUT_JobSettings!$A:$A, INPUT_JobSettings!$E:$E, ""), Constants!$A:$A, Constants!$C:$C, 0), 0),0))</f>
        <v/>
      </c>
      <c r="O80" s="6">
        <f>IF($A80="","", SUM($H80:$K80))</f>
        <v/>
      </c>
      <c r="P80" s="6">
        <f>IF($A80="","", $O80/60)</f>
        <v/>
      </c>
      <c r="Q80" s="6">
        <f>IF($A80="","", $P80*IFERROR(IF(XLOOKUP('Job Control'!$B$3, INPUT_JobSettings!$A:$A, INPUT_JobSettings!$F:$F, "")&lt;&gt;"", XLOOKUP('Job Control'!$B$3, INPUT_JobSettings!$A:$A, INPUT_JobSettings!$F:$F, ""), $B$6), $B$6))</f>
        <v/>
      </c>
      <c r="R80" s="6">
        <f>IF($A80="","", ($Q80+$N80)*IFERROR(IF(XLOOKUP('Job Control'!$B$3, INPUT_JobSettings!$A:$A, INPUT_JobSettings!$G:$G, "")&lt;&gt;"", XLOOKUP('Job Control'!$B$3, INPUT_JobSettings!$A:$A, INPUT_JobSettings!$G:$G, ""), $B$7), $B$7))</f>
        <v/>
      </c>
      <c r="S80" s="6">
        <f>IF($A80="","", XLOOKUP($A80, INPUT_Rooms!$B:$B, INPUT_Rooms!$AH:$AH, ""))</f>
        <v/>
      </c>
    </row>
    <row r="81">
      <c r="A81" s="6">
        <f>IFERROR(INDEX(FILTER(INPUT_Rooms!$B$4:$B$83, INPUT_Rooms!$A$4:$A$83=$B$4, INPUT_Rooms!$K$4:$K$83="Y"), 71), "")</f>
        <v/>
      </c>
      <c r="B81" s="6">
        <f>IF(A81="","", XLOOKUP(A81, FILTER(INPUT_Rooms!$B$4:$B$83, INPUT_Rooms!$A$4:$A$83=$B$4), FILTER(INPUT_Rooms!$C$4:$C$83, INPUT_Rooms!$A$4:$A$83=$B$4), ""))</f>
        <v/>
      </c>
      <c r="C81" s="6">
        <f>IF(A81="","", "Y")</f>
        <v/>
      </c>
      <c r="D81" s="6">
        <f>IF(A81="","", XLOOKUP(A81, INPUT_Rooms!$B:$B, INPUT_Rooms!$AD:$AD, ""))</f>
        <v/>
      </c>
      <c r="E81" s="6">
        <f>IF(A81="","", XLOOKUP(A81, INPUT_Rooms!$B:$B, INPUT_Rooms!$L:$L, ""))</f>
        <v/>
      </c>
      <c r="F81" s="6">
        <f>IF(A81="","", XLOOKUP(A81, INPUT_Rooms!$B:$B, INPUT_Rooms!$M:$M, ""))</f>
        <v/>
      </c>
      <c r="G81" s="6">
        <f>IF(A81="","", IF(XLOOKUP(A81, INPUT_Rooms!$B:$B, INPUT_Rooms!$N:$N, "")="", $B$5, XLOOKUP(A81, INPUT_Rooms!$B:$B, INPUT_Rooms!$N:$N, "")))</f>
        <v/>
      </c>
      <c r="H81" s="6">
        <f>IF(A81="","", D81*XLOOKUP("PrepMinsPerSqft",Constants!$A$20:$A$40,Constants!$B$20:$B$40)*XLOOKUP(G81,Constants!$E$10:$E$30,Constants!$F$10:$F$30))</f>
        <v/>
      </c>
      <c r="I81" s="6">
        <f>IF(A81="","", D81*XLOOKUP("PaintMinsPerSqftPerCoat",Constants!$A$20:$A$40,Constants!$B$20:$B$40)*F81)</f>
        <v/>
      </c>
      <c r="J81" s="6">
        <f>IF(A81="","", IF(E81="Full", D81*XLOOKUP("PrimerFullMinsPerSqft",Constants!$A$20:$A$40,Constants!$B$20:$B$40), IF(E81="Spot", D81*XLOOKUP("PrimerFullMinsPerSqft",Constants!$A$20:$A$40,Constants!$B$20:$B$40)*XLOOKUP("PrimerSpotFactor",Constants!$A$20:$A$40,Constants!$B$20:$B$40), 0)))</f>
        <v/>
      </c>
      <c r="K81" s="6">
        <f>IF(A81="","", SUMPRODUCT((INPUT_Openings!$A:$A=$B$4)*(INPUT_Openings!$B:$B=A81)*(INPUT_Openings!$D:$D)*INPUT_Openings!$F:$F))</f>
        <v/>
      </c>
      <c r="L81">
        <f>IF($A81="","",IF($D81="", "",IFERROR(CEILING( ($D81*$F81) / IFERROR(XLOOKUP(XLOOKUP('Job Control'!$B$3, INPUT_JobSettings!$A:$A, INPUT_JobSettings!$B:$B, ""), Constants!$A:$A, Constants!$D:$D, ""), ""), 0.25), "")))</f>
        <v/>
      </c>
      <c r="M81">
        <f>IF($A81="","",IF($E81="None",0,IF($D81="", "",IFERROR(CEILING( ($D81*IF($E81="Full",1, XLOOKUP("PrimerSpotFactor",Constants!$A$10:$A$60,Constants!$B$10:$B$60))) / IFERROR(XLOOKUP(XLOOKUP('Job Control'!$B$3, INPUT_JobSettings!$A:$A, INPUT_JobSettings!$E:$E, ""), Constants!$A:$A, Constants!$D:$D, ""), ""), 0.25), ""))))</f>
        <v/>
      </c>
      <c r="N81">
        <f>IF($A81="","",IFERROR($L81*IFERROR(XLOOKUP(XLOOKUP('Job Control'!$B$3, INPUT_JobSettings!$A:$A, INPUT_JobSettings!$B:$B, ""), Constants!$A:$A, Constants!$C:$C, 0), 0) + $M81*IFERROR(XLOOKUP(XLOOKUP('Job Control'!$B$3, INPUT_JobSettings!$A:$A, INPUT_JobSettings!$E:$E, ""), Constants!$A:$A, Constants!$C:$C, 0), 0),0))</f>
        <v/>
      </c>
      <c r="O81" s="6">
        <f>IF($A81="","", SUM($H81:$K81))</f>
        <v/>
      </c>
      <c r="P81" s="6">
        <f>IF($A81="","", $O81/60)</f>
        <v/>
      </c>
      <c r="Q81" s="6">
        <f>IF($A81="","", $P81*IFERROR(IF(XLOOKUP('Job Control'!$B$3, INPUT_JobSettings!$A:$A, INPUT_JobSettings!$F:$F, "")&lt;&gt;"", XLOOKUP('Job Control'!$B$3, INPUT_JobSettings!$A:$A, INPUT_JobSettings!$F:$F, ""), $B$6), $B$6))</f>
        <v/>
      </c>
      <c r="R81" s="6">
        <f>IF($A81="","", ($Q81+$N81)*IFERROR(IF(XLOOKUP('Job Control'!$B$3, INPUT_JobSettings!$A:$A, INPUT_JobSettings!$G:$G, "")&lt;&gt;"", XLOOKUP('Job Control'!$B$3, INPUT_JobSettings!$A:$A, INPUT_JobSettings!$G:$G, ""), $B$7), $B$7))</f>
        <v/>
      </c>
      <c r="S81" s="6">
        <f>IF($A81="","", XLOOKUP($A81, INPUT_Rooms!$B:$B, INPUT_Rooms!$AH:$AH, ""))</f>
        <v/>
      </c>
    </row>
    <row r="82">
      <c r="A82" s="6">
        <f>IFERROR(INDEX(FILTER(INPUT_Rooms!$B$4:$B$83, INPUT_Rooms!$A$4:$A$83=$B$4, INPUT_Rooms!$K$4:$K$83="Y"), 72), "")</f>
        <v/>
      </c>
      <c r="B82" s="6">
        <f>IF(A82="","", XLOOKUP(A82, FILTER(INPUT_Rooms!$B$4:$B$83, INPUT_Rooms!$A$4:$A$83=$B$4), FILTER(INPUT_Rooms!$C$4:$C$83, INPUT_Rooms!$A$4:$A$83=$B$4), ""))</f>
        <v/>
      </c>
      <c r="C82" s="6">
        <f>IF(A82="","", "Y")</f>
        <v/>
      </c>
      <c r="D82" s="6">
        <f>IF(A82="","", XLOOKUP(A82, INPUT_Rooms!$B:$B, INPUT_Rooms!$AD:$AD, ""))</f>
        <v/>
      </c>
      <c r="E82" s="6">
        <f>IF(A82="","", XLOOKUP(A82, INPUT_Rooms!$B:$B, INPUT_Rooms!$L:$L, ""))</f>
        <v/>
      </c>
      <c r="F82" s="6">
        <f>IF(A82="","", XLOOKUP(A82, INPUT_Rooms!$B:$B, INPUT_Rooms!$M:$M, ""))</f>
        <v/>
      </c>
      <c r="G82" s="6">
        <f>IF(A82="","", IF(XLOOKUP(A82, INPUT_Rooms!$B:$B, INPUT_Rooms!$N:$N, "")="", $B$5, XLOOKUP(A82, INPUT_Rooms!$B:$B, INPUT_Rooms!$N:$N, "")))</f>
        <v/>
      </c>
      <c r="H82" s="6">
        <f>IF(A82="","", D82*XLOOKUP("PrepMinsPerSqft",Constants!$A$20:$A$40,Constants!$B$20:$B$40)*XLOOKUP(G82,Constants!$E$10:$E$30,Constants!$F$10:$F$30))</f>
        <v/>
      </c>
      <c r="I82" s="6">
        <f>IF(A82="","", D82*XLOOKUP("PaintMinsPerSqftPerCoat",Constants!$A$20:$A$40,Constants!$B$20:$B$40)*F82)</f>
        <v/>
      </c>
      <c r="J82" s="6">
        <f>IF(A82="","", IF(E82="Full", D82*XLOOKUP("PrimerFullMinsPerSqft",Constants!$A$20:$A$40,Constants!$B$20:$B$40), IF(E82="Spot", D82*XLOOKUP("PrimerFullMinsPerSqft",Constants!$A$20:$A$40,Constants!$B$20:$B$40)*XLOOKUP("PrimerSpotFactor",Constants!$A$20:$A$40,Constants!$B$20:$B$40), 0)))</f>
        <v/>
      </c>
      <c r="K82" s="6">
        <f>IF(A82="","", SUMPRODUCT((INPUT_Openings!$A:$A=$B$4)*(INPUT_Openings!$B:$B=A82)*(INPUT_Openings!$D:$D)*INPUT_Openings!$F:$F))</f>
        <v/>
      </c>
      <c r="L82">
        <f>IF($A82="","",IF($D82="", "",IFERROR(CEILING( ($D82*$F82) / IFERROR(XLOOKUP(XLOOKUP('Job Control'!$B$3, INPUT_JobSettings!$A:$A, INPUT_JobSettings!$B:$B, ""), Constants!$A:$A, Constants!$D:$D, ""), ""), 0.25), "")))</f>
        <v/>
      </c>
      <c r="M82">
        <f>IF($A82="","",IF($E82="None",0,IF($D82="", "",IFERROR(CEILING( ($D82*IF($E82="Full",1, XLOOKUP("PrimerSpotFactor",Constants!$A$10:$A$60,Constants!$B$10:$B$60))) / IFERROR(XLOOKUP(XLOOKUP('Job Control'!$B$3, INPUT_JobSettings!$A:$A, INPUT_JobSettings!$E:$E, ""), Constants!$A:$A, Constants!$D:$D, ""), ""), 0.25), ""))))</f>
        <v/>
      </c>
      <c r="N82">
        <f>IF($A82="","",IFERROR($L82*IFERROR(XLOOKUP(XLOOKUP('Job Control'!$B$3, INPUT_JobSettings!$A:$A, INPUT_JobSettings!$B:$B, ""), Constants!$A:$A, Constants!$C:$C, 0), 0) + $M82*IFERROR(XLOOKUP(XLOOKUP('Job Control'!$B$3, INPUT_JobSettings!$A:$A, INPUT_JobSettings!$E:$E, ""), Constants!$A:$A, Constants!$C:$C, 0), 0),0))</f>
        <v/>
      </c>
      <c r="O82" s="6">
        <f>IF($A82="","", SUM($H82:$K82))</f>
        <v/>
      </c>
      <c r="P82" s="6">
        <f>IF($A82="","", $O82/60)</f>
        <v/>
      </c>
      <c r="Q82" s="6">
        <f>IF($A82="","", $P82*IFERROR(IF(XLOOKUP('Job Control'!$B$3, INPUT_JobSettings!$A:$A, INPUT_JobSettings!$F:$F, "")&lt;&gt;"", XLOOKUP('Job Control'!$B$3, INPUT_JobSettings!$A:$A, INPUT_JobSettings!$F:$F, ""), $B$6), $B$6))</f>
        <v/>
      </c>
      <c r="R82" s="6">
        <f>IF($A82="","", ($Q82+$N82)*IFERROR(IF(XLOOKUP('Job Control'!$B$3, INPUT_JobSettings!$A:$A, INPUT_JobSettings!$G:$G, "")&lt;&gt;"", XLOOKUP('Job Control'!$B$3, INPUT_JobSettings!$A:$A, INPUT_JobSettings!$G:$G, ""), $B$7), $B$7))</f>
        <v/>
      </c>
      <c r="S82" s="6">
        <f>IF($A82="","", XLOOKUP($A82, INPUT_Rooms!$B:$B, INPUT_Rooms!$AH:$AH, ""))</f>
        <v/>
      </c>
    </row>
    <row r="83">
      <c r="A83" s="6">
        <f>IFERROR(INDEX(FILTER(INPUT_Rooms!$B$4:$B$83, INPUT_Rooms!$A$4:$A$83=$B$4, INPUT_Rooms!$K$4:$K$83="Y"), 73), "")</f>
        <v/>
      </c>
      <c r="B83" s="6">
        <f>IF(A83="","", XLOOKUP(A83, FILTER(INPUT_Rooms!$B$4:$B$83, INPUT_Rooms!$A$4:$A$83=$B$4), FILTER(INPUT_Rooms!$C$4:$C$83, INPUT_Rooms!$A$4:$A$83=$B$4), ""))</f>
        <v/>
      </c>
      <c r="C83" s="6">
        <f>IF(A83="","", "Y")</f>
        <v/>
      </c>
      <c r="D83" s="6">
        <f>IF(A83="","", XLOOKUP(A83, INPUT_Rooms!$B:$B, INPUT_Rooms!$AD:$AD, ""))</f>
        <v/>
      </c>
      <c r="E83" s="6">
        <f>IF(A83="","", XLOOKUP(A83, INPUT_Rooms!$B:$B, INPUT_Rooms!$L:$L, ""))</f>
        <v/>
      </c>
      <c r="F83" s="6">
        <f>IF(A83="","", XLOOKUP(A83, INPUT_Rooms!$B:$B, INPUT_Rooms!$M:$M, ""))</f>
        <v/>
      </c>
      <c r="G83" s="6">
        <f>IF(A83="","", IF(XLOOKUP(A83, INPUT_Rooms!$B:$B, INPUT_Rooms!$N:$N, "")="", $B$5, XLOOKUP(A83, INPUT_Rooms!$B:$B, INPUT_Rooms!$N:$N, "")))</f>
        <v/>
      </c>
      <c r="H83" s="6">
        <f>IF(A83="","", D83*XLOOKUP("PrepMinsPerSqft",Constants!$A$20:$A$40,Constants!$B$20:$B$40)*XLOOKUP(G83,Constants!$E$10:$E$30,Constants!$F$10:$F$30))</f>
        <v/>
      </c>
      <c r="I83" s="6">
        <f>IF(A83="","", D83*XLOOKUP("PaintMinsPerSqftPerCoat",Constants!$A$20:$A$40,Constants!$B$20:$B$40)*F83)</f>
        <v/>
      </c>
      <c r="J83" s="6">
        <f>IF(A83="","", IF(E83="Full", D83*XLOOKUP("PrimerFullMinsPerSqft",Constants!$A$20:$A$40,Constants!$B$20:$B$40), IF(E83="Spot", D83*XLOOKUP("PrimerFullMinsPerSqft",Constants!$A$20:$A$40,Constants!$B$20:$B$40)*XLOOKUP("PrimerSpotFactor",Constants!$A$20:$A$40,Constants!$B$20:$B$40), 0)))</f>
        <v/>
      </c>
      <c r="K83" s="6">
        <f>IF(A83="","", SUMPRODUCT((INPUT_Openings!$A:$A=$B$4)*(INPUT_Openings!$B:$B=A83)*(INPUT_Openings!$D:$D)*INPUT_Openings!$F:$F))</f>
        <v/>
      </c>
      <c r="L83">
        <f>IF($A83="","",IF($D83="", "",IFERROR(CEILING( ($D83*$F83) / IFERROR(XLOOKUP(XLOOKUP('Job Control'!$B$3, INPUT_JobSettings!$A:$A, INPUT_JobSettings!$B:$B, ""), Constants!$A:$A, Constants!$D:$D, ""), ""), 0.25), "")))</f>
        <v/>
      </c>
      <c r="M83">
        <f>IF($A83="","",IF($E83="None",0,IF($D83="", "",IFERROR(CEILING( ($D83*IF($E83="Full",1, XLOOKUP("PrimerSpotFactor",Constants!$A$10:$A$60,Constants!$B$10:$B$60))) / IFERROR(XLOOKUP(XLOOKUP('Job Control'!$B$3, INPUT_JobSettings!$A:$A, INPUT_JobSettings!$E:$E, ""), Constants!$A:$A, Constants!$D:$D, ""), ""), 0.25), ""))))</f>
        <v/>
      </c>
      <c r="N83">
        <f>IF($A83="","",IFERROR($L83*IFERROR(XLOOKUP(XLOOKUP('Job Control'!$B$3, INPUT_JobSettings!$A:$A, INPUT_JobSettings!$B:$B, ""), Constants!$A:$A, Constants!$C:$C, 0), 0) + $M83*IFERROR(XLOOKUP(XLOOKUP('Job Control'!$B$3, INPUT_JobSettings!$A:$A, INPUT_JobSettings!$E:$E, ""), Constants!$A:$A, Constants!$C:$C, 0), 0),0))</f>
        <v/>
      </c>
      <c r="O83" s="6">
        <f>IF($A83="","", SUM($H83:$K83))</f>
        <v/>
      </c>
      <c r="P83" s="6">
        <f>IF($A83="","", $O83/60)</f>
        <v/>
      </c>
      <c r="Q83" s="6">
        <f>IF($A83="","", $P83*IFERROR(IF(XLOOKUP('Job Control'!$B$3, INPUT_JobSettings!$A:$A, INPUT_JobSettings!$F:$F, "")&lt;&gt;"", XLOOKUP('Job Control'!$B$3, INPUT_JobSettings!$A:$A, INPUT_JobSettings!$F:$F, ""), $B$6), $B$6))</f>
        <v/>
      </c>
      <c r="R83" s="6">
        <f>IF($A83="","", ($Q83+$N83)*IFERROR(IF(XLOOKUP('Job Control'!$B$3, INPUT_JobSettings!$A:$A, INPUT_JobSettings!$G:$G, "")&lt;&gt;"", XLOOKUP('Job Control'!$B$3, INPUT_JobSettings!$A:$A, INPUT_JobSettings!$G:$G, ""), $B$7), $B$7))</f>
        <v/>
      </c>
      <c r="S83" s="6">
        <f>IF($A83="","", XLOOKUP($A83, INPUT_Rooms!$B:$B, INPUT_Rooms!$AH:$AH, ""))</f>
        <v/>
      </c>
    </row>
    <row r="84">
      <c r="A84" s="6">
        <f>IFERROR(INDEX(FILTER(INPUT_Rooms!$B$4:$B$83, INPUT_Rooms!$A$4:$A$83=$B$4, INPUT_Rooms!$K$4:$K$83="Y"), 74), "")</f>
        <v/>
      </c>
      <c r="B84" s="6">
        <f>IF(A84="","", XLOOKUP(A84, FILTER(INPUT_Rooms!$B$4:$B$83, INPUT_Rooms!$A$4:$A$83=$B$4), FILTER(INPUT_Rooms!$C$4:$C$83, INPUT_Rooms!$A$4:$A$83=$B$4), ""))</f>
        <v/>
      </c>
      <c r="C84" s="6">
        <f>IF(A84="","", "Y")</f>
        <v/>
      </c>
      <c r="D84" s="6">
        <f>IF(A84="","", XLOOKUP(A84, INPUT_Rooms!$B:$B, INPUT_Rooms!$AD:$AD, ""))</f>
        <v/>
      </c>
      <c r="E84" s="6">
        <f>IF(A84="","", XLOOKUP(A84, INPUT_Rooms!$B:$B, INPUT_Rooms!$L:$L, ""))</f>
        <v/>
      </c>
      <c r="F84" s="6">
        <f>IF(A84="","", XLOOKUP(A84, INPUT_Rooms!$B:$B, INPUT_Rooms!$M:$M, ""))</f>
        <v/>
      </c>
      <c r="G84" s="6">
        <f>IF(A84="","", IF(XLOOKUP(A84, INPUT_Rooms!$B:$B, INPUT_Rooms!$N:$N, "")="", $B$5, XLOOKUP(A84, INPUT_Rooms!$B:$B, INPUT_Rooms!$N:$N, "")))</f>
        <v/>
      </c>
      <c r="H84" s="6">
        <f>IF(A84="","", D84*XLOOKUP("PrepMinsPerSqft",Constants!$A$20:$A$40,Constants!$B$20:$B$40)*XLOOKUP(G84,Constants!$E$10:$E$30,Constants!$F$10:$F$30))</f>
        <v/>
      </c>
      <c r="I84" s="6">
        <f>IF(A84="","", D84*XLOOKUP("PaintMinsPerSqftPerCoat",Constants!$A$20:$A$40,Constants!$B$20:$B$40)*F84)</f>
        <v/>
      </c>
      <c r="J84" s="6">
        <f>IF(A84="","", IF(E84="Full", D84*XLOOKUP("PrimerFullMinsPerSqft",Constants!$A$20:$A$40,Constants!$B$20:$B$40), IF(E84="Spot", D84*XLOOKUP("PrimerFullMinsPerSqft",Constants!$A$20:$A$40,Constants!$B$20:$B$40)*XLOOKUP("PrimerSpotFactor",Constants!$A$20:$A$40,Constants!$B$20:$B$40), 0)))</f>
        <v/>
      </c>
      <c r="K84" s="6">
        <f>IF(A84="","", SUMPRODUCT((INPUT_Openings!$A:$A=$B$4)*(INPUT_Openings!$B:$B=A84)*(INPUT_Openings!$D:$D)*INPUT_Openings!$F:$F))</f>
        <v/>
      </c>
      <c r="L84">
        <f>IF($A84="","",IF($D84="", "",IFERROR(CEILING( ($D84*$F84) / IFERROR(XLOOKUP(XLOOKUP('Job Control'!$B$3, INPUT_JobSettings!$A:$A, INPUT_JobSettings!$B:$B, ""), Constants!$A:$A, Constants!$D:$D, ""), ""), 0.25), "")))</f>
        <v/>
      </c>
      <c r="M84">
        <f>IF($A84="","",IF($E84="None",0,IF($D84="", "",IFERROR(CEILING( ($D84*IF($E84="Full",1, XLOOKUP("PrimerSpotFactor",Constants!$A$10:$A$60,Constants!$B$10:$B$60))) / IFERROR(XLOOKUP(XLOOKUP('Job Control'!$B$3, INPUT_JobSettings!$A:$A, INPUT_JobSettings!$E:$E, ""), Constants!$A:$A, Constants!$D:$D, ""), ""), 0.25), ""))))</f>
        <v/>
      </c>
      <c r="N84">
        <f>IF($A84="","",IFERROR($L84*IFERROR(XLOOKUP(XLOOKUP('Job Control'!$B$3, INPUT_JobSettings!$A:$A, INPUT_JobSettings!$B:$B, ""), Constants!$A:$A, Constants!$C:$C, 0), 0) + $M84*IFERROR(XLOOKUP(XLOOKUP('Job Control'!$B$3, INPUT_JobSettings!$A:$A, INPUT_JobSettings!$E:$E, ""), Constants!$A:$A, Constants!$C:$C, 0), 0),0))</f>
        <v/>
      </c>
      <c r="O84" s="6">
        <f>IF($A84="","", SUM($H84:$K84))</f>
        <v/>
      </c>
      <c r="P84" s="6">
        <f>IF($A84="","", $O84/60)</f>
        <v/>
      </c>
      <c r="Q84" s="6">
        <f>IF($A84="","", $P84*IFERROR(IF(XLOOKUP('Job Control'!$B$3, INPUT_JobSettings!$A:$A, INPUT_JobSettings!$F:$F, "")&lt;&gt;"", XLOOKUP('Job Control'!$B$3, INPUT_JobSettings!$A:$A, INPUT_JobSettings!$F:$F, ""), $B$6), $B$6))</f>
        <v/>
      </c>
      <c r="R84" s="6">
        <f>IF($A84="","", ($Q84+$N84)*IFERROR(IF(XLOOKUP('Job Control'!$B$3, INPUT_JobSettings!$A:$A, INPUT_JobSettings!$G:$G, "")&lt;&gt;"", XLOOKUP('Job Control'!$B$3, INPUT_JobSettings!$A:$A, INPUT_JobSettings!$G:$G, ""), $B$7), $B$7))</f>
        <v/>
      </c>
      <c r="S84" s="6">
        <f>IF($A84="","", XLOOKUP($A84, INPUT_Rooms!$B:$B, INPUT_Rooms!$AH:$AH, ""))</f>
        <v/>
      </c>
    </row>
    <row r="85">
      <c r="A85" s="6">
        <f>IFERROR(INDEX(FILTER(INPUT_Rooms!$B$4:$B$83, INPUT_Rooms!$A$4:$A$83=$B$4, INPUT_Rooms!$K$4:$K$83="Y"), 75), "")</f>
        <v/>
      </c>
      <c r="B85" s="6">
        <f>IF(A85="","", XLOOKUP(A85, FILTER(INPUT_Rooms!$B$4:$B$83, INPUT_Rooms!$A$4:$A$83=$B$4), FILTER(INPUT_Rooms!$C$4:$C$83, INPUT_Rooms!$A$4:$A$83=$B$4), ""))</f>
        <v/>
      </c>
      <c r="C85" s="6">
        <f>IF(A85="","", "Y")</f>
        <v/>
      </c>
      <c r="D85" s="6">
        <f>IF(A85="","", XLOOKUP(A85, INPUT_Rooms!$B:$B, INPUT_Rooms!$AD:$AD, ""))</f>
        <v/>
      </c>
      <c r="E85" s="6">
        <f>IF(A85="","", XLOOKUP(A85, INPUT_Rooms!$B:$B, INPUT_Rooms!$L:$L, ""))</f>
        <v/>
      </c>
      <c r="F85" s="6">
        <f>IF(A85="","", XLOOKUP(A85, INPUT_Rooms!$B:$B, INPUT_Rooms!$M:$M, ""))</f>
        <v/>
      </c>
      <c r="G85" s="6">
        <f>IF(A85="","", IF(XLOOKUP(A85, INPUT_Rooms!$B:$B, INPUT_Rooms!$N:$N, "")="", $B$5, XLOOKUP(A85, INPUT_Rooms!$B:$B, INPUT_Rooms!$N:$N, "")))</f>
        <v/>
      </c>
      <c r="H85" s="6">
        <f>IF(A85="","", D85*XLOOKUP("PrepMinsPerSqft",Constants!$A$20:$A$40,Constants!$B$20:$B$40)*XLOOKUP(G85,Constants!$E$10:$E$30,Constants!$F$10:$F$30))</f>
        <v/>
      </c>
      <c r="I85" s="6">
        <f>IF(A85="","", D85*XLOOKUP("PaintMinsPerSqftPerCoat",Constants!$A$20:$A$40,Constants!$B$20:$B$40)*F85)</f>
        <v/>
      </c>
      <c r="J85" s="6">
        <f>IF(A85="","", IF(E85="Full", D85*XLOOKUP("PrimerFullMinsPerSqft",Constants!$A$20:$A$40,Constants!$B$20:$B$40), IF(E85="Spot", D85*XLOOKUP("PrimerFullMinsPerSqft",Constants!$A$20:$A$40,Constants!$B$20:$B$40)*XLOOKUP("PrimerSpotFactor",Constants!$A$20:$A$40,Constants!$B$20:$B$40), 0)))</f>
        <v/>
      </c>
      <c r="K85" s="6">
        <f>IF(A85="","", SUMPRODUCT((INPUT_Openings!$A:$A=$B$4)*(INPUT_Openings!$B:$B=A85)*(INPUT_Openings!$D:$D)*INPUT_Openings!$F:$F))</f>
        <v/>
      </c>
      <c r="L85">
        <f>IF($A85="","",IF($D85="", "",IFERROR(CEILING( ($D85*$F85) / IFERROR(XLOOKUP(XLOOKUP('Job Control'!$B$3, INPUT_JobSettings!$A:$A, INPUT_JobSettings!$B:$B, ""), Constants!$A:$A, Constants!$D:$D, ""), ""), 0.25), "")))</f>
        <v/>
      </c>
      <c r="M85">
        <f>IF($A85="","",IF($E85="None",0,IF($D85="", "",IFERROR(CEILING( ($D85*IF($E85="Full",1, XLOOKUP("PrimerSpotFactor",Constants!$A$10:$A$60,Constants!$B$10:$B$60))) / IFERROR(XLOOKUP(XLOOKUP('Job Control'!$B$3, INPUT_JobSettings!$A:$A, INPUT_JobSettings!$E:$E, ""), Constants!$A:$A, Constants!$D:$D, ""), ""), 0.25), ""))))</f>
        <v/>
      </c>
      <c r="N85">
        <f>IF($A85="","",IFERROR($L85*IFERROR(XLOOKUP(XLOOKUP('Job Control'!$B$3, INPUT_JobSettings!$A:$A, INPUT_JobSettings!$B:$B, ""), Constants!$A:$A, Constants!$C:$C, 0), 0) + $M85*IFERROR(XLOOKUP(XLOOKUP('Job Control'!$B$3, INPUT_JobSettings!$A:$A, INPUT_JobSettings!$E:$E, ""), Constants!$A:$A, Constants!$C:$C, 0), 0),0))</f>
        <v/>
      </c>
      <c r="O85" s="6">
        <f>IF($A85="","", SUM($H85:$K85))</f>
        <v/>
      </c>
      <c r="P85" s="6">
        <f>IF($A85="","", $O85/60)</f>
        <v/>
      </c>
      <c r="Q85" s="6">
        <f>IF($A85="","", $P85*IFERROR(IF(XLOOKUP('Job Control'!$B$3, INPUT_JobSettings!$A:$A, INPUT_JobSettings!$F:$F, "")&lt;&gt;"", XLOOKUP('Job Control'!$B$3, INPUT_JobSettings!$A:$A, INPUT_JobSettings!$F:$F, ""), $B$6), $B$6))</f>
        <v/>
      </c>
      <c r="R85" s="6">
        <f>IF($A85="","", ($Q85+$N85)*IFERROR(IF(XLOOKUP('Job Control'!$B$3, INPUT_JobSettings!$A:$A, INPUT_JobSettings!$G:$G, "")&lt;&gt;"", XLOOKUP('Job Control'!$B$3, INPUT_JobSettings!$A:$A, INPUT_JobSettings!$G:$G, ""), $B$7), $B$7))</f>
        <v/>
      </c>
      <c r="S85" s="6">
        <f>IF($A85="","", XLOOKUP($A85, INPUT_Rooms!$B:$B, INPUT_Rooms!$AH:$AH, ""))</f>
        <v/>
      </c>
    </row>
    <row r="86">
      <c r="A86" s="6">
        <f>IFERROR(INDEX(FILTER(INPUT_Rooms!$B$4:$B$83, INPUT_Rooms!$A$4:$A$83=$B$4, INPUT_Rooms!$K$4:$K$83="Y"), 76), "")</f>
        <v/>
      </c>
      <c r="B86" s="6">
        <f>IF(A86="","", XLOOKUP(A86, FILTER(INPUT_Rooms!$B$4:$B$83, INPUT_Rooms!$A$4:$A$83=$B$4), FILTER(INPUT_Rooms!$C$4:$C$83, INPUT_Rooms!$A$4:$A$83=$B$4), ""))</f>
        <v/>
      </c>
      <c r="C86" s="6">
        <f>IF(A86="","", "Y")</f>
        <v/>
      </c>
      <c r="D86" s="6">
        <f>IF(A86="","", XLOOKUP(A86, INPUT_Rooms!$B:$B, INPUT_Rooms!$AD:$AD, ""))</f>
        <v/>
      </c>
      <c r="E86" s="6">
        <f>IF(A86="","", XLOOKUP(A86, INPUT_Rooms!$B:$B, INPUT_Rooms!$L:$L, ""))</f>
        <v/>
      </c>
      <c r="F86" s="6">
        <f>IF(A86="","", XLOOKUP(A86, INPUT_Rooms!$B:$B, INPUT_Rooms!$M:$M, ""))</f>
        <v/>
      </c>
      <c r="G86" s="6">
        <f>IF(A86="","", IF(XLOOKUP(A86, INPUT_Rooms!$B:$B, INPUT_Rooms!$N:$N, "")="", $B$5, XLOOKUP(A86, INPUT_Rooms!$B:$B, INPUT_Rooms!$N:$N, "")))</f>
        <v/>
      </c>
      <c r="H86" s="6">
        <f>IF(A86="","", D86*XLOOKUP("PrepMinsPerSqft",Constants!$A$20:$A$40,Constants!$B$20:$B$40)*XLOOKUP(G86,Constants!$E$10:$E$30,Constants!$F$10:$F$30))</f>
        <v/>
      </c>
      <c r="I86" s="6">
        <f>IF(A86="","", D86*XLOOKUP("PaintMinsPerSqftPerCoat",Constants!$A$20:$A$40,Constants!$B$20:$B$40)*F86)</f>
        <v/>
      </c>
      <c r="J86" s="6">
        <f>IF(A86="","", IF(E86="Full", D86*XLOOKUP("PrimerFullMinsPerSqft",Constants!$A$20:$A$40,Constants!$B$20:$B$40), IF(E86="Spot", D86*XLOOKUP("PrimerFullMinsPerSqft",Constants!$A$20:$A$40,Constants!$B$20:$B$40)*XLOOKUP("PrimerSpotFactor",Constants!$A$20:$A$40,Constants!$B$20:$B$40), 0)))</f>
        <v/>
      </c>
      <c r="K86" s="6">
        <f>IF(A86="","", SUMPRODUCT((INPUT_Openings!$A:$A=$B$4)*(INPUT_Openings!$B:$B=A86)*(INPUT_Openings!$D:$D)*INPUT_Openings!$F:$F))</f>
        <v/>
      </c>
      <c r="L86">
        <f>IF($A86="","",IF($D86="", "",IFERROR(CEILING( ($D86*$F86) / IFERROR(XLOOKUP(XLOOKUP('Job Control'!$B$3, INPUT_JobSettings!$A:$A, INPUT_JobSettings!$B:$B, ""), Constants!$A:$A, Constants!$D:$D, ""), ""), 0.25), "")))</f>
        <v/>
      </c>
      <c r="M86">
        <f>IF($A86="","",IF($E86="None",0,IF($D86="", "",IFERROR(CEILING( ($D86*IF($E86="Full",1, XLOOKUP("PrimerSpotFactor",Constants!$A$10:$A$60,Constants!$B$10:$B$60))) / IFERROR(XLOOKUP(XLOOKUP('Job Control'!$B$3, INPUT_JobSettings!$A:$A, INPUT_JobSettings!$E:$E, ""), Constants!$A:$A, Constants!$D:$D, ""), ""), 0.25), ""))))</f>
        <v/>
      </c>
      <c r="N86">
        <f>IF($A86="","",IFERROR($L86*IFERROR(XLOOKUP(XLOOKUP('Job Control'!$B$3, INPUT_JobSettings!$A:$A, INPUT_JobSettings!$B:$B, ""), Constants!$A:$A, Constants!$C:$C, 0), 0) + $M86*IFERROR(XLOOKUP(XLOOKUP('Job Control'!$B$3, INPUT_JobSettings!$A:$A, INPUT_JobSettings!$E:$E, ""), Constants!$A:$A, Constants!$C:$C, 0), 0),0))</f>
        <v/>
      </c>
      <c r="O86" s="6">
        <f>IF($A86="","", SUM($H86:$K86))</f>
        <v/>
      </c>
      <c r="P86" s="6">
        <f>IF($A86="","", $O86/60)</f>
        <v/>
      </c>
      <c r="Q86" s="6">
        <f>IF($A86="","", $P86*IFERROR(IF(XLOOKUP('Job Control'!$B$3, INPUT_JobSettings!$A:$A, INPUT_JobSettings!$F:$F, "")&lt;&gt;"", XLOOKUP('Job Control'!$B$3, INPUT_JobSettings!$A:$A, INPUT_JobSettings!$F:$F, ""), $B$6), $B$6))</f>
        <v/>
      </c>
      <c r="R86" s="6">
        <f>IF($A86="","", ($Q86+$N86)*IFERROR(IF(XLOOKUP('Job Control'!$B$3, INPUT_JobSettings!$A:$A, INPUT_JobSettings!$G:$G, "")&lt;&gt;"", XLOOKUP('Job Control'!$B$3, INPUT_JobSettings!$A:$A, INPUT_JobSettings!$G:$G, ""), $B$7), $B$7))</f>
        <v/>
      </c>
      <c r="S86" s="6">
        <f>IF($A86="","", XLOOKUP($A86, INPUT_Rooms!$B:$B, INPUT_Rooms!$AH:$AH, ""))</f>
        <v/>
      </c>
    </row>
    <row r="87">
      <c r="A87" s="6">
        <f>IFERROR(INDEX(FILTER(INPUT_Rooms!$B$4:$B$83, INPUT_Rooms!$A$4:$A$83=$B$4, INPUT_Rooms!$K$4:$K$83="Y"), 77), "")</f>
        <v/>
      </c>
      <c r="B87" s="6">
        <f>IF(A87="","", XLOOKUP(A87, FILTER(INPUT_Rooms!$B$4:$B$83, INPUT_Rooms!$A$4:$A$83=$B$4), FILTER(INPUT_Rooms!$C$4:$C$83, INPUT_Rooms!$A$4:$A$83=$B$4), ""))</f>
        <v/>
      </c>
      <c r="C87" s="6">
        <f>IF(A87="","", "Y")</f>
        <v/>
      </c>
      <c r="D87" s="6">
        <f>IF(A87="","", XLOOKUP(A87, INPUT_Rooms!$B:$B, INPUT_Rooms!$AD:$AD, ""))</f>
        <v/>
      </c>
      <c r="E87" s="6">
        <f>IF(A87="","", XLOOKUP(A87, INPUT_Rooms!$B:$B, INPUT_Rooms!$L:$L, ""))</f>
        <v/>
      </c>
      <c r="F87" s="6">
        <f>IF(A87="","", XLOOKUP(A87, INPUT_Rooms!$B:$B, INPUT_Rooms!$M:$M, ""))</f>
        <v/>
      </c>
      <c r="G87" s="6">
        <f>IF(A87="","", IF(XLOOKUP(A87, INPUT_Rooms!$B:$B, INPUT_Rooms!$N:$N, "")="", $B$5, XLOOKUP(A87, INPUT_Rooms!$B:$B, INPUT_Rooms!$N:$N, "")))</f>
        <v/>
      </c>
      <c r="H87" s="6">
        <f>IF(A87="","", D87*XLOOKUP("PrepMinsPerSqft",Constants!$A$20:$A$40,Constants!$B$20:$B$40)*XLOOKUP(G87,Constants!$E$10:$E$30,Constants!$F$10:$F$30))</f>
        <v/>
      </c>
      <c r="I87" s="6">
        <f>IF(A87="","", D87*XLOOKUP("PaintMinsPerSqftPerCoat",Constants!$A$20:$A$40,Constants!$B$20:$B$40)*F87)</f>
        <v/>
      </c>
      <c r="J87" s="6">
        <f>IF(A87="","", IF(E87="Full", D87*XLOOKUP("PrimerFullMinsPerSqft",Constants!$A$20:$A$40,Constants!$B$20:$B$40), IF(E87="Spot", D87*XLOOKUP("PrimerFullMinsPerSqft",Constants!$A$20:$A$40,Constants!$B$20:$B$40)*XLOOKUP("PrimerSpotFactor",Constants!$A$20:$A$40,Constants!$B$20:$B$40), 0)))</f>
        <v/>
      </c>
      <c r="K87" s="6">
        <f>IF(A87="","", SUMPRODUCT((INPUT_Openings!$A:$A=$B$4)*(INPUT_Openings!$B:$B=A87)*(INPUT_Openings!$D:$D)*INPUT_Openings!$F:$F))</f>
        <v/>
      </c>
      <c r="L87">
        <f>IF($A87="","",IF($D87="", "",IFERROR(CEILING( ($D87*$F87) / IFERROR(XLOOKUP(XLOOKUP('Job Control'!$B$3, INPUT_JobSettings!$A:$A, INPUT_JobSettings!$B:$B, ""), Constants!$A:$A, Constants!$D:$D, ""), ""), 0.25), "")))</f>
        <v/>
      </c>
      <c r="M87">
        <f>IF($A87="","",IF($E87="None",0,IF($D87="", "",IFERROR(CEILING( ($D87*IF($E87="Full",1, XLOOKUP("PrimerSpotFactor",Constants!$A$10:$A$60,Constants!$B$10:$B$60))) / IFERROR(XLOOKUP(XLOOKUP('Job Control'!$B$3, INPUT_JobSettings!$A:$A, INPUT_JobSettings!$E:$E, ""), Constants!$A:$A, Constants!$D:$D, ""), ""), 0.25), ""))))</f>
        <v/>
      </c>
      <c r="N87">
        <f>IF($A87="","",IFERROR($L87*IFERROR(XLOOKUP(XLOOKUP('Job Control'!$B$3, INPUT_JobSettings!$A:$A, INPUT_JobSettings!$B:$B, ""), Constants!$A:$A, Constants!$C:$C, 0), 0) + $M87*IFERROR(XLOOKUP(XLOOKUP('Job Control'!$B$3, INPUT_JobSettings!$A:$A, INPUT_JobSettings!$E:$E, ""), Constants!$A:$A, Constants!$C:$C, 0), 0),0))</f>
        <v/>
      </c>
      <c r="O87" s="6">
        <f>IF($A87="","", SUM($H87:$K87))</f>
        <v/>
      </c>
      <c r="P87" s="6">
        <f>IF($A87="","", $O87/60)</f>
        <v/>
      </c>
      <c r="Q87" s="6">
        <f>IF($A87="","", $P87*IFERROR(IF(XLOOKUP('Job Control'!$B$3, INPUT_JobSettings!$A:$A, INPUT_JobSettings!$F:$F, "")&lt;&gt;"", XLOOKUP('Job Control'!$B$3, INPUT_JobSettings!$A:$A, INPUT_JobSettings!$F:$F, ""), $B$6), $B$6))</f>
        <v/>
      </c>
      <c r="R87" s="6">
        <f>IF($A87="","", ($Q87+$N87)*IFERROR(IF(XLOOKUP('Job Control'!$B$3, INPUT_JobSettings!$A:$A, INPUT_JobSettings!$G:$G, "")&lt;&gt;"", XLOOKUP('Job Control'!$B$3, INPUT_JobSettings!$A:$A, INPUT_JobSettings!$G:$G, ""), $B$7), $B$7))</f>
        <v/>
      </c>
      <c r="S87" s="6">
        <f>IF($A87="","", XLOOKUP($A87, INPUT_Rooms!$B:$B, INPUT_Rooms!$AH:$AH, ""))</f>
        <v/>
      </c>
    </row>
    <row r="88">
      <c r="A88" s="6">
        <f>IFERROR(INDEX(FILTER(INPUT_Rooms!$B$4:$B$83, INPUT_Rooms!$A$4:$A$83=$B$4, INPUT_Rooms!$K$4:$K$83="Y"), 78), "")</f>
        <v/>
      </c>
      <c r="B88" s="6">
        <f>IF(A88="","", XLOOKUP(A88, FILTER(INPUT_Rooms!$B$4:$B$83, INPUT_Rooms!$A$4:$A$83=$B$4), FILTER(INPUT_Rooms!$C$4:$C$83, INPUT_Rooms!$A$4:$A$83=$B$4), ""))</f>
        <v/>
      </c>
      <c r="C88" s="6">
        <f>IF(A88="","", "Y")</f>
        <v/>
      </c>
      <c r="D88" s="6">
        <f>IF(A88="","", XLOOKUP(A88, INPUT_Rooms!$B:$B, INPUT_Rooms!$AD:$AD, ""))</f>
        <v/>
      </c>
      <c r="E88" s="6">
        <f>IF(A88="","", XLOOKUP(A88, INPUT_Rooms!$B:$B, INPUT_Rooms!$L:$L, ""))</f>
        <v/>
      </c>
      <c r="F88" s="6">
        <f>IF(A88="","", XLOOKUP(A88, INPUT_Rooms!$B:$B, INPUT_Rooms!$M:$M, ""))</f>
        <v/>
      </c>
      <c r="G88" s="6">
        <f>IF(A88="","", IF(XLOOKUP(A88, INPUT_Rooms!$B:$B, INPUT_Rooms!$N:$N, "")="", $B$5, XLOOKUP(A88, INPUT_Rooms!$B:$B, INPUT_Rooms!$N:$N, "")))</f>
        <v/>
      </c>
      <c r="H88" s="6">
        <f>IF(A88="","", D88*XLOOKUP("PrepMinsPerSqft",Constants!$A$20:$A$40,Constants!$B$20:$B$40)*XLOOKUP(G88,Constants!$E$10:$E$30,Constants!$F$10:$F$30))</f>
        <v/>
      </c>
      <c r="I88" s="6">
        <f>IF(A88="","", D88*XLOOKUP("PaintMinsPerSqftPerCoat",Constants!$A$20:$A$40,Constants!$B$20:$B$40)*F88)</f>
        <v/>
      </c>
      <c r="J88" s="6">
        <f>IF(A88="","", IF(E88="Full", D88*XLOOKUP("PrimerFullMinsPerSqft",Constants!$A$20:$A$40,Constants!$B$20:$B$40), IF(E88="Spot", D88*XLOOKUP("PrimerFullMinsPerSqft",Constants!$A$20:$A$40,Constants!$B$20:$B$40)*XLOOKUP("PrimerSpotFactor",Constants!$A$20:$A$40,Constants!$B$20:$B$40), 0)))</f>
        <v/>
      </c>
      <c r="K88" s="6">
        <f>IF(A88="","", SUMPRODUCT((INPUT_Openings!$A:$A=$B$4)*(INPUT_Openings!$B:$B=A88)*(INPUT_Openings!$D:$D)*INPUT_Openings!$F:$F))</f>
        <v/>
      </c>
      <c r="L88">
        <f>IF($A88="","",IF($D88="", "",IFERROR(CEILING( ($D88*$F88) / IFERROR(XLOOKUP(XLOOKUP('Job Control'!$B$3, INPUT_JobSettings!$A:$A, INPUT_JobSettings!$B:$B, ""), Constants!$A:$A, Constants!$D:$D, ""), ""), 0.25), "")))</f>
        <v/>
      </c>
      <c r="M88">
        <f>IF($A88="","",IF($E88="None",0,IF($D88="", "",IFERROR(CEILING( ($D88*IF($E88="Full",1, XLOOKUP("PrimerSpotFactor",Constants!$A$10:$A$60,Constants!$B$10:$B$60))) / IFERROR(XLOOKUP(XLOOKUP('Job Control'!$B$3, INPUT_JobSettings!$A:$A, INPUT_JobSettings!$E:$E, ""), Constants!$A:$A, Constants!$D:$D, ""), ""), 0.25), ""))))</f>
        <v/>
      </c>
      <c r="N88">
        <f>IF($A88="","",IFERROR($L88*IFERROR(XLOOKUP(XLOOKUP('Job Control'!$B$3, INPUT_JobSettings!$A:$A, INPUT_JobSettings!$B:$B, ""), Constants!$A:$A, Constants!$C:$C, 0), 0) + $M88*IFERROR(XLOOKUP(XLOOKUP('Job Control'!$B$3, INPUT_JobSettings!$A:$A, INPUT_JobSettings!$E:$E, ""), Constants!$A:$A, Constants!$C:$C, 0), 0),0))</f>
        <v/>
      </c>
      <c r="O88" s="6">
        <f>IF($A88="","", SUM($H88:$K88))</f>
        <v/>
      </c>
      <c r="P88" s="6">
        <f>IF($A88="","", $O88/60)</f>
        <v/>
      </c>
      <c r="Q88" s="6">
        <f>IF($A88="","", $P88*IFERROR(IF(XLOOKUP('Job Control'!$B$3, INPUT_JobSettings!$A:$A, INPUT_JobSettings!$F:$F, "")&lt;&gt;"", XLOOKUP('Job Control'!$B$3, INPUT_JobSettings!$A:$A, INPUT_JobSettings!$F:$F, ""), $B$6), $B$6))</f>
        <v/>
      </c>
      <c r="R88" s="6">
        <f>IF($A88="","", ($Q88+$N88)*IFERROR(IF(XLOOKUP('Job Control'!$B$3, INPUT_JobSettings!$A:$A, INPUT_JobSettings!$G:$G, "")&lt;&gt;"", XLOOKUP('Job Control'!$B$3, INPUT_JobSettings!$A:$A, INPUT_JobSettings!$G:$G, ""), $B$7), $B$7))</f>
        <v/>
      </c>
      <c r="S88" s="6">
        <f>IF($A88="","", XLOOKUP($A88, INPUT_Rooms!$B:$B, INPUT_Rooms!$AH:$AH, ""))</f>
        <v/>
      </c>
    </row>
    <row r="89">
      <c r="A89" s="6">
        <f>IFERROR(INDEX(FILTER(INPUT_Rooms!$B$4:$B$83, INPUT_Rooms!$A$4:$A$83=$B$4, INPUT_Rooms!$K$4:$K$83="Y"), 79), "")</f>
        <v/>
      </c>
      <c r="B89" s="6">
        <f>IF(A89="","", XLOOKUP(A89, FILTER(INPUT_Rooms!$B$4:$B$83, INPUT_Rooms!$A$4:$A$83=$B$4), FILTER(INPUT_Rooms!$C$4:$C$83, INPUT_Rooms!$A$4:$A$83=$B$4), ""))</f>
        <v/>
      </c>
      <c r="C89" s="6">
        <f>IF(A89="","", "Y")</f>
        <v/>
      </c>
      <c r="D89" s="6">
        <f>IF(A89="","", XLOOKUP(A89, INPUT_Rooms!$B:$B, INPUT_Rooms!$AD:$AD, ""))</f>
        <v/>
      </c>
      <c r="E89" s="6">
        <f>IF(A89="","", XLOOKUP(A89, INPUT_Rooms!$B:$B, INPUT_Rooms!$L:$L, ""))</f>
        <v/>
      </c>
      <c r="F89" s="6">
        <f>IF(A89="","", XLOOKUP(A89, INPUT_Rooms!$B:$B, INPUT_Rooms!$M:$M, ""))</f>
        <v/>
      </c>
      <c r="G89" s="6">
        <f>IF(A89="","", IF(XLOOKUP(A89, INPUT_Rooms!$B:$B, INPUT_Rooms!$N:$N, "")="", $B$5, XLOOKUP(A89, INPUT_Rooms!$B:$B, INPUT_Rooms!$N:$N, "")))</f>
        <v/>
      </c>
      <c r="H89" s="6">
        <f>IF(A89="","", D89*XLOOKUP("PrepMinsPerSqft",Constants!$A$20:$A$40,Constants!$B$20:$B$40)*XLOOKUP(G89,Constants!$E$10:$E$30,Constants!$F$10:$F$30))</f>
        <v/>
      </c>
      <c r="I89" s="6">
        <f>IF(A89="","", D89*XLOOKUP("PaintMinsPerSqftPerCoat",Constants!$A$20:$A$40,Constants!$B$20:$B$40)*F89)</f>
        <v/>
      </c>
      <c r="J89" s="6">
        <f>IF(A89="","", IF(E89="Full", D89*XLOOKUP("PrimerFullMinsPerSqft",Constants!$A$20:$A$40,Constants!$B$20:$B$40), IF(E89="Spot", D89*XLOOKUP("PrimerFullMinsPerSqft",Constants!$A$20:$A$40,Constants!$B$20:$B$40)*XLOOKUP("PrimerSpotFactor",Constants!$A$20:$A$40,Constants!$B$20:$B$40), 0)))</f>
        <v/>
      </c>
      <c r="K89" s="6">
        <f>IF(A89="","", SUMPRODUCT((INPUT_Openings!$A:$A=$B$4)*(INPUT_Openings!$B:$B=A89)*(INPUT_Openings!$D:$D)*INPUT_Openings!$F:$F))</f>
        <v/>
      </c>
      <c r="L89">
        <f>IF($A89="","",IF($D89="", "",IFERROR(CEILING( ($D89*$F89) / IFERROR(XLOOKUP(XLOOKUP('Job Control'!$B$3, INPUT_JobSettings!$A:$A, INPUT_JobSettings!$B:$B, ""), Constants!$A:$A, Constants!$D:$D, ""), ""), 0.25), "")))</f>
        <v/>
      </c>
      <c r="M89">
        <f>IF($A89="","",IF($E89="None",0,IF($D89="", "",IFERROR(CEILING( ($D89*IF($E89="Full",1, XLOOKUP("PrimerSpotFactor",Constants!$A$10:$A$60,Constants!$B$10:$B$60))) / IFERROR(XLOOKUP(XLOOKUP('Job Control'!$B$3, INPUT_JobSettings!$A:$A, INPUT_JobSettings!$E:$E, ""), Constants!$A:$A, Constants!$D:$D, ""), ""), 0.25), ""))))</f>
        <v/>
      </c>
      <c r="N89">
        <f>IF($A89="","",IFERROR($L89*IFERROR(XLOOKUP(XLOOKUP('Job Control'!$B$3, INPUT_JobSettings!$A:$A, INPUT_JobSettings!$B:$B, ""), Constants!$A:$A, Constants!$C:$C, 0), 0) + $M89*IFERROR(XLOOKUP(XLOOKUP('Job Control'!$B$3, INPUT_JobSettings!$A:$A, INPUT_JobSettings!$E:$E, ""), Constants!$A:$A, Constants!$C:$C, 0), 0),0))</f>
        <v/>
      </c>
      <c r="O89" s="6">
        <f>IF($A89="","", SUM($H89:$K89))</f>
        <v/>
      </c>
      <c r="P89" s="6">
        <f>IF($A89="","", $O89/60)</f>
        <v/>
      </c>
      <c r="Q89" s="6">
        <f>IF($A89="","", $P89*IFERROR(IF(XLOOKUP('Job Control'!$B$3, INPUT_JobSettings!$A:$A, INPUT_JobSettings!$F:$F, "")&lt;&gt;"", XLOOKUP('Job Control'!$B$3, INPUT_JobSettings!$A:$A, INPUT_JobSettings!$F:$F, ""), $B$6), $B$6))</f>
        <v/>
      </c>
      <c r="R89" s="6">
        <f>IF($A89="","", ($Q89+$N89)*IFERROR(IF(XLOOKUP('Job Control'!$B$3, INPUT_JobSettings!$A:$A, INPUT_JobSettings!$G:$G, "")&lt;&gt;"", XLOOKUP('Job Control'!$B$3, INPUT_JobSettings!$A:$A, INPUT_JobSettings!$G:$G, ""), $B$7), $B$7))</f>
        <v/>
      </c>
      <c r="S89" s="6">
        <f>IF($A89="","", XLOOKUP($A89, INPUT_Rooms!$B:$B, INPUT_Rooms!$AH:$AH, ""))</f>
        <v/>
      </c>
    </row>
    <row r="90">
      <c r="A90" s="6">
        <f>IFERROR(INDEX(FILTER(INPUT_Rooms!$B$4:$B$83, INPUT_Rooms!$A$4:$A$83=$B$4, INPUT_Rooms!$K$4:$K$83="Y"), 80), "")</f>
        <v/>
      </c>
      <c r="B90" s="6">
        <f>IF(A90="","", XLOOKUP(A90, FILTER(INPUT_Rooms!$B$4:$B$83, INPUT_Rooms!$A$4:$A$83=$B$4), FILTER(INPUT_Rooms!$C$4:$C$83, INPUT_Rooms!$A$4:$A$83=$B$4), ""))</f>
        <v/>
      </c>
      <c r="C90" s="6">
        <f>IF(A90="","", "Y")</f>
        <v/>
      </c>
      <c r="D90" s="6">
        <f>IF(A90="","", XLOOKUP(A90, INPUT_Rooms!$B:$B, INPUT_Rooms!$AD:$AD, ""))</f>
        <v/>
      </c>
      <c r="E90" s="6">
        <f>IF(A90="","", XLOOKUP(A90, INPUT_Rooms!$B:$B, INPUT_Rooms!$L:$L, ""))</f>
        <v/>
      </c>
      <c r="F90" s="6">
        <f>IF(A90="","", XLOOKUP(A90, INPUT_Rooms!$B:$B, INPUT_Rooms!$M:$M, ""))</f>
        <v/>
      </c>
      <c r="G90" s="6">
        <f>IF(A90="","", IF(XLOOKUP(A90, INPUT_Rooms!$B:$B, INPUT_Rooms!$N:$N, "")="", $B$5, XLOOKUP(A90, INPUT_Rooms!$B:$B, INPUT_Rooms!$N:$N, "")))</f>
        <v/>
      </c>
      <c r="H90" s="6">
        <f>IF(A90="","", D90*XLOOKUP("PrepMinsPerSqft",Constants!$A$20:$A$40,Constants!$B$20:$B$40)*XLOOKUP(G90,Constants!$E$10:$E$30,Constants!$F$10:$F$30))</f>
        <v/>
      </c>
      <c r="I90" s="6">
        <f>IF(A90="","", D90*XLOOKUP("PaintMinsPerSqftPerCoat",Constants!$A$20:$A$40,Constants!$B$20:$B$40)*F90)</f>
        <v/>
      </c>
      <c r="J90" s="6">
        <f>IF(A90="","", IF(E90="Full", D90*XLOOKUP("PrimerFullMinsPerSqft",Constants!$A$20:$A$40,Constants!$B$20:$B$40), IF(E90="Spot", D90*XLOOKUP("PrimerFullMinsPerSqft",Constants!$A$20:$A$40,Constants!$B$20:$B$40)*XLOOKUP("PrimerSpotFactor",Constants!$A$20:$A$40,Constants!$B$20:$B$40), 0)))</f>
        <v/>
      </c>
      <c r="K90" s="6">
        <f>IF(A90="","", SUMPRODUCT((INPUT_Openings!$A:$A=$B$4)*(INPUT_Openings!$B:$B=A90)*(INPUT_Openings!$D:$D)*INPUT_Openings!$F:$F))</f>
        <v/>
      </c>
      <c r="L90">
        <f>IF($A90="","",IF($D90="", "",IFERROR(CEILING( ($D90*$F90) / IFERROR(XLOOKUP(XLOOKUP('Job Control'!$B$3, INPUT_JobSettings!$A:$A, INPUT_JobSettings!$B:$B, ""), Constants!$A:$A, Constants!$D:$D, ""), ""), 0.25), "")))</f>
        <v/>
      </c>
      <c r="M90">
        <f>IF($A90="","",IF($E90="None",0,IF($D90="", "",IFERROR(CEILING( ($D90*IF($E90="Full",1, XLOOKUP("PrimerSpotFactor",Constants!$A$10:$A$60,Constants!$B$10:$B$60))) / IFERROR(XLOOKUP(XLOOKUP('Job Control'!$B$3, INPUT_JobSettings!$A:$A, INPUT_JobSettings!$E:$E, ""), Constants!$A:$A, Constants!$D:$D, ""), ""), 0.25), ""))))</f>
        <v/>
      </c>
      <c r="N90">
        <f>IF($A90="","",IFERROR($L90*IFERROR(XLOOKUP(XLOOKUP('Job Control'!$B$3, INPUT_JobSettings!$A:$A, INPUT_JobSettings!$B:$B, ""), Constants!$A:$A, Constants!$C:$C, 0), 0) + $M90*IFERROR(XLOOKUP(XLOOKUP('Job Control'!$B$3, INPUT_JobSettings!$A:$A, INPUT_JobSettings!$E:$E, ""), Constants!$A:$A, Constants!$C:$C, 0), 0),0))</f>
        <v/>
      </c>
      <c r="O90" s="6">
        <f>IF($A90="","", SUM($H90:$K90))</f>
        <v/>
      </c>
      <c r="P90" s="6">
        <f>IF($A90="","", $O90/60)</f>
        <v/>
      </c>
      <c r="Q90" s="6">
        <f>IF($A90="","", $P90*IFERROR(IF(XLOOKUP('Job Control'!$B$3, INPUT_JobSettings!$A:$A, INPUT_JobSettings!$F:$F, "")&lt;&gt;"", XLOOKUP('Job Control'!$B$3, INPUT_JobSettings!$A:$A, INPUT_JobSettings!$F:$F, ""), $B$6), $B$6))</f>
        <v/>
      </c>
      <c r="R90" s="6">
        <f>IF($A90="","", ($Q90+$N90)*IFERROR(IF(XLOOKUP('Job Control'!$B$3, INPUT_JobSettings!$A:$A, INPUT_JobSettings!$G:$G, "")&lt;&gt;"", XLOOKUP('Job Control'!$B$3, INPUT_JobSettings!$A:$A, INPUT_JobSettings!$G:$G, ""), $B$7), $B$7))</f>
        <v/>
      </c>
      <c r="S90" s="6">
        <f>IF($A90="","", XLOOKUP($A90, INPUT_Rooms!$B:$B, INPUT_Rooms!$AH:$AH, ""))</f>
        <v/>
      </c>
    </row>
    <row r="91">
      <c r="L91">
        <f>IF($A91="","",IF($D91="", "", CEILING( ($D91*$F91) / IFERROR(XLOOKUP(XLOOKUP('Job Control'!$B$3, INPUT_JobSettings!$A:$A, INPUT_JobSettings!$B:$B, ""), Constants!$A:$A, Constants!$E:$E, ""),""), 0.25))))</f>
        <v/>
      </c>
      <c r="M91">
        <f>IF($A91="","",IF($E91="None",0,IF($D91="", "", CEILING( ($D91*IF($E91="Full",1, XLOOKUP("PrimerSpotFactor",Constants!$A$20:$A$40,Constants!$B$20:$B$40))) / IFERROR(XLOOKUP(XLOOKUP('Job Control'!$B$3, INPUT_JobSettings!$A:$A, INPUT_JobSettings!$E:$E, ""), Constants!$A:$A, Constants!$E:$E, ""),""), 0.25)))))</f>
        <v/>
      </c>
      <c r="N91">
        <f>IF($A91="","",IF($D91="", "", $L91*IFERROR(XLOOKUP(XLOOKUP('Job Control'!$B$3, INPUT_JobSettings!$A:$A, INPUT_JobSettings!$B:$B, ""), Constants!$A:$A, Constants!$D:$D, 0),0) + $M91*IFERROR(XLOOKUP(XLOOKUP('Job Control'!$B$3, INPUT_JobSettings!$A:$A, INPUT_JobSettings!$E:$E, ""), Constants!$A:$A, Constants!$D:$D, 0),0))))</f>
        <v/>
      </c>
      <c r="O91">
        <f>IF($A91="","", SUM($H91:$K91))</f>
        <v/>
      </c>
      <c r="P91">
        <f>IF($A91="","", $O91/60)</f>
        <v/>
      </c>
      <c r="Q91">
        <f>IF($A91="","", $P91*IFERROR(IF(XLOOKUP('Job Control'!$B$3, INPUT_JobSettings!$A:$A, INPUT_JobSettings!$F:$F, "")&lt;&gt;"", XLOOKUP('Job Control'!$B$3, INPUT_JobSettings!$A:$A, INPUT_JobSettings!$F:$F, ""), $B$6), $B$6))</f>
        <v/>
      </c>
      <c r="R91">
        <f>IF($A91="","", ($Q91+$N91)*IFERROR(IF(XLOOKUP('Job Control'!$B$3, INPUT_JobSettings!$A:$A, INPUT_JobSettings!$G:$G, "")&lt;&gt;"", XLOOKUP('Job Control'!$B$3, INPUT_JobSettings!$A:$A, INPUT_JobSettings!$G:$G, ""), $B$7), $B$7))</f>
        <v/>
      </c>
      <c r="S91">
        <f>IF($A91="","", XLOOKUP($A91, INPUT_Rooms!$B:$B, INPUT_Rooms!$AH:$AH, ""))</f>
        <v/>
      </c>
    </row>
    <row r="92">
      <c r="L92">
        <f>IF($A92="","",IF($D92="", "", CEILING( ($D92*$F92) / IFERROR(XLOOKUP(XLOOKUP('Job Control'!$B$3, INPUT_JobSettings!$A:$A, INPUT_JobSettings!$B:$B, ""), Constants!$A:$A, Constants!$E:$E, ""),""), 0.25))))</f>
        <v/>
      </c>
      <c r="M92">
        <f>IF($A92="","",IF($E92="None",0,IF($D92="", "", CEILING( ($D92*IF($E92="Full",1, XLOOKUP("PrimerSpotFactor",Constants!$A$20:$A$40,Constants!$B$20:$B$40))) / IFERROR(XLOOKUP(XLOOKUP('Job Control'!$B$3, INPUT_JobSettings!$A:$A, INPUT_JobSettings!$E:$E, ""), Constants!$A:$A, Constants!$E:$E, ""),""), 0.25)))))</f>
        <v/>
      </c>
      <c r="N92">
        <f>IF($A92="","",IF($D92="", "", $L92*IFERROR(XLOOKUP(XLOOKUP('Job Control'!$B$3, INPUT_JobSettings!$A:$A, INPUT_JobSettings!$B:$B, ""), Constants!$A:$A, Constants!$D:$D, 0),0) + $M92*IFERROR(XLOOKUP(XLOOKUP('Job Control'!$B$3, INPUT_JobSettings!$A:$A, INPUT_JobSettings!$E:$E, ""), Constants!$A:$A, Constants!$D:$D, 0),0))))</f>
        <v/>
      </c>
      <c r="O92">
        <f>IF($A92="","", SUM($H92:$K92))</f>
        <v/>
      </c>
      <c r="P92">
        <f>IF($A92="","", $O92/60)</f>
        <v/>
      </c>
      <c r="Q92">
        <f>IF($A92="","", $P92*IFERROR(IF(XLOOKUP('Job Control'!$B$3, INPUT_JobSettings!$A:$A, INPUT_JobSettings!$F:$F, "")&lt;&gt;"", XLOOKUP('Job Control'!$B$3, INPUT_JobSettings!$A:$A, INPUT_JobSettings!$F:$F, ""), $B$6), $B$6))</f>
        <v/>
      </c>
      <c r="R92">
        <f>IF($A92="","", ($Q92+$N92)*IFERROR(IF(XLOOKUP('Job Control'!$B$3, INPUT_JobSettings!$A:$A, INPUT_JobSettings!$G:$G, "")&lt;&gt;"", XLOOKUP('Job Control'!$B$3, INPUT_JobSettings!$A:$A, INPUT_JobSettings!$G:$G, ""), $B$7), $B$7))</f>
        <v/>
      </c>
      <c r="S92">
        <f>IF($A92="","", XLOOKUP($A92, INPUT_Rooms!$B:$B, INPUT_Rooms!$AH:$AH, ""))</f>
        <v/>
      </c>
    </row>
    <row r="93">
      <c r="L93">
        <f>IF($A93="","",IF($D93="", "", CEILING( ($D93*$F93) / IFERROR(XLOOKUP(XLOOKUP('Job Control'!$B$3, INPUT_JobSettings!$A:$A, INPUT_JobSettings!$B:$B, ""), Constants!$A:$A, Constants!$E:$E, ""),""), 0.25))))</f>
        <v/>
      </c>
      <c r="M93">
        <f>IF($A93="","",IF($E93="None",0,IF($D93="", "", CEILING( ($D93*IF($E93="Full",1, XLOOKUP("PrimerSpotFactor",Constants!$A$20:$A$40,Constants!$B$20:$B$40))) / IFERROR(XLOOKUP(XLOOKUP('Job Control'!$B$3, INPUT_JobSettings!$A:$A, INPUT_JobSettings!$E:$E, ""), Constants!$A:$A, Constants!$E:$E, ""),""), 0.25)))))</f>
        <v/>
      </c>
      <c r="N93">
        <f>IF($A93="","",IF($D93="", "", $L93*IFERROR(XLOOKUP(XLOOKUP('Job Control'!$B$3, INPUT_JobSettings!$A:$A, INPUT_JobSettings!$B:$B, ""), Constants!$A:$A, Constants!$D:$D, 0),0) + $M93*IFERROR(XLOOKUP(XLOOKUP('Job Control'!$B$3, INPUT_JobSettings!$A:$A, INPUT_JobSettings!$E:$E, ""), Constants!$A:$A, Constants!$D:$D, 0),0))))</f>
        <v/>
      </c>
      <c r="O93">
        <f>IF($A93="","", SUM($H93:$K93))</f>
        <v/>
      </c>
      <c r="P93">
        <f>IF($A93="","", $O93/60)</f>
        <v/>
      </c>
      <c r="Q93">
        <f>IF($A93="","", $P93*IFERROR(IF(XLOOKUP('Job Control'!$B$3, INPUT_JobSettings!$A:$A, INPUT_JobSettings!$F:$F, "")&lt;&gt;"", XLOOKUP('Job Control'!$B$3, INPUT_JobSettings!$A:$A, INPUT_JobSettings!$F:$F, ""), $B$6), $B$6))</f>
        <v/>
      </c>
      <c r="R93">
        <f>IF($A93="","", ($Q93+$N93)*IFERROR(IF(XLOOKUP('Job Control'!$B$3, INPUT_JobSettings!$A:$A, INPUT_JobSettings!$G:$G, "")&lt;&gt;"", XLOOKUP('Job Control'!$B$3, INPUT_JobSettings!$A:$A, INPUT_JobSettings!$G:$G, ""), $B$7), $B$7))</f>
        <v/>
      </c>
      <c r="S93">
        <f>IF($A93="","", XLOOKUP($A93, INPUT_Rooms!$B:$B, INPUT_Rooms!$AH:$AH, ""))</f>
        <v/>
      </c>
    </row>
    <row r="94">
      <c r="L94">
        <f>IF($A94="","",IF($D94="", "", CEILING( ($D94*$F94) / IFERROR(XLOOKUP(XLOOKUP('Job Control'!$B$3, INPUT_JobSettings!$A:$A, INPUT_JobSettings!$B:$B, ""), Constants!$A:$A, Constants!$E:$E, ""),""), 0.25))))</f>
        <v/>
      </c>
      <c r="M94">
        <f>IF($A94="","",IF($E94="None",0,IF($D94="", "", CEILING( ($D94*IF($E94="Full",1, XLOOKUP("PrimerSpotFactor",Constants!$A$20:$A$40,Constants!$B$20:$B$40))) / IFERROR(XLOOKUP(XLOOKUP('Job Control'!$B$3, INPUT_JobSettings!$A:$A, INPUT_JobSettings!$E:$E, ""), Constants!$A:$A, Constants!$E:$E, ""),""), 0.25)))))</f>
        <v/>
      </c>
      <c r="N94">
        <f>IF($A94="","",IF($D94="", "", $L94*IFERROR(XLOOKUP(XLOOKUP('Job Control'!$B$3, INPUT_JobSettings!$A:$A, INPUT_JobSettings!$B:$B, ""), Constants!$A:$A, Constants!$D:$D, 0),0) + $M94*IFERROR(XLOOKUP(XLOOKUP('Job Control'!$B$3, INPUT_JobSettings!$A:$A, INPUT_JobSettings!$E:$E, ""), Constants!$A:$A, Constants!$D:$D, 0),0))))</f>
        <v/>
      </c>
      <c r="O94">
        <f>IF($A94="","", SUM($H94:$K94))</f>
        <v/>
      </c>
      <c r="P94">
        <f>IF($A94="","", $O94/60)</f>
        <v/>
      </c>
      <c r="Q94">
        <f>IF($A94="","", $P94*IFERROR(IF(XLOOKUP('Job Control'!$B$3, INPUT_JobSettings!$A:$A, INPUT_JobSettings!$F:$F, "")&lt;&gt;"", XLOOKUP('Job Control'!$B$3, INPUT_JobSettings!$A:$A, INPUT_JobSettings!$F:$F, ""), $B$6), $B$6))</f>
        <v/>
      </c>
      <c r="R94">
        <f>IF($A94="","", ($Q94+$N94)*IFERROR(IF(XLOOKUP('Job Control'!$B$3, INPUT_JobSettings!$A:$A, INPUT_JobSettings!$G:$G, "")&lt;&gt;"", XLOOKUP('Job Control'!$B$3, INPUT_JobSettings!$A:$A, INPUT_JobSettings!$G:$G, ""), $B$7), $B$7))</f>
        <v/>
      </c>
      <c r="S94">
        <f>IF($A94="","", XLOOKUP($A94, INPUT_Rooms!$B:$B, INPUT_Rooms!$AH:$AH, ""))</f>
        <v/>
      </c>
    </row>
    <row r="95">
      <c r="L95">
        <f>IF($A95="","",IF($D95="", "", CEILING( ($D95*$F95) / IFERROR(XLOOKUP(XLOOKUP('Job Control'!$B$3, INPUT_JobSettings!$A:$A, INPUT_JobSettings!$B:$B, ""), Constants!$A:$A, Constants!$E:$E, ""),""), 0.25))))</f>
        <v/>
      </c>
      <c r="M95">
        <f>IF($A95="","",IF($E95="None",0,IF($D95="", "", CEILING( ($D95*IF($E95="Full",1, XLOOKUP("PrimerSpotFactor",Constants!$A$20:$A$40,Constants!$B$20:$B$40))) / IFERROR(XLOOKUP(XLOOKUP('Job Control'!$B$3, INPUT_JobSettings!$A:$A, INPUT_JobSettings!$E:$E, ""), Constants!$A:$A, Constants!$E:$E, ""),""), 0.25)))))</f>
        <v/>
      </c>
      <c r="N95">
        <f>IF($A95="","",IF($D95="", "", $L95*IFERROR(XLOOKUP(XLOOKUP('Job Control'!$B$3, INPUT_JobSettings!$A:$A, INPUT_JobSettings!$B:$B, ""), Constants!$A:$A, Constants!$D:$D, 0),0) + $M95*IFERROR(XLOOKUP(XLOOKUP('Job Control'!$B$3, INPUT_JobSettings!$A:$A, INPUT_JobSettings!$E:$E, ""), Constants!$A:$A, Constants!$D:$D, 0),0))))</f>
        <v/>
      </c>
      <c r="O95">
        <f>IF($A95="","", SUM($H95:$K95))</f>
        <v/>
      </c>
      <c r="P95">
        <f>IF($A95="","", $O95/60)</f>
        <v/>
      </c>
      <c r="Q95">
        <f>IF($A95="","", $P95*IFERROR(IF(XLOOKUP('Job Control'!$B$3, INPUT_JobSettings!$A:$A, INPUT_JobSettings!$F:$F, "")&lt;&gt;"", XLOOKUP('Job Control'!$B$3, INPUT_JobSettings!$A:$A, INPUT_JobSettings!$F:$F, ""), $B$6), $B$6))</f>
        <v/>
      </c>
      <c r="R95">
        <f>IF($A95="","", ($Q95+$N95)*IFERROR(IF(XLOOKUP('Job Control'!$B$3, INPUT_JobSettings!$A:$A, INPUT_JobSettings!$G:$G, "")&lt;&gt;"", XLOOKUP('Job Control'!$B$3, INPUT_JobSettings!$A:$A, INPUT_JobSettings!$G:$G, ""), $B$7), $B$7))</f>
        <v/>
      </c>
      <c r="S95">
        <f>IF($A95="","", XLOOKUP($A95, INPUT_Rooms!$B:$B, INPUT_Rooms!$AH:$AH, ""))</f>
        <v/>
      </c>
    </row>
    <row r="96">
      <c r="L96">
        <f>IF($A96="","",IF($D96="", "", CEILING( ($D96*$F96) / IFERROR(XLOOKUP(XLOOKUP('Job Control'!$B$3, INPUT_JobSettings!$A:$A, INPUT_JobSettings!$B:$B, ""), Constants!$A:$A, Constants!$E:$E, ""),""), 0.25))))</f>
        <v/>
      </c>
      <c r="M96">
        <f>IF($A96="","",IF($E96="None",0,IF($D96="", "", CEILING( ($D96*IF($E96="Full",1, XLOOKUP("PrimerSpotFactor",Constants!$A$20:$A$40,Constants!$B$20:$B$40))) / IFERROR(XLOOKUP(XLOOKUP('Job Control'!$B$3, INPUT_JobSettings!$A:$A, INPUT_JobSettings!$E:$E, ""), Constants!$A:$A, Constants!$E:$E, ""),""), 0.25)))))</f>
        <v/>
      </c>
      <c r="N96">
        <f>IF($A96="","",IF($D96="", "", $L96*IFERROR(XLOOKUP(XLOOKUP('Job Control'!$B$3, INPUT_JobSettings!$A:$A, INPUT_JobSettings!$B:$B, ""), Constants!$A:$A, Constants!$D:$D, 0),0) + $M96*IFERROR(XLOOKUP(XLOOKUP('Job Control'!$B$3, INPUT_JobSettings!$A:$A, INPUT_JobSettings!$E:$E, ""), Constants!$A:$A, Constants!$D:$D, 0),0))))</f>
        <v/>
      </c>
      <c r="O96">
        <f>IF($A96="","", SUM($H96:$K96))</f>
        <v/>
      </c>
      <c r="P96">
        <f>IF($A96="","", $O96/60)</f>
        <v/>
      </c>
      <c r="Q96">
        <f>IF($A96="","", $P96*IFERROR(IF(XLOOKUP('Job Control'!$B$3, INPUT_JobSettings!$A:$A, INPUT_JobSettings!$F:$F, "")&lt;&gt;"", XLOOKUP('Job Control'!$B$3, INPUT_JobSettings!$A:$A, INPUT_JobSettings!$F:$F, ""), $B$6), $B$6))</f>
        <v/>
      </c>
      <c r="R96">
        <f>IF($A96="","", ($Q96+$N96)*IFERROR(IF(XLOOKUP('Job Control'!$B$3, INPUT_JobSettings!$A:$A, INPUT_JobSettings!$G:$G, "")&lt;&gt;"", XLOOKUP('Job Control'!$B$3, INPUT_JobSettings!$A:$A, INPUT_JobSettings!$G:$G, ""), $B$7), $B$7))</f>
        <v/>
      </c>
      <c r="S96">
        <f>IF($A96="","", XLOOKUP($A96, INPUT_Rooms!$B:$B, INPUT_Rooms!$AH:$AH, ""))</f>
        <v/>
      </c>
    </row>
    <row r="97">
      <c r="L97">
        <f>IF($A97="","",IF($D97="", "", CEILING( ($D97*$F97) / IFERROR(XLOOKUP(XLOOKUP('Job Control'!$B$3, INPUT_JobSettings!$A:$A, INPUT_JobSettings!$B:$B, ""), Constants!$A:$A, Constants!$E:$E, ""),""), 0.25))))</f>
        <v/>
      </c>
      <c r="M97">
        <f>IF($A97="","",IF($E97="None",0,IF($D97="", "", CEILING( ($D97*IF($E97="Full",1, XLOOKUP("PrimerSpotFactor",Constants!$A$20:$A$40,Constants!$B$20:$B$40))) / IFERROR(XLOOKUP(XLOOKUP('Job Control'!$B$3, INPUT_JobSettings!$A:$A, INPUT_JobSettings!$E:$E, ""), Constants!$A:$A, Constants!$E:$E, ""),""), 0.25)))))</f>
        <v/>
      </c>
      <c r="N97">
        <f>IF($A97="","",IF($D97="", "", $L97*IFERROR(XLOOKUP(XLOOKUP('Job Control'!$B$3, INPUT_JobSettings!$A:$A, INPUT_JobSettings!$B:$B, ""), Constants!$A:$A, Constants!$D:$D, 0),0) + $M97*IFERROR(XLOOKUP(XLOOKUP('Job Control'!$B$3, INPUT_JobSettings!$A:$A, INPUT_JobSettings!$E:$E, ""), Constants!$A:$A, Constants!$D:$D, 0),0))))</f>
        <v/>
      </c>
      <c r="O97">
        <f>IF($A97="","", SUM($H97:$K97))</f>
        <v/>
      </c>
      <c r="P97">
        <f>IF($A97="","", $O97/60)</f>
        <v/>
      </c>
      <c r="Q97">
        <f>IF($A97="","", $P97*IFERROR(IF(XLOOKUP('Job Control'!$B$3, INPUT_JobSettings!$A:$A, INPUT_JobSettings!$F:$F, "")&lt;&gt;"", XLOOKUP('Job Control'!$B$3, INPUT_JobSettings!$A:$A, INPUT_JobSettings!$F:$F, ""), $B$6), $B$6))</f>
        <v/>
      </c>
      <c r="R97">
        <f>IF($A97="","", ($Q97+$N97)*IFERROR(IF(XLOOKUP('Job Control'!$B$3, INPUT_JobSettings!$A:$A, INPUT_JobSettings!$G:$G, "")&lt;&gt;"", XLOOKUP('Job Control'!$B$3, INPUT_JobSettings!$A:$A, INPUT_JobSettings!$G:$G, ""), $B$7), $B$7))</f>
        <v/>
      </c>
      <c r="S97">
        <f>IF($A97="","", XLOOKUP($A97, INPUT_Rooms!$B:$B, INPUT_Rooms!$AH:$AH, ""))</f>
        <v/>
      </c>
    </row>
    <row r="98">
      <c r="L98">
        <f>IF($A98="","",IF($D98="", "", CEILING( ($D98*$F98) / IFERROR(XLOOKUP(XLOOKUP('Job Control'!$B$3, INPUT_JobSettings!$A:$A, INPUT_JobSettings!$B:$B, ""), Constants!$A:$A, Constants!$E:$E, ""),""), 0.25))))</f>
        <v/>
      </c>
      <c r="M98">
        <f>IF($A98="","",IF($E98="None",0,IF($D98="", "", CEILING( ($D98*IF($E98="Full",1, XLOOKUP("PrimerSpotFactor",Constants!$A$20:$A$40,Constants!$B$20:$B$40))) / IFERROR(XLOOKUP(XLOOKUP('Job Control'!$B$3, INPUT_JobSettings!$A:$A, INPUT_JobSettings!$E:$E, ""), Constants!$A:$A, Constants!$E:$E, ""),""), 0.25)))))</f>
        <v/>
      </c>
      <c r="N98">
        <f>IF($A98="","",IF($D98="", "", $L98*IFERROR(XLOOKUP(XLOOKUP('Job Control'!$B$3, INPUT_JobSettings!$A:$A, INPUT_JobSettings!$B:$B, ""), Constants!$A:$A, Constants!$D:$D, 0),0) + $M98*IFERROR(XLOOKUP(XLOOKUP('Job Control'!$B$3, INPUT_JobSettings!$A:$A, INPUT_JobSettings!$E:$E, ""), Constants!$A:$A, Constants!$D:$D, 0),0))))</f>
        <v/>
      </c>
      <c r="O98">
        <f>IF($A98="","", SUM($H98:$K98))</f>
        <v/>
      </c>
      <c r="P98">
        <f>IF($A98="","", $O98/60)</f>
        <v/>
      </c>
      <c r="Q98">
        <f>IF($A98="","", $P98*IFERROR(IF(XLOOKUP('Job Control'!$B$3, INPUT_JobSettings!$A:$A, INPUT_JobSettings!$F:$F, "")&lt;&gt;"", XLOOKUP('Job Control'!$B$3, INPUT_JobSettings!$A:$A, INPUT_JobSettings!$F:$F, ""), $B$6), $B$6))</f>
        <v/>
      </c>
      <c r="R98">
        <f>IF($A98="","", ($Q98+$N98)*IFERROR(IF(XLOOKUP('Job Control'!$B$3, INPUT_JobSettings!$A:$A, INPUT_JobSettings!$G:$G, "")&lt;&gt;"", XLOOKUP('Job Control'!$B$3, INPUT_JobSettings!$A:$A, INPUT_JobSettings!$G:$G, ""), $B$7), $B$7))</f>
        <v/>
      </c>
      <c r="S98">
        <f>IF($A98="","", XLOOKUP($A98, INPUT_Rooms!$B:$B, INPUT_Rooms!$AH:$AH, ""))</f>
        <v/>
      </c>
    </row>
    <row r="99">
      <c r="L99">
        <f>IF($A99="","",IF($D99="", "", CEILING( ($D99*$F99) / IFERROR(XLOOKUP(XLOOKUP('Job Control'!$B$3, INPUT_JobSettings!$A:$A, INPUT_JobSettings!$B:$B, ""), Constants!$A:$A, Constants!$E:$E, ""),""), 0.25))))</f>
        <v/>
      </c>
      <c r="M99">
        <f>IF($A99="","",IF($E99="None",0,IF($D99="", "", CEILING( ($D99*IF($E99="Full",1, XLOOKUP("PrimerSpotFactor",Constants!$A$20:$A$40,Constants!$B$20:$B$40))) / IFERROR(XLOOKUP(XLOOKUP('Job Control'!$B$3, INPUT_JobSettings!$A:$A, INPUT_JobSettings!$E:$E, ""), Constants!$A:$A, Constants!$E:$E, ""),""), 0.25)))))</f>
        <v/>
      </c>
      <c r="N99">
        <f>IF($A99="","",IF($D99="", "", $L99*IFERROR(XLOOKUP(XLOOKUP('Job Control'!$B$3, INPUT_JobSettings!$A:$A, INPUT_JobSettings!$B:$B, ""), Constants!$A:$A, Constants!$D:$D, 0),0) + $M99*IFERROR(XLOOKUP(XLOOKUP('Job Control'!$B$3, INPUT_JobSettings!$A:$A, INPUT_JobSettings!$E:$E, ""), Constants!$A:$A, Constants!$D:$D, 0),0))))</f>
        <v/>
      </c>
      <c r="O99">
        <f>IF($A99="","", SUM($H99:$K99))</f>
        <v/>
      </c>
      <c r="P99">
        <f>IF($A99="","", $O99/60)</f>
        <v/>
      </c>
      <c r="Q99">
        <f>IF($A99="","", $P99*IFERROR(IF(XLOOKUP('Job Control'!$B$3, INPUT_JobSettings!$A:$A, INPUT_JobSettings!$F:$F, "")&lt;&gt;"", XLOOKUP('Job Control'!$B$3, INPUT_JobSettings!$A:$A, INPUT_JobSettings!$F:$F, ""), $B$6), $B$6))</f>
        <v/>
      </c>
      <c r="R99">
        <f>IF($A99="","", ($Q99+$N99)*IFERROR(IF(XLOOKUP('Job Control'!$B$3, INPUT_JobSettings!$A:$A, INPUT_JobSettings!$G:$G, "")&lt;&gt;"", XLOOKUP('Job Control'!$B$3, INPUT_JobSettings!$A:$A, INPUT_JobSettings!$G:$G, ""), $B$7), $B$7))</f>
        <v/>
      </c>
      <c r="S99">
        <f>IF($A99="","", XLOOKUP($A99, INPUT_Rooms!$B:$B, INPUT_Rooms!$AH:$AH, ""))</f>
        <v/>
      </c>
    </row>
    <row r="100">
      <c r="L100">
        <f>IF($A100="","",IF($D100="", "", CEILING( ($D100*$F100) / IFERROR(XLOOKUP(XLOOKUP('Job Control'!$B$3, INPUT_JobSettings!$A:$A, INPUT_JobSettings!$B:$B, ""), Constants!$A:$A, Constants!$E:$E, ""),""), 0.25))))</f>
        <v/>
      </c>
      <c r="M100">
        <f>IF($A100="","",IF($E100="None",0,IF($D100="", "", CEILING( ($D100*IF($E100="Full",1, XLOOKUP("PrimerSpotFactor",Constants!$A$20:$A$40,Constants!$B$20:$B$40))) / IFERROR(XLOOKUP(XLOOKUP('Job Control'!$B$3, INPUT_JobSettings!$A:$A, INPUT_JobSettings!$E:$E, ""), Constants!$A:$A, Constants!$E:$E, ""),""), 0.25)))))</f>
        <v/>
      </c>
      <c r="N100">
        <f>IF($A100="","",IF($D100="", "", $L100*IFERROR(XLOOKUP(XLOOKUP('Job Control'!$B$3, INPUT_JobSettings!$A:$A, INPUT_JobSettings!$B:$B, ""), Constants!$A:$A, Constants!$D:$D, 0),0) + $M100*IFERROR(XLOOKUP(XLOOKUP('Job Control'!$B$3, INPUT_JobSettings!$A:$A, INPUT_JobSettings!$E:$E, ""), Constants!$A:$A, Constants!$D:$D, 0),0))))</f>
        <v/>
      </c>
      <c r="O100">
        <f>IF($A100="","", SUM($H100:$K100))</f>
        <v/>
      </c>
      <c r="P100">
        <f>IF($A100="","", $O100/60)</f>
        <v/>
      </c>
      <c r="Q100">
        <f>IF($A100="","", $P100*IFERROR(IF(XLOOKUP('Job Control'!$B$3, INPUT_JobSettings!$A:$A, INPUT_JobSettings!$F:$F, "")&lt;&gt;"", XLOOKUP('Job Control'!$B$3, INPUT_JobSettings!$A:$A, INPUT_JobSettings!$F:$F, ""), $B$6), $B$6))</f>
        <v/>
      </c>
      <c r="R100">
        <f>IF($A100="","", ($Q100+$N100)*IFERROR(IF(XLOOKUP('Job Control'!$B$3, INPUT_JobSettings!$A:$A, INPUT_JobSettings!$G:$G, "")&lt;&gt;"", XLOOKUP('Job Control'!$B$3, INPUT_JobSettings!$A:$A, INPUT_JobSettings!$G:$G, ""), $B$7), $B$7))</f>
        <v/>
      </c>
      <c r="S100">
        <f>IF($A100="","", XLOOKUP($A100, INPUT_Rooms!$B:$B, INPUT_Rooms!$AH:$AH, ""))</f>
        <v/>
      </c>
    </row>
    <row r="101">
      <c r="L101">
        <f>IF($A101="","",IF($D101="", "", CEILING( ($D101*$F101) / IFERROR(XLOOKUP(XLOOKUP('Job Control'!$B$3, INPUT_JobSettings!$A:$A, INPUT_JobSettings!$B:$B, ""), Constants!$A:$A, Constants!$E:$E, ""),""), 0.25))))</f>
        <v/>
      </c>
      <c r="M101">
        <f>IF($A101="","",IF($E101="None",0,IF($D101="", "", CEILING( ($D101*IF($E101="Full",1, XLOOKUP("PrimerSpotFactor",Constants!$A$20:$A$40,Constants!$B$20:$B$40))) / IFERROR(XLOOKUP(XLOOKUP('Job Control'!$B$3, INPUT_JobSettings!$A:$A, INPUT_JobSettings!$E:$E, ""), Constants!$A:$A, Constants!$E:$E, ""),""), 0.25)))))</f>
        <v/>
      </c>
      <c r="N101">
        <f>IF($A101="","",IF($D101="", "", $L101*IFERROR(XLOOKUP(XLOOKUP('Job Control'!$B$3, INPUT_JobSettings!$A:$A, INPUT_JobSettings!$B:$B, ""), Constants!$A:$A, Constants!$D:$D, 0),0) + $M101*IFERROR(XLOOKUP(XLOOKUP('Job Control'!$B$3, INPUT_JobSettings!$A:$A, INPUT_JobSettings!$E:$E, ""), Constants!$A:$A, Constants!$D:$D, 0),0))))</f>
        <v/>
      </c>
      <c r="O101">
        <f>IF($A101="","", SUM($H101:$K101))</f>
        <v/>
      </c>
      <c r="P101">
        <f>IF($A101="","", $O101/60)</f>
        <v/>
      </c>
      <c r="Q101">
        <f>IF($A101="","", $P101*IFERROR(IF(XLOOKUP('Job Control'!$B$3, INPUT_JobSettings!$A:$A, INPUT_JobSettings!$F:$F, "")&lt;&gt;"", XLOOKUP('Job Control'!$B$3, INPUT_JobSettings!$A:$A, INPUT_JobSettings!$F:$F, ""), $B$6), $B$6))</f>
        <v/>
      </c>
      <c r="R101">
        <f>IF($A101="","", ($Q101+$N101)*IFERROR(IF(XLOOKUP('Job Control'!$B$3, INPUT_JobSettings!$A:$A, INPUT_JobSettings!$G:$G, "")&lt;&gt;"", XLOOKUP('Job Control'!$B$3, INPUT_JobSettings!$A:$A, INPUT_JobSettings!$G:$G, ""), $B$7), $B$7))</f>
        <v/>
      </c>
      <c r="S101">
        <f>IF($A101="","", XLOOKUP($A101, INPUT_Rooms!$B:$B, INPUT_Rooms!$AH:$AH, ""))</f>
        <v/>
      </c>
    </row>
    <row r="102">
      <c r="L102">
        <f>IF($A102="","",IF($D102="", "", CEILING( ($D102*$F102) / IFERROR(XLOOKUP(XLOOKUP('Job Control'!$B$3, INPUT_JobSettings!$A:$A, INPUT_JobSettings!$B:$B, ""), Constants!$A:$A, Constants!$E:$E, ""),""), 0.25))))</f>
        <v/>
      </c>
      <c r="M102">
        <f>IF($A102="","",IF($E102="None",0,IF($D102="", "", CEILING( ($D102*IF($E102="Full",1, XLOOKUP("PrimerSpotFactor",Constants!$A$20:$A$40,Constants!$B$20:$B$40))) / IFERROR(XLOOKUP(XLOOKUP('Job Control'!$B$3, INPUT_JobSettings!$A:$A, INPUT_JobSettings!$E:$E, ""), Constants!$A:$A, Constants!$E:$E, ""),""), 0.25)))))</f>
        <v/>
      </c>
      <c r="N102">
        <f>IF($A102="","",IF($D102="", "", $L102*IFERROR(XLOOKUP(XLOOKUP('Job Control'!$B$3, INPUT_JobSettings!$A:$A, INPUT_JobSettings!$B:$B, ""), Constants!$A:$A, Constants!$D:$D, 0),0) + $M102*IFERROR(XLOOKUP(XLOOKUP('Job Control'!$B$3, INPUT_JobSettings!$A:$A, INPUT_JobSettings!$E:$E, ""), Constants!$A:$A, Constants!$D:$D, 0),0))))</f>
        <v/>
      </c>
      <c r="O102">
        <f>IF($A102="","", SUM($H102:$K102))</f>
        <v/>
      </c>
      <c r="P102">
        <f>IF($A102="","", $O102/60)</f>
        <v/>
      </c>
      <c r="Q102">
        <f>IF($A102="","", $P102*IFERROR(IF(XLOOKUP('Job Control'!$B$3, INPUT_JobSettings!$A:$A, INPUT_JobSettings!$F:$F, "")&lt;&gt;"", XLOOKUP('Job Control'!$B$3, INPUT_JobSettings!$A:$A, INPUT_JobSettings!$F:$F, ""), $B$6), $B$6))</f>
        <v/>
      </c>
      <c r="R102">
        <f>IF($A102="","", ($Q102+$N102)*IFERROR(IF(XLOOKUP('Job Control'!$B$3, INPUT_JobSettings!$A:$A, INPUT_JobSettings!$G:$G, "")&lt;&gt;"", XLOOKUP('Job Control'!$B$3, INPUT_JobSettings!$A:$A, INPUT_JobSettings!$G:$G, ""), $B$7), $B$7))</f>
        <v/>
      </c>
      <c r="S102">
        <f>IF($A102="","", XLOOKUP($A102, INPUT_Rooms!$B:$B, INPUT_Rooms!$AH:$AH, ""))</f>
        <v/>
      </c>
    </row>
    <row r="103">
      <c r="L103">
        <f>IF($A103="","",IF($D103="", "", CEILING( ($D103*$F103) / IFERROR(XLOOKUP(XLOOKUP('Job Control'!$B$3, INPUT_JobSettings!$A:$A, INPUT_JobSettings!$B:$B, ""), Constants!$A:$A, Constants!$E:$E, ""),""), 0.25))))</f>
        <v/>
      </c>
      <c r="M103">
        <f>IF($A103="","",IF($E103="None",0,IF($D103="", "", CEILING( ($D103*IF($E103="Full",1, XLOOKUP("PrimerSpotFactor",Constants!$A$20:$A$40,Constants!$B$20:$B$40))) / IFERROR(XLOOKUP(XLOOKUP('Job Control'!$B$3, INPUT_JobSettings!$A:$A, INPUT_JobSettings!$E:$E, ""), Constants!$A:$A, Constants!$E:$E, ""),""), 0.25)))))</f>
        <v/>
      </c>
      <c r="N103">
        <f>IF($A103="","",IF($D103="", "", $L103*IFERROR(XLOOKUP(XLOOKUP('Job Control'!$B$3, INPUT_JobSettings!$A:$A, INPUT_JobSettings!$B:$B, ""), Constants!$A:$A, Constants!$D:$D, 0),0) + $M103*IFERROR(XLOOKUP(XLOOKUP('Job Control'!$B$3, INPUT_JobSettings!$A:$A, INPUT_JobSettings!$E:$E, ""), Constants!$A:$A, Constants!$D:$D, 0),0))))</f>
        <v/>
      </c>
      <c r="O103">
        <f>IF($A103="","", SUM($H103:$K103))</f>
        <v/>
      </c>
      <c r="P103">
        <f>IF($A103="","", $O103/60)</f>
        <v/>
      </c>
      <c r="Q103">
        <f>IF($A103="","", $P103*IFERROR(IF(XLOOKUP('Job Control'!$B$3, INPUT_JobSettings!$A:$A, INPUT_JobSettings!$F:$F, "")&lt;&gt;"", XLOOKUP('Job Control'!$B$3, INPUT_JobSettings!$A:$A, INPUT_JobSettings!$F:$F, ""), $B$6), $B$6))</f>
        <v/>
      </c>
      <c r="R103">
        <f>IF($A103="","", ($Q103+$N103)*IFERROR(IF(XLOOKUP('Job Control'!$B$3, INPUT_JobSettings!$A:$A, INPUT_JobSettings!$G:$G, "")&lt;&gt;"", XLOOKUP('Job Control'!$B$3, INPUT_JobSettings!$A:$A, INPUT_JobSettings!$G:$G, ""), $B$7), $B$7))</f>
        <v/>
      </c>
      <c r="S103">
        <f>IF($A103="","", XLOOKUP($A103, INPUT_Rooms!$B:$B, INPUT_Rooms!$AH:$AH, ""))</f>
        <v/>
      </c>
    </row>
    <row r="104">
      <c r="L104">
        <f>IF($A104="","",IF($D104="", "", CEILING( ($D104*$F104) / IFERROR(XLOOKUP(XLOOKUP('Job Control'!$B$3, INPUT_JobSettings!$A:$A, INPUT_JobSettings!$B:$B, ""), Constants!$A:$A, Constants!$E:$E, ""),""), 0.25))))</f>
        <v/>
      </c>
      <c r="M104">
        <f>IF($A104="","",IF($E104="None",0,IF($D104="", "", CEILING( ($D104*IF($E104="Full",1, XLOOKUP("PrimerSpotFactor",Constants!$A$20:$A$40,Constants!$B$20:$B$40))) / IFERROR(XLOOKUP(XLOOKUP('Job Control'!$B$3, INPUT_JobSettings!$A:$A, INPUT_JobSettings!$E:$E, ""), Constants!$A:$A, Constants!$E:$E, ""),""), 0.25)))))</f>
        <v/>
      </c>
      <c r="N104">
        <f>IF($A104="","",IF($D104="", "", $L104*IFERROR(XLOOKUP(XLOOKUP('Job Control'!$B$3, INPUT_JobSettings!$A:$A, INPUT_JobSettings!$B:$B, ""), Constants!$A:$A, Constants!$D:$D, 0),0) + $M104*IFERROR(XLOOKUP(XLOOKUP('Job Control'!$B$3, INPUT_JobSettings!$A:$A, INPUT_JobSettings!$E:$E, ""), Constants!$A:$A, Constants!$D:$D, 0),0))))</f>
        <v/>
      </c>
      <c r="O104">
        <f>IF($A104="","", SUM($H104:$K104))</f>
        <v/>
      </c>
      <c r="P104">
        <f>IF($A104="","", $O104/60)</f>
        <v/>
      </c>
      <c r="Q104">
        <f>IF($A104="","", $P104*IFERROR(IF(XLOOKUP('Job Control'!$B$3, INPUT_JobSettings!$A:$A, INPUT_JobSettings!$F:$F, "")&lt;&gt;"", XLOOKUP('Job Control'!$B$3, INPUT_JobSettings!$A:$A, INPUT_JobSettings!$F:$F, ""), $B$6), $B$6))</f>
        <v/>
      </c>
      <c r="R104">
        <f>IF($A104="","", ($Q104+$N104)*IFERROR(IF(XLOOKUP('Job Control'!$B$3, INPUT_JobSettings!$A:$A, INPUT_JobSettings!$G:$G, "")&lt;&gt;"", XLOOKUP('Job Control'!$B$3, INPUT_JobSettings!$A:$A, INPUT_JobSettings!$G:$G, ""), $B$7), $B$7))</f>
        <v/>
      </c>
      <c r="S104">
        <f>IF($A104="","", XLOOKUP($A104, INPUT_Rooms!$B:$B, INPUT_Rooms!$AH:$AH, ""))</f>
        <v/>
      </c>
    </row>
    <row r="105">
      <c r="L105">
        <f>IF($A105="","",IF($D105="", "", CEILING( ($D105*$F105) / IFERROR(XLOOKUP(XLOOKUP('Job Control'!$B$3, INPUT_JobSettings!$A:$A, INPUT_JobSettings!$B:$B, ""), Constants!$A:$A, Constants!$E:$E, ""),""), 0.25))))</f>
        <v/>
      </c>
      <c r="M105">
        <f>IF($A105="","",IF($E105="None",0,IF($D105="", "", CEILING( ($D105*IF($E105="Full",1, XLOOKUP("PrimerSpotFactor",Constants!$A$20:$A$40,Constants!$B$20:$B$40))) / IFERROR(XLOOKUP(XLOOKUP('Job Control'!$B$3, INPUT_JobSettings!$A:$A, INPUT_JobSettings!$E:$E, ""), Constants!$A:$A, Constants!$E:$E, ""),""), 0.25)))))</f>
        <v/>
      </c>
      <c r="N105">
        <f>IF($A105="","",IF($D105="", "", $L105*IFERROR(XLOOKUP(XLOOKUP('Job Control'!$B$3, INPUT_JobSettings!$A:$A, INPUT_JobSettings!$B:$B, ""), Constants!$A:$A, Constants!$D:$D, 0),0) + $M105*IFERROR(XLOOKUP(XLOOKUP('Job Control'!$B$3, INPUT_JobSettings!$A:$A, INPUT_JobSettings!$E:$E, ""), Constants!$A:$A, Constants!$D:$D, 0),0))))</f>
        <v/>
      </c>
      <c r="O105">
        <f>IF($A105="","", SUM($H105:$K105))</f>
        <v/>
      </c>
      <c r="P105">
        <f>IF($A105="","", $O105/60)</f>
        <v/>
      </c>
      <c r="Q105">
        <f>IF($A105="","", $P105*IFERROR(IF(XLOOKUP('Job Control'!$B$3, INPUT_JobSettings!$A:$A, INPUT_JobSettings!$F:$F, "")&lt;&gt;"", XLOOKUP('Job Control'!$B$3, INPUT_JobSettings!$A:$A, INPUT_JobSettings!$F:$F, ""), $B$6), $B$6))</f>
        <v/>
      </c>
      <c r="R105">
        <f>IF($A105="","", ($Q105+$N105)*IFERROR(IF(XLOOKUP('Job Control'!$B$3, INPUT_JobSettings!$A:$A, INPUT_JobSettings!$G:$G, "")&lt;&gt;"", XLOOKUP('Job Control'!$B$3, INPUT_JobSettings!$A:$A, INPUT_JobSettings!$G:$G, ""), $B$7), $B$7))</f>
        <v/>
      </c>
      <c r="S105">
        <f>IF($A105="","", XLOOKUP($A105, INPUT_Rooms!$B:$B, INPUT_Rooms!$AH:$AH, ""))</f>
        <v/>
      </c>
    </row>
    <row r="106">
      <c r="L106">
        <f>IF($A106="","",IF($D106="", "", CEILING( ($D106*$F106) / IFERROR(XLOOKUP(XLOOKUP('Job Control'!$B$3, INPUT_JobSettings!$A:$A, INPUT_JobSettings!$B:$B, ""), Constants!$A:$A, Constants!$E:$E, ""),""), 0.25))))</f>
        <v/>
      </c>
      <c r="M106">
        <f>IF($A106="","",IF($E106="None",0,IF($D106="", "", CEILING( ($D106*IF($E106="Full",1, XLOOKUP("PrimerSpotFactor",Constants!$A$20:$A$40,Constants!$B$20:$B$40))) / IFERROR(XLOOKUP(XLOOKUP('Job Control'!$B$3, INPUT_JobSettings!$A:$A, INPUT_JobSettings!$E:$E, ""), Constants!$A:$A, Constants!$E:$E, ""),""), 0.25)))))</f>
        <v/>
      </c>
      <c r="N106">
        <f>IF($A106="","",IF($D106="", "", $L106*IFERROR(XLOOKUP(XLOOKUP('Job Control'!$B$3, INPUT_JobSettings!$A:$A, INPUT_JobSettings!$B:$B, ""), Constants!$A:$A, Constants!$D:$D, 0),0) + $M106*IFERROR(XLOOKUP(XLOOKUP('Job Control'!$B$3, INPUT_JobSettings!$A:$A, INPUT_JobSettings!$E:$E, ""), Constants!$A:$A, Constants!$D:$D, 0),0))))</f>
        <v/>
      </c>
      <c r="O106">
        <f>IF($A106="","", SUM($H106:$K106))</f>
        <v/>
      </c>
      <c r="P106">
        <f>IF($A106="","", $O106/60)</f>
        <v/>
      </c>
      <c r="Q106">
        <f>IF($A106="","", $P106*IFERROR(IF(XLOOKUP('Job Control'!$B$3, INPUT_JobSettings!$A:$A, INPUT_JobSettings!$F:$F, "")&lt;&gt;"", XLOOKUP('Job Control'!$B$3, INPUT_JobSettings!$A:$A, INPUT_JobSettings!$F:$F, ""), $B$6), $B$6))</f>
        <v/>
      </c>
      <c r="R106">
        <f>IF($A106="","", ($Q106+$N106)*IFERROR(IF(XLOOKUP('Job Control'!$B$3, INPUT_JobSettings!$A:$A, INPUT_JobSettings!$G:$G, "")&lt;&gt;"", XLOOKUP('Job Control'!$B$3, INPUT_JobSettings!$A:$A, INPUT_JobSettings!$G:$G, ""), $B$7), $B$7))</f>
        <v/>
      </c>
      <c r="S106">
        <f>IF($A106="","", XLOOKUP($A106, INPUT_Rooms!$B:$B, INPUT_Rooms!$AH:$AH, ""))</f>
        <v/>
      </c>
    </row>
    <row r="107">
      <c r="L107">
        <f>IF($A107="","",IF($D107="", "", CEILING( ($D107*$F107) / IFERROR(XLOOKUP(XLOOKUP('Job Control'!$B$3, INPUT_JobSettings!$A:$A, INPUT_JobSettings!$B:$B, ""), Constants!$A:$A, Constants!$E:$E, ""),""), 0.25))))</f>
        <v/>
      </c>
      <c r="M107">
        <f>IF($A107="","",IF($E107="None",0,IF($D107="", "", CEILING( ($D107*IF($E107="Full",1, XLOOKUP("PrimerSpotFactor",Constants!$A$20:$A$40,Constants!$B$20:$B$40))) / IFERROR(XLOOKUP(XLOOKUP('Job Control'!$B$3, INPUT_JobSettings!$A:$A, INPUT_JobSettings!$E:$E, ""), Constants!$A:$A, Constants!$E:$E, ""),""), 0.25)))))</f>
        <v/>
      </c>
      <c r="N107">
        <f>IF($A107="","",IF($D107="", "", $L107*IFERROR(XLOOKUP(XLOOKUP('Job Control'!$B$3, INPUT_JobSettings!$A:$A, INPUT_JobSettings!$B:$B, ""), Constants!$A:$A, Constants!$D:$D, 0),0) + $M107*IFERROR(XLOOKUP(XLOOKUP('Job Control'!$B$3, INPUT_JobSettings!$A:$A, INPUT_JobSettings!$E:$E, ""), Constants!$A:$A, Constants!$D:$D, 0),0))))</f>
        <v/>
      </c>
      <c r="O107">
        <f>IF($A107="","", SUM($H107:$K107))</f>
        <v/>
      </c>
      <c r="P107">
        <f>IF($A107="","", $O107/60)</f>
        <v/>
      </c>
      <c r="Q107">
        <f>IF($A107="","", $P107*IFERROR(IF(XLOOKUP('Job Control'!$B$3, INPUT_JobSettings!$A:$A, INPUT_JobSettings!$F:$F, "")&lt;&gt;"", XLOOKUP('Job Control'!$B$3, INPUT_JobSettings!$A:$A, INPUT_JobSettings!$F:$F, ""), $B$6), $B$6))</f>
        <v/>
      </c>
      <c r="R107">
        <f>IF($A107="","", ($Q107+$N107)*IFERROR(IF(XLOOKUP('Job Control'!$B$3, INPUT_JobSettings!$A:$A, INPUT_JobSettings!$G:$G, "")&lt;&gt;"", XLOOKUP('Job Control'!$B$3, INPUT_JobSettings!$A:$A, INPUT_JobSettings!$G:$G, ""), $B$7), $B$7))</f>
        <v/>
      </c>
      <c r="S107">
        <f>IF($A107="","", XLOOKUP($A107, INPUT_Rooms!$B:$B, INPUT_Rooms!$AH:$AH, ""))</f>
        <v/>
      </c>
    </row>
    <row r="108">
      <c r="L108">
        <f>IF($A108="","",IF($D108="", "", CEILING( ($D108*$F108) / IFERROR(XLOOKUP(XLOOKUP('Job Control'!$B$3, INPUT_JobSettings!$A:$A, INPUT_JobSettings!$B:$B, ""), Constants!$A:$A, Constants!$E:$E, ""),""), 0.25))))</f>
        <v/>
      </c>
      <c r="M108">
        <f>IF($A108="","",IF($E108="None",0,IF($D108="", "", CEILING( ($D108*IF($E108="Full",1, XLOOKUP("PrimerSpotFactor",Constants!$A$20:$A$40,Constants!$B$20:$B$40))) / IFERROR(XLOOKUP(XLOOKUP('Job Control'!$B$3, INPUT_JobSettings!$A:$A, INPUT_JobSettings!$E:$E, ""), Constants!$A:$A, Constants!$E:$E, ""),""), 0.25)))))</f>
        <v/>
      </c>
      <c r="N108">
        <f>IF($A108="","",IF($D108="", "", $L108*IFERROR(XLOOKUP(XLOOKUP('Job Control'!$B$3, INPUT_JobSettings!$A:$A, INPUT_JobSettings!$B:$B, ""), Constants!$A:$A, Constants!$D:$D, 0),0) + $M108*IFERROR(XLOOKUP(XLOOKUP('Job Control'!$B$3, INPUT_JobSettings!$A:$A, INPUT_JobSettings!$E:$E, ""), Constants!$A:$A, Constants!$D:$D, 0),0))))</f>
        <v/>
      </c>
      <c r="O108">
        <f>IF($A108="","", SUM($H108:$K108))</f>
        <v/>
      </c>
      <c r="P108">
        <f>IF($A108="","", $O108/60)</f>
        <v/>
      </c>
      <c r="Q108">
        <f>IF($A108="","", $P108*IFERROR(IF(XLOOKUP('Job Control'!$B$3, INPUT_JobSettings!$A:$A, INPUT_JobSettings!$F:$F, "")&lt;&gt;"", XLOOKUP('Job Control'!$B$3, INPUT_JobSettings!$A:$A, INPUT_JobSettings!$F:$F, ""), $B$6), $B$6))</f>
        <v/>
      </c>
      <c r="R108">
        <f>IF($A108="","", ($Q108+$N108)*IFERROR(IF(XLOOKUP('Job Control'!$B$3, INPUT_JobSettings!$A:$A, INPUT_JobSettings!$G:$G, "")&lt;&gt;"", XLOOKUP('Job Control'!$B$3, INPUT_JobSettings!$A:$A, INPUT_JobSettings!$G:$G, ""), $B$7), $B$7))</f>
        <v/>
      </c>
      <c r="S108">
        <f>IF($A108="","", XLOOKUP($A108, INPUT_Rooms!$B:$B, INPUT_Rooms!$AH:$AH, ""))</f>
        <v/>
      </c>
    </row>
    <row r="109">
      <c r="L109">
        <f>IF($A109="","",IF($D109="", "", CEILING( ($D109*$F109) / IFERROR(XLOOKUP(XLOOKUP('Job Control'!$B$3, INPUT_JobSettings!$A:$A, INPUT_JobSettings!$B:$B, ""), Constants!$A:$A, Constants!$E:$E, ""),""), 0.25))))</f>
        <v/>
      </c>
      <c r="M109">
        <f>IF($A109="","",IF($E109="None",0,IF($D109="", "", CEILING( ($D109*IF($E109="Full",1, XLOOKUP("PrimerSpotFactor",Constants!$A$20:$A$40,Constants!$B$20:$B$40))) / IFERROR(XLOOKUP(XLOOKUP('Job Control'!$B$3, INPUT_JobSettings!$A:$A, INPUT_JobSettings!$E:$E, ""), Constants!$A:$A, Constants!$E:$E, ""),""), 0.25)))))</f>
        <v/>
      </c>
      <c r="N109">
        <f>IF($A109="","",IF($D109="", "", $L109*IFERROR(XLOOKUP(XLOOKUP('Job Control'!$B$3, INPUT_JobSettings!$A:$A, INPUT_JobSettings!$B:$B, ""), Constants!$A:$A, Constants!$D:$D, 0),0) + $M109*IFERROR(XLOOKUP(XLOOKUP('Job Control'!$B$3, INPUT_JobSettings!$A:$A, INPUT_JobSettings!$E:$E, ""), Constants!$A:$A, Constants!$D:$D, 0),0))))</f>
        <v/>
      </c>
      <c r="O109">
        <f>IF($A109="","", SUM($H109:$K109))</f>
        <v/>
      </c>
      <c r="P109">
        <f>IF($A109="","", $O109/60)</f>
        <v/>
      </c>
      <c r="Q109">
        <f>IF($A109="","", $P109*IFERROR(IF(XLOOKUP('Job Control'!$B$3, INPUT_JobSettings!$A:$A, INPUT_JobSettings!$F:$F, "")&lt;&gt;"", XLOOKUP('Job Control'!$B$3, INPUT_JobSettings!$A:$A, INPUT_JobSettings!$F:$F, ""), $B$6), $B$6))</f>
        <v/>
      </c>
      <c r="R109">
        <f>IF($A109="","", ($Q109+$N109)*IFERROR(IF(XLOOKUP('Job Control'!$B$3, INPUT_JobSettings!$A:$A, INPUT_JobSettings!$G:$G, "")&lt;&gt;"", XLOOKUP('Job Control'!$B$3, INPUT_JobSettings!$A:$A, INPUT_JobSettings!$G:$G, ""), $B$7), $B$7))</f>
        <v/>
      </c>
      <c r="S109">
        <f>IF($A109="","", XLOOKUP($A109, INPUT_Rooms!$B:$B, INPUT_Rooms!$AH:$AH, ""))</f>
        <v/>
      </c>
    </row>
    <row r="110">
      <c r="L110">
        <f>IF($A110="","",IF($D110="", "", CEILING( ($D110*$F110) / IFERROR(XLOOKUP(XLOOKUP('Job Control'!$B$3, INPUT_JobSettings!$A:$A, INPUT_JobSettings!$B:$B, ""), Constants!$A:$A, Constants!$E:$E, ""),""), 0.25))))</f>
        <v/>
      </c>
      <c r="M110">
        <f>IF($A110="","",IF($E110="None",0,IF($D110="", "", CEILING( ($D110*IF($E110="Full",1, XLOOKUP("PrimerSpotFactor",Constants!$A$20:$A$40,Constants!$B$20:$B$40))) / IFERROR(XLOOKUP(XLOOKUP('Job Control'!$B$3, INPUT_JobSettings!$A:$A, INPUT_JobSettings!$E:$E, ""), Constants!$A:$A, Constants!$E:$E, ""),""), 0.25)))))</f>
        <v/>
      </c>
      <c r="N110">
        <f>IF($A110="","",IF($D110="", "", $L110*IFERROR(XLOOKUP(XLOOKUP('Job Control'!$B$3, INPUT_JobSettings!$A:$A, INPUT_JobSettings!$B:$B, ""), Constants!$A:$A, Constants!$D:$D, 0),0) + $M110*IFERROR(XLOOKUP(XLOOKUP('Job Control'!$B$3, INPUT_JobSettings!$A:$A, INPUT_JobSettings!$E:$E, ""), Constants!$A:$A, Constants!$D:$D, 0),0))))</f>
        <v/>
      </c>
      <c r="O110">
        <f>IF($A110="","", SUM($H110:$K110))</f>
        <v/>
      </c>
      <c r="P110">
        <f>IF($A110="","", $O110/60)</f>
        <v/>
      </c>
      <c r="Q110">
        <f>IF($A110="","", $P110*IFERROR(IF(XLOOKUP('Job Control'!$B$3, INPUT_JobSettings!$A:$A, INPUT_JobSettings!$F:$F, "")&lt;&gt;"", XLOOKUP('Job Control'!$B$3, INPUT_JobSettings!$A:$A, INPUT_JobSettings!$F:$F, ""), $B$6), $B$6))</f>
        <v/>
      </c>
      <c r="R110">
        <f>IF($A110="","", ($Q110+$N110)*IFERROR(IF(XLOOKUP('Job Control'!$B$3, INPUT_JobSettings!$A:$A, INPUT_JobSettings!$G:$G, "")&lt;&gt;"", XLOOKUP('Job Control'!$B$3, INPUT_JobSettings!$A:$A, INPUT_JobSettings!$G:$G, ""), $B$7), $B$7))</f>
        <v/>
      </c>
      <c r="S110">
        <f>IF($A110="","", XLOOKUP($A110, INPUT_Rooms!$B:$B, INPUT_Rooms!$AH:$AH, ""))</f>
        <v/>
      </c>
    </row>
    <row r="111">
      <c r="L111">
        <f>IF($A111="","",IF($D111="", "", CEILING( ($D111*$F111) / IFERROR(XLOOKUP(XLOOKUP('Job Control'!$B$3, INPUT_JobSettings!$A:$A, INPUT_JobSettings!$B:$B, ""), Constants!$A:$A, Constants!$E:$E, ""),""), 0.25))))</f>
        <v/>
      </c>
      <c r="M111">
        <f>IF($A111="","",IF($E111="None",0,IF($D111="", "", CEILING( ($D111*IF($E111="Full",1, XLOOKUP("PrimerSpotFactor",Constants!$A$20:$A$40,Constants!$B$20:$B$40))) / IFERROR(XLOOKUP(XLOOKUP('Job Control'!$B$3, INPUT_JobSettings!$A:$A, INPUT_JobSettings!$E:$E, ""), Constants!$A:$A, Constants!$E:$E, ""),""), 0.25)))))</f>
        <v/>
      </c>
      <c r="N111">
        <f>IF($A111="","",IF($D111="", "", $L111*IFERROR(XLOOKUP(XLOOKUP('Job Control'!$B$3, INPUT_JobSettings!$A:$A, INPUT_JobSettings!$B:$B, ""), Constants!$A:$A, Constants!$D:$D, 0),0) + $M111*IFERROR(XLOOKUP(XLOOKUP('Job Control'!$B$3, INPUT_JobSettings!$A:$A, INPUT_JobSettings!$E:$E, ""), Constants!$A:$A, Constants!$D:$D, 0),0))))</f>
        <v/>
      </c>
      <c r="O111">
        <f>IF($A111="","", SUM($H111:$K111))</f>
        <v/>
      </c>
      <c r="P111">
        <f>IF($A111="","", $O111/60)</f>
        <v/>
      </c>
      <c r="Q111">
        <f>IF($A111="","", $P111*IFERROR(IF(XLOOKUP('Job Control'!$B$3, INPUT_JobSettings!$A:$A, INPUT_JobSettings!$F:$F, "")&lt;&gt;"", XLOOKUP('Job Control'!$B$3, INPUT_JobSettings!$A:$A, INPUT_JobSettings!$F:$F, ""), $B$6), $B$6))</f>
        <v/>
      </c>
      <c r="R111">
        <f>IF($A111="","", ($Q111+$N111)*IFERROR(IF(XLOOKUP('Job Control'!$B$3, INPUT_JobSettings!$A:$A, INPUT_JobSettings!$G:$G, "")&lt;&gt;"", XLOOKUP('Job Control'!$B$3, INPUT_JobSettings!$A:$A, INPUT_JobSettings!$G:$G, ""), $B$7), $B$7))</f>
        <v/>
      </c>
      <c r="S111">
        <f>IF($A111="","", XLOOKUP($A111, INPUT_Rooms!$B:$B, INPUT_Rooms!$AH:$AH, ""))</f>
        <v/>
      </c>
    </row>
    <row r="112">
      <c r="L112">
        <f>IF($A112="","",IF($D112="", "", CEILING( ($D112*$F112) / IFERROR(XLOOKUP(XLOOKUP('Job Control'!$B$3, INPUT_JobSettings!$A:$A, INPUT_JobSettings!$B:$B, ""), Constants!$A:$A, Constants!$E:$E, ""),""), 0.25))))</f>
        <v/>
      </c>
      <c r="M112">
        <f>IF($A112="","",IF($E112="None",0,IF($D112="", "", CEILING( ($D112*IF($E112="Full",1, XLOOKUP("PrimerSpotFactor",Constants!$A$20:$A$40,Constants!$B$20:$B$40))) / IFERROR(XLOOKUP(XLOOKUP('Job Control'!$B$3, INPUT_JobSettings!$A:$A, INPUT_JobSettings!$E:$E, ""), Constants!$A:$A, Constants!$E:$E, ""),""), 0.25)))))</f>
        <v/>
      </c>
      <c r="N112">
        <f>IF($A112="","",IF($D112="", "", $L112*IFERROR(XLOOKUP(XLOOKUP('Job Control'!$B$3, INPUT_JobSettings!$A:$A, INPUT_JobSettings!$B:$B, ""), Constants!$A:$A, Constants!$D:$D, 0),0) + $M112*IFERROR(XLOOKUP(XLOOKUP('Job Control'!$B$3, INPUT_JobSettings!$A:$A, INPUT_JobSettings!$E:$E, ""), Constants!$A:$A, Constants!$D:$D, 0),0))))</f>
        <v/>
      </c>
      <c r="O112">
        <f>IF($A112="","", SUM($H112:$K112))</f>
        <v/>
      </c>
      <c r="P112">
        <f>IF($A112="","", $O112/60)</f>
        <v/>
      </c>
      <c r="Q112">
        <f>IF($A112="","", $P112*IFERROR(IF(XLOOKUP('Job Control'!$B$3, INPUT_JobSettings!$A:$A, INPUT_JobSettings!$F:$F, "")&lt;&gt;"", XLOOKUP('Job Control'!$B$3, INPUT_JobSettings!$A:$A, INPUT_JobSettings!$F:$F, ""), $B$6), $B$6))</f>
        <v/>
      </c>
      <c r="R112">
        <f>IF($A112="","", ($Q112+$N112)*IFERROR(IF(XLOOKUP('Job Control'!$B$3, INPUT_JobSettings!$A:$A, INPUT_JobSettings!$G:$G, "")&lt;&gt;"", XLOOKUP('Job Control'!$B$3, INPUT_JobSettings!$A:$A, INPUT_JobSettings!$G:$G, ""), $B$7), $B$7))</f>
        <v/>
      </c>
      <c r="S112">
        <f>IF($A112="","", XLOOKUP($A112, INPUT_Rooms!$B:$B, INPUT_Rooms!$AH:$AH, ""))</f>
        <v/>
      </c>
    </row>
    <row r="113">
      <c r="L113">
        <f>IF($A113="","",IF($D113="", "", CEILING( ($D113*$F113) / IFERROR(XLOOKUP(XLOOKUP('Job Control'!$B$3, INPUT_JobSettings!$A:$A, INPUT_JobSettings!$B:$B, ""), Constants!$A:$A, Constants!$E:$E, ""),""), 0.25))))</f>
        <v/>
      </c>
      <c r="M113">
        <f>IF($A113="","",IF($E113="None",0,IF($D113="", "", CEILING( ($D113*IF($E113="Full",1, XLOOKUP("PrimerSpotFactor",Constants!$A$20:$A$40,Constants!$B$20:$B$40))) / IFERROR(XLOOKUP(XLOOKUP('Job Control'!$B$3, INPUT_JobSettings!$A:$A, INPUT_JobSettings!$E:$E, ""), Constants!$A:$A, Constants!$E:$E, ""),""), 0.25)))))</f>
        <v/>
      </c>
      <c r="N113">
        <f>IF($A113="","",IF($D113="", "", $L113*IFERROR(XLOOKUP(XLOOKUP('Job Control'!$B$3, INPUT_JobSettings!$A:$A, INPUT_JobSettings!$B:$B, ""), Constants!$A:$A, Constants!$D:$D, 0),0) + $M113*IFERROR(XLOOKUP(XLOOKUP('Job Control'!$B$3, INPUT_JobSettings!$A:$A, INPUT_JobSettings!$E:$E, ""), Constants!$A:$A, Constants!$D:$D, 0),0))))</f>
        <v/>
      </c>
      <c r="O113">
        <f>IF($A113="","", SUM($H113:$K113))</f>
        <v/>
      </c>
      <c r="P113">
        <f>IF($A113="","", $O113/60)</f>
        <v/>
      </c>
      <c r="Q113">
        <f>IF($A113="","", $P113*IFERROR(IF(XLOOKUP('Job Control'!$B$3, INPUT_JobSettings!$A:$A, INPUT_JobSettings!$F:$F, "")&lt;&gt;"", XLOOKUP('Job Control'!$B$3, INPUT_JobSettings!$A:$A, INPUT_JobSettings!$F:$F, ""), $B$6), $B$6))</f>
        <v/>
      </c>
      <c r="R113">
        <f>IF($A113="","", ($Q113+$N113)*IFERROR(IF(XLOOKUP('Job Control'!$B$3, INPUT_JobSettings!$A:$A, INPUT_JobSettings!$G:$G, "")&lt;&gt;"", XLOOKUP('Job Control'!$B$3, INPUT_JobSettings!$A:$A, INPUT_JobSettings!$G:$G, ""), $B$7), $B$7))</f>
        <v/>
      </c>
      <c r="S113">
        <f>IF($A113="","", XLOOKUP($A113, INPUT_Rooms!$B:$B, INPUT_Rooms!$AH:$AH, ""))</f>
        <v/>
      </c>
    </row>
    <row r="114">
      <c r="L114">
        <f>IF($A114="","",IF($D114="", "", CEILING( ($D114*$F114) / IFERROR(XLOOKUP(XLOOKUP('Job Control'!$B$3, INPUT_JobSettings!$A:$A, INPUT_JobSettings!$B:$B, ""), Constants!$A:$A, Constants!$E:$E, ""),""), 0.25))))</f>
        <v/>
      </c>
      <c r="M114">
        <f>IF($A114="","",IF($E114="None",0,IF($D114="", "", CEILING( ($D114*IF($E114="Full",1, XLOOKUP("PrimerSpotFactor",Constants!$A$20:$A$40,Constants!$B$20:$B$40))) / IFERROR(XLOOKUP(XLOOKUP('Job Control'!$B$3, INPUT_JobSettings!$A:$A, INPUT_JobSettings!$E:$E, ""), Constants!$A:$A, Constants!$E:$E, ""),""), 0.25)))))</f>
        <v/>
      </c>
      <c r="N114">
        <f>IF($A114="","",IF($D114="", "", $L114*IFERROR(XLOOKUP(XLOOKUP('Job Control'!$B$3, INPUT_JobSettings!$A:$A, INPUT_JobSettings!$B:$B, ""), Constants!$A:$A, Constants!$D:$D, 0),0) + $M114*IFERROR(XLOOKUP(XLOOKUP('Job Control'!$B$3, INPUT_JobSettings!$A:$A, INPUT_JobSettings!$E:$E, ""), Constants!$A:$A, Constants!$D:$D, 0),0))))</f>
        <v/>
      </c>
      <c r="O114">
        <f>IF($A114="","", SUM($H114:$K114))</f>
        <v/>
      </c>
      <c r="P114">
        <f>IF($A114="","", $O114/60)</f>
        <v/>
      </c>
      <c r="Q114">
        <f>IF($A114="","", $P114*IFERROR(IF(XLOOKUP('Job Control'!$B$3, INPUT_JobSettings!$A:$A, INPUT_JobSettings!$F:$F, "")&lt;&gt;"", XLOOKUP('Job Control'!$B$3, INPUT_JobSettings!$A:$A, INPUT_JobSettings!$F:$F, ""), $B$6), $B$6))</f>
        <v/>
      </c>
      <c r="R114">
        <f>IF($A114="","", ($Q114+$N114)*IFERROR(IF(XLOOKUP('Job Control'!$B$3, INPUT_JobSettings!$A:$A, INPUT_JobSettings!$G:$G, "")&lt;&gt;"", XLOOKUP('Job Control'!$B$3, INPUT_JobSettings!$A:$A, INPUT_JobSettings!$G:$G, ""), $B$7), $B$7))</f>
        <v/>
      </c>
      <c r="S114">
        <f>IF($A114="","", XLOOKUP($A114, INPUT_Rooms!$B:$B, INPUT_Rooms!$AH:$AH, ""))</f>
        <v/>
      </c>
    </row>
    <row r="115">
      <c r="L115">
        <f>IF($A115="","",IF($D115="", "", CEILING( ($D115*$F115) / IFERROR(XLOOKUP(XLOOKUP('Job Control'!$B$3, INPUT_JobSettings!$A:$A, INPUT_JobSettings!$B:$B, ""), Constants!$A:$A, Constants!$E:$E, ""),""), 0.25))))</f>
        <v/>
      </c>
      <c r="M115">
        <f>IF($A115="","",IF($E115="None",0,IF($D115="", "", CEILING( ($D115*IF($E115="Full",1, XLOOKUP("PrimerSpotFactor",Constants!$A$20:$A$40,Constants!$B$20:$B$40))) / IFERROR(XLOOKUP(XLOOKUP('Job Control'!$B$3, INPUT_JobSettings!$A:$A, INPUT_JobSettings!$E:$E, ""), Constants!$A:$A, Constants!$E:$E, ""),""), 0.25)))))</f>
        <v/>
      </c>
      <c r="N115">
        <f>IF($A115="","",IF($D115="", "", $L115*IFERROR(XLOOKUP(XLOOKUP('Job Control'!$B$3, INPUT_JobSettings!$A:$A, INPUT_JobSettings!$B:$B, ""), Constants!$A:$A, Constants!$D:$D, 0),0) + $M115*IFERROR(XLOOKUP(XLOOKUP('Job Control'!$B$3, INPUT_JobSettings!$A:$A, INPUT_JobSettings!$E:$E, ""), Constants!$A:$A, Constants!$D:$D, 0),0))))</f>
        <v/>
      </c>
      <c r="O115">
        <f>IF($A115="","", SUM($H115:$K115))</f>
        <v/>
      </c>
      <c r="P115">
        <f>IF($A115="","", $O115/60)</f>
        <v/>
      </c>
      <c r="Q115">
        <f>IF($A115="","", $P115*IFERROR(IF(XLOOKUP('Job Control'!$B$3, INPUT_JobSettings!$A:$A, INPUT_JobSettings!$F:$F, "")&lt;&gt;"", XLOOKUP('Job Control'!$B$3, INPUT_JobSettings!$A:$A, INPUT_JobSettings!$F:$F, ""), $B$6), $B$6))</f>
        <v/>
      </c>
      <c r="R115">
        <f>IF($A115="","", ($Q115+$N115)*IFERROR(IF(XLOOKUP('Job Control'!$B$3, INPUT_JobSettings!$A:$A, INPUT_JobSettings!$G:$G, "")&lt;&gt;"", XLOOKUP('Job Control'!$B$3, INPUT_JobSettings!$A:$A, INPUT_JobSettings!$G:$G, ""), $B$7), $B$7))</f>
        <v/>
      </c>
      <c r="S115">
        <f>IF($A115="","", XLOOKUP($A115, INPUT_Rooms!$B:$B, INPUT_Rooms!$AH:$AH, ""))</f>
        <v/>
      </c>
    </row>
    <row r="116">
      <c r="L116">
        <f>IF($A116="","",IF($D116="", "", CEILING( ($D116*$F116) / IFERROR(XLOOKUP(XLOOKUP('Job Control'!$B$3, INPUT_JobSettings!$A:$A, INPUT_JobSettings!$B:$B, ""), Constants!$A:$A, Constants!$E:$E, ""),""), 0.25))))</f>
        <v/>
      </c>
      <c r="M116">
        <f>IF($A116="","",IF($E116="None",0,IF($D116="", "", CEILING( ($D116*IF($E116="Full",1, XLOOKUP("PrimerSpotFactor",Constants!$A$20:$A$40,Constants!$B$20:$B$40))) / IFERROR(XLOOKUP(XLOOKUP('Job Control'!$B$3, INPUT_JobSettings!$A:$A, INPUT_JobSettings!$E:$E, ""), Constants!$A:$A, Constants!$E:$E, ""),""), 0.25)))))</f>
        <v/>
      </c>
      <c r="N116">
        <f>IF($A116="","",IF($D116="", "", $L116*IFERROR(XLOOKUP(XLOOKUP('Job Control'!$B$3, INPUT_JobSettings!$A:$A, INPUT_JobSettings!$B:$B, ""), Constants!$A:$A, Constants!$D:$D, 0),0) + $M116*IFERROR(XLOOKUP(XLOOKUP('Job Control'!$B$3, INPUT_JobSettings!$A:$A, INPUT_JobSettings!$E:$E, ""), Constants!$A:$A, Constants!$D:$D, 0),0))))</f>
        <v/>
      </c>
      <c r="O116">
        <f>IF($A116="","", SUM($H116:$K116))</f>
        <v/>
      </c>
      <c r="P116">
        <f>IF($A116="","", $O116/60)</f>
        <v/>
      </c>
      <c r="Q116">
        <f>IF($A116="","", $P116*IFERROR(IF(XLOOKUP('Job Control'!$B$3, INPUT_JobSettings!$A:$A, INPUT_JobSettings!$F:$F, "")&lt;&gt;"", XLOOKUP('Job Control'!$B$3, INPUT_JobSettings!$A:$A, INPUT_JobSettings!$F:$F, ""), $B$6), $B$6))</f>
        <v/>
      </c>
      <c r="R116">
        <f>IF($A116="","", ($Q116+$N116)*IFERROR(IF(XLOOKUP('Job Control'!$B$3, INPUT_JobSettings!$A:$A, INPUT_JobSettings!$G:$G, "")&lt;&gt;"", XLOOKUP('Job Control'!$B$3, INPUT_JobSettings!$A:$A, INPUT_JobSettings!$G:$G, ""), $B$7), $B$7))</f>
        <v/>
      </c>
      <c r="S116">
        <f>IF($A116="","", XLOOKUP($A116, INPUT_Rooms!$B:$B, INPUT_Rooms!$AH:$AH, ""))</f>
        <v/>
      </c>
    </row>
    <row r="117">
      <c r="L117">
        <f>IF($A117="","",IF($D117="", "", CEILING( ($D117*$F117) / IFERROR(XLOOKUP(XLOOKUP('Job Control'!$B$3, INPUT_JobSettings!$A:$A, INPUT_JobSettings!$B:$B, ""), Constants!$A:$A, Constants!$E:$E, ""),""), 0.25))))</f>
        <v/>
      </c>
      <c r="M117">
        <f>IF($A117="","",IF($E117="None",0,IF($D117="", "", CEILING( ($D117*IF($E117="Full",1, XLOOKUP("PrimerSpotFactor",Constants!$A$20:$A$40,Constants!$B$20:$B$40))) / IFERROR(XLOOKUP(XLOOKUP('Job Control'!$B$3, INPUT_JobSettings!$A:$A, INPUT_JobSettings!$E:$E, ""), Constants!$A:$A, Constants!$E:$E, ""),""), 0.25)))))</f>
        <v/>
      </c>
      <c r="N117">
        <f>IF($A117="","",IF($D117="", "", $L117*IFERROR(XLOOKUP(XLOOKUP('Job Control'!$B$3, INPUT_JobSettings!$A:$A, INPUT_JobSettings!$B:$B, ""), Constants!$A:$A, Constants!$D:$D, 0),0) + $M117*IFERROR(XLOOKUP(XLOOKUP('Job Control'!$B$3, INPUT_JobSettings!$A:$A, INPUT_JobSettings!$E:$E, ""), Constants!$A:$A, Constants!$D:$D, 0),0))))</f>
        <v/>
      </c>
      <c r="O117">
        <f>IF($A117="","", SUM($H117:$K117))</f>
        <v/>
      </c>
      <c r="P117">
        <f>IF($A117="","", $O117/60)</f>
        <v/>
      </c>
      <c r="Q117">
        <f>IF($A117="","", $P117*IFERROR(IF(XLOOKUP('Job Control'!$B$3, INPUT_JobSettings!$A:$A, INPUT_JobSettings!$F:$F, "")&lt;&gt;"", XLOOKUP('Job Control'!$B$3, INPUT_JobSettings!$A:$A, INPUT_JobSettings!$F:$F, ""), $B$6), $B$6))</f>
        <v/>
      </c>
      <c r="R117">
        <f>IF($A117="","", ($Q117+$N117)*IFERROR(IF(XLOOKUP('Job Control'!$B$3, INPUT_JobSettings!$A:$A, INPUT_JobSettings!$G:$G, "")&lt;&gt;"", XLOOKUP('Job Control'!$B$3, INPUT_JobSettings!$A:$A, INPUT_JobSettings!$G:$G, ""), $B$7), $B$7))</f>
        <v/>
      </c>
      <c r="S117">
        <f>IF($A117="","", XLOOKUP($A117, INPUT_Rooms!$B:$B, INPUT_Rooms!$AH:$AH, ""))</f>
        <v/>
      </c>
    </row>
    <row r="118">
      <c r="L118">
        <f>IF($A118="","",IF($D118="", "", CEILING( ($D118*$F118) / IFERROR(XLOOKUP(XLOOKUP('Job Control'!$B$3, INPUT_JobSettings!$A:$A, INPUT_JobSettings!$B:$B, ""), Constants!$A:$A, Constants!$E:$E, ""),""), 0.25))))</f>
        <v/>
      </c>
      <c r="M118">
        <f>IF($A118="","",IF($E118="None",0,IF($D118="", "", CEILING( ($D118*IF($E118="Full",1, XLOOKUP("PrimerSpotFactor",Constants!$A$20:$A$40,Constants!$B$20:$B$40))) / IFERROR(XLOOKUP(XLOOKUP('Job Control'!$B$3, INPUT_JobSettings!$A:$A, INPUT_JobSettings!$E:$E, ""), Constants!$A:$A, Constants!$E:$E, ""),""), 0.25)))))</f>
        <v/>
      </c>
      <c r="N118">
        <f>IF($A118="","",IF($D118="", "", $L118*IFERROR(XLOOKUP(XLOOKUP('Job Control'!$B$3, INPUT_JobSettings!$A:$A, INPUT_JobSettings!$B:$B, ""), Constants!$A:$A, Constants!$D:$D, 0),0) + $M118*IFERROR(XLOOKUP(XLOOKUP('Job Control'!$B$3, INPUT_JobSettings!$A:$A, INPUT_JobSettings!$E:$E, ""), Constants!$A:$A, Constants!$D:$D, 0),0))))</f>
        <v/>
      </c>
      <c r="O118">
        <f>IF($A118="","", SUM($H118:$K118))</f>
        <v/>
      </c>
      <c r="P118">
        <f>IF($A118="","", $O118/60)</f>
        <v/>
      </c>
      <c r="Q118">
        <f>IF($A118="","", $P118*IFERROR(IF(XLOOKUP('Job Control'!$B$3, INPUT_JobSettings!$A:$A, INPUT_JobSettings!$F:$F, "")&lt;&gt;"", XLOOKUP('Job Control'!$B$3, INPUT_JobSettings!$A:$A, INPUT_JobSettings!$F:$F, ""), $B$6), $B$6))</f>
        <v/>
      </c>
      <c r="R118">
        <f>IF($A118="","", ($Q118+$N118)*IFERROR(IF(XLOOKUP('Job Control'!$B$3, INPUT_JobSettings!$A:$A, INPUT_JobSettings!$G:$G, "")&lt;&gt;"", XLOOKUP('Job Control'!$B$3, INPUT_JobSettings!$A:$A, INPUT_JobSettings!$G:$G, ""), $B$7), $B$7))</f>
        <v/>
      </c>
      <c r="S118">
        <f>IF($A118="","", XLOOKUP($A118, INPUT_Rooms!$B:$B, INPUT_Rooms!$AH:$AH, ""))</f>
        <v/>
      </c>
    </row>
    <row r="119">
      <c r="L119">
        <f>IF($A119="","",IF($D119="", "", CEILING( ($D119*$F119) / IFERROR(XLOOKUP(XLOOKUP('Job Control'!$B$3, INPUT_JobSettings!$A:$A, INPUT_JobSettings!$B:$B, ""), Constants!$A:$A, Constants!$E:$E, ""),""), 0.25))))</f>
        <v/>
      </c>
      <c r="M119">
        <f>IF($A119="","",IF($E119="None",0,IF($D119="", "", CEILING( ($D119*IF($E119="Full",1, XLOOKUP("PrimerSpotFactor",Constants!$A$20:$A$40,Constants!$B$20:$B$40))) / IFERROR(XLOOKUP(XLOOKUP('Job Control'!$B$3, INPUT_JobSettings!$A:$A, INPUT_JobSettings!$E:$E, ""), Constants!$A:$A, Constants!$E:$E, ""),""), 0.25)))))</f>
        <v/>
      </c>
      <c r="N119">
        <f>IF($A119="","",IF($D119="", "", $L119*IFERROR(XLOOKUP(XLOOKUP('Job Control'!$B$3, INPUT_JobSettings!$A:$A, INPUT_JobSettings!$B:$B, ""), Constants!$A:$A, Constants!$D:$D, 0),0) + $M119*IFERROR(XLOOKUP(XLOOKUP('Job Control'!$B$3, INPUT_JobSettings!$A:$A, INPUT_JobSettings!$E:$E, ""), Constants!$A:$A, Constants!$D:$D, 0),0))))</f>
        <v/>
      </c>
      <c r="O119">
        <f>IF($A119="","", SUM($H119:$K119))</f>
        <v/>
      </c>
      <c r="P119">
        <f>IF($A119="","", $O119/60)</f>
        <v/>
      </c>
      <c r="Q119">
        <f>IF($A119="","", $P119*IFERROR(IF(XLOOKUP('Job Control'!$B$3, INPUT_JobSettings!$A:$A, INPUT_JobSettings!$F:$F, "")&lt;&gt;"", XLOOKUP('Job Control'!$B$3, INPUT_JobSettings!$A:$A, INPUT_JobSettings!$F:$F, ""), $B$6), $B$6))</f>
        <v/>
      </c>
      <c r="R119">
        <f>IF($A119="","", ($Q119+$N119)*IFERROR(IF(XLOOKUP('Job Control'!$B$3, INPUT_JobSettings!$A:$A, INPUT_JobSettings!$G:$G, "")&lt;&gt;"", XLOOKUP('Job Control'!$B$3, INPUT_JobSettings!$A:$A, INPUT_JobSettings!$G:$G, ""), $B$7), $B$7))</f>
        <v/>
      </c>
      <c r="S119">
        <f>IF($A119="","", XLOOKUP($A119, INPUT_Rooms!$B:$B, INPUT_Rooms!$AH:$AH, ""))</f>
        <v/>
      </c>
    </row>
    <row r="120">
      <c r="L120">
        <f>IF($A120="","",IF($D120="", "", CEILING( ($D120*$F120) / IFERROR(XLOOKUP(XLOOKUP('Job Control'!$B$3, INPUT_JobSettings!$A:$A, INPUT_JobSettings!$B:$B, ""), Constants!$A:$A, Constants!$E:$E, ""),""), 0.25))))</f>
        <v/>
      </c>
      <c r="M120">
        <f>IF($A120="","",IF($E120="None",0,IF($D120="", "", CEILING( ($D120*IF($E120="Full",1, XLOOKUP("PrimerSpotFactor",Constants!$A$20:$A$40,Constants!$B$20:$B$40))) / IFERROR(XLOOKUP(XLOOKUP('Job Control'!$B$3, INPUT_JobSettings!$A:$A, INPUT_JobSettings!$E:$E, ""), Constants!$A:$A, Constants!$E:$E, ""),""), 0.25)))))</f>
        <v/>
      </c>
      <c r="N120">
        <f>IF($A120="","",IF($D120="", "", $L120*IFERROR(XLOOKUP(XLOOKUP('Job Control'!$B$3, INPUT_JobSettings!$A:$A, INPUT_JobSettings!$B:$B, ""), Constants!$A:$A, Constants!$D:$D, 0),0) + $M120*IFERROR(XLOOKUP(XLOOKUP('Job Control'!$B$3, INPUT_JobSettings!$A:$A, INPUT_JobSettings!$E:$E, ""), Constants!$A:$A, Constants!$D:$D, 0),0))))</f>
        <v/>
      </c>
      <c r="O120">
        <f>IF($A120="","", SUM($H120:$K120))</f>
        <v/>
      </c>
      <c r="P120">
        <f>IF($A120="","", $O120/60)</f>
        <v/>
      </c>
      <c r="Q120">
        <f>IF($A120="","", $P120*IFERROR(IF(XLOOKUP('Job Control'!$B$3, INPUT_JobSettings!$A:$A, INPUT_JobSettings!$F:$F, "")&lt;&gt;"", XLOOKUP('Job Control'!$B$3, INPUT_JobSettings!$A:$A, INPUT_JobSettings!$F:$F, ""), $B$6), $B$6))</f>
        <v/>
      </c>
      <c r="R120">
        <f>IF($A120="","", ($Q120+$N120)*IFERROR(IF(XLOOKUP('Job Control'!$B$3, INPUT_JobSettings!$A:$A, INPUT_JobSettings!$G:$G, "")&lt;&gt;"", XLOOKUP('Job Control'!$B$3, INPUT_JobSettings!$A:$A, INPUT_JobSettings!$G:$G, ""), $B$7), $B$7))</f>
        <v/>
      </c>
      <c r="S120">
        <f>IF($A120="","", XLOOKUP($A120, INPUT_Rooms!$B:$B, INPUT_Rooms!$AH:$AH, ""))</f>
        <v/>
      </c>
    </row>
    <row r="121">
      <c r="L121">
        <f>IF($A121="","",IF($D121="", "", CEILING( ($D121*$F121) / IFERROR(XLOOKUP(XLOOKUP('Job Control'!$B$3, INPUT_JobSettings!$A:$A, INPUT_JobSettings!$B:$B, ""), Constants!$A:$A, Constants!$E:$E, ""),""), 0.25))))</f>
        <v/>
      </c>
      <c r="M121">
        <f>IF($A121="","",IF($E121="None",0,IF($D121="", "", CEILING( ($D121*IF($E121="Full",1, XLOOKUP("PrimerSpotFactor",Constants!$A$20:$A$40,Constants!$B$20:$B$40))) / IFERROR(XLOOKUP(XLOOKUP('Job Control'!$B$3, INPUT_JobSettings!$A:$A, INPUT_JobSettings!$E:$E, ""), Constants!$A:$A, Constants!$E:$E, ""),""), 0.25)))))</f>
        <v/>
      </c>
      <c r="N121">
        <f>IF($A121="","",IF($D121="", "", $L121*IFERROR(XLOOKUP(XLOOKUP('Job Control'!$B$3, INPUT_JobSettings!$A:$A, INPUT_JobSettings!$B:$B, ""), Constants!$A:$A, Constants!$D:$D, 0),0) + $M121*IFERROR(XLOOKUP(XLOOKUP('Job Control'!$B$3, INPUT_JobSettings!$A:$A, INPUT_JobSettings!$E:$E, ""), Constants!$A:$A, Constants!$D:$D, 0),0))))</f>
        <v/>
      </c>
      <c r="O121">
        <f>IF($A121="","", SUM($H121:$K121))</f>
        <v/>
      </c>
      <c r="P121">
        <f>IF($A121="","", $O121/60)</f>
        <v/>
      </c>
      <c r="Q121">
        <f>IF($A121="","", $P121*IFERROR(IF(XLOOKUP('Job Control'!$B$3, INPUT_JobSettings!$A:$A, INPUT_JobSettings!$F:$F, "")&lt;&gt;"", XLOOKUP('Job Control'!$B$3, INPUT_JobSettings!$A:$A, INPUT_JobSettings!$F:$F, ""), $B$6), $B$6))</f>
        <v/>
      </c>
      <c r="R121">
        <f>IF($A121="","", ($Q121+$N121)*IFERROR(IF(XLOOKUP('Job Control'!$B$3, INPUT_JobSettings!$A:$A, INPUT_JobSettings!$G:$G, "")&lt;&gt;"", XLOOKUP('Job Control'!$B$3, INPUT_JobSettings!$A:$A, INPUT_JobSettings!$G:$G, ""), $B$7), $B$7))</f>
        <v/>
      </c>
      <c r="S121">
        <f>IF($A121="","", XLOOKUP($A121, INPUT_Rooms!$B:$B, INPUT_Rooms!$AH:$AH, ""))</f>
        <v/>
      </c>
    </row>
    <row r="122">
      <c r="L122">
        <f>IF($A122="","",IF($D122="", "", CEILING( ($D122*$F122) / IFERROR(XLOOKUP(XLOOKUP('Job Control'!$B$3, INPUT_JobSettings!$A:$A, INPUT_JobSettings!$B:$B, ""), Constants!$A:$A, Constants!$E:$E, ""),""), 0.25))))</f>
        <v/>
      </c>
      <c r="M122">
        <f>IF($A122="","",IF($E122="None",0,IF($D122="", "", CEILING( ($D122*IF($E122="Full",1, XLOOKUP("PrimerSpotFactor",Constants!$A$20:$A$40,Constants!$B$20:$B$40))) / IFERROR(XLOOKUP(XLOOKUP('Job Control'!$B$3, INPUT_JobSettings!$A:$A, INPUT_JobSettings!$E:$E, ""), Constants!$A:$A, Constants!$E:$E, ""),""), 0.25)))))</f>
        <v/>
      </c>
      <c r="N122">
        <f>IF($A122="","",IF($D122="", "", $L122*IFERROR(XLOOKUP(XLOOKUP('Job Control'!$B$3, INPUT_JobSettings!$A:$A, INPUT_JobSettings!$B:$B, ""), Constants!$A:$A, Constants!$D:$D, 0),0) + $M122*IFERROR(XLOOKUP(XLOOKUP('Job Control'!$B$3, INPUT_JobSettings!$A:$A, INPUT_JobSettings!$E:$E, ""), Constants!$A:$A, Constants!$D:$D, 0),0))))</f>
        <v/>
      </c>
      <c r="O122">
        <f>IF($A122="","", SUM($H122:$K122))</f>
        <v/>
      </c>
      <c r="P122">
        <f>IF($A122="","", $O122/60)</f>
        <v/>
      </c>
      <c r="Q122">
        <f>IF($A122="","", $P122*IFERROR(IF(XLOOKUP('Job Control'!$B$3, INPUT_JobSettings!$A:$A, INPUT_JobSettings!$F:$F, "")&lt;&gt;"", XLOOKUP('Job Control'!$B$3, INPUT_JobSettings!$A:$A, INPUT_JobSettings!$F:$F, ""), $B$6), $B$6))</f>
        <v/>
      </c>
      <c r="R122">
        <f>IF($A122="","", ($Q122+$N122)*IFERROR(IF(XLOOKUP('Job Control'!$B$3, INPUT_JobSettings!$A:$A, INPUT_JobSettings!$G:$G, "")&lt;&gt;"", XLOOKUP('Job Control'!$B$3, INPUT_JobSettings!$A:$A, INPUT_JobSettings!$G:$G, ""), $B$7), $B$7))</f>
        <v/>
      </c>
      <c r="S122">
        <f>IF($A122="","", XLOOKUP($A122, INPUT_Rooms!$B:$B, INPUT_Rooms!$AH:$AH, ""))</f>
        <v/>
      </c>
    </row>
    <row r="123">
      <c r="L123">
        <f>IF($A123="","",IF($D123="", "", CEILING( ($D123*$F123) / IFERROR(XLOOKUP(XLOOKUP('Job Control'!$B$3, INPUT_JobSettings!$A:$A, INPUT_JobSettings!$B:$B, ""), Constants!$A:$A, Constants!$E:$E, ""),""), 0.25))))</f>
        <v/>
      </c>
      <c r="M123">
        <f>IF($A123="","",IF($E123="None",0,IF($D123="", "", CEILING( ($D123*IF($E123="Full",1, XLOOKUP("PrimerSpotFactor",Constants!$A$20:$A$40,Constants!$B$20:$B$40))) / IFERROR(XLOOKUP(XLOOKUP('Job Control'!$B$3, INPUT_JobSettings!$A:$A, INPUT_JobSettings!$E:$E, ""), Constants!$A:$A, Constants!$E:$E, ""),""), 0.25)))))</f>
        <v/>
      </c>
      <c r="N123">
        <f>IF($A123="","",IF($D123="", "", $L123*IFERROR(XLOOKUP(XLOOKUP('Job Control'!$B$3, INPUT_JobSettings!$A:$A, INPUT_JobSettings!$B:$B, ""), Constants!$A:$A, Constants!$D:$D, 0),0) + $M123*IFERROR(XLOOKUP(XLOOKUP('Job Control'!$B$3, INPUT_JobSettings!$A:$A, INPUT_JobSettings!$E:$E, ""), Constants!$A:$A, Constants!$D:$D, 0),0))))</f>
        <v/>
      </c>
      <c r="O123">
        <f>IF($A123="","", SUM($H123:$K123))</f>
        <v/>
      </c>
      <c r="P123">
        <f>IF($A123="","", $O123/60)</f>
        <v/>
      </c>
      <c r="Q123">
        <f>IF($A123="","", $P123*IFERROR(IF(XLOOKUP('Job Control'!$B$3, INPUT_JobSettings!$A:$A, INPUT_JobSettings!$F:$F, "")&lt;&gt;"", XLOOKUP('Job Control'!$B$3, INPUT_JobSettings!$A:$A, INPUT_JobSettings!$F:$F, ""), $B$6), $B$6))</f>
        <v/>
      </c>
      <c r="R123">
        <f>IF($A123="","", ($Q123+$N123)*IFERROR(IF(XLOOKUP('Job Control'!$B$3, INPUT_JobSettings!$A:$A, INPUT_JobSettings!$G:$G, "")&lt;&gt;"", XLOOKUP('Job Control'!$B$3, INPUT_JobSettings!$A:$A, INPUT_JobSettings!$G:$G, ""), $B$7), $B$7))</f>
        <v/>
      </c>
      <c r="S123">
        <f>IF($A123="","", XLOOKUP($A123, INPUT_Rooms!$B:$B, INPUT_Rooms!$AH:$AH, ""))</f>
        <v/>
      </c>
    </row>
    <row r="124">
      <c r="L124">
        <f>IF($A124="","",IF($D124="", "", CEILING( ($D124*$F124) / IFERROR(XLOOKUP(XLOOKUP('Job Control'!$B$3, INPUT_JobSettings!$A:$A, INPUT_JobSettings!$B:$B, ""), Constants!$A:$A, Constants!$E:$E, ""),""), 0.25))))</f>
        <v/>
      </c>
      <c r="M124">
        <f>IF($A124="","",IF($E124="None",0,IF($D124="", "", CEILING( ($D124*IF($E124="Full",1, XLOOKUP("PrimerSpotFactor",Constants!$A$20:$A$40,Constants!$B$20:$B$40))) / IFERROR(XLOOKUP(XLOOKUP('Job Control'!$B$3, INPUT_JobSettings!$A:$A, INPUT_JobSettings!$E:$E, ""), Constants!$A:$A, Constants!$E:$E, ""),""), 0.25)))))</f>
        <v/>
      </c>
      <c r="N124">
        <f>IF($A124="","",IF($D124="", "", $L124*IFERROR(XLOOKUP(XLOOKUP('Job Control'!$B$3, INPUT_JobSettings!$A:$A, INPUT_JobSettings!$B:$B, ""), Constants!$A:$A, Constants!$D:$D, 0),0) + $M124*IFERROR(XLOOKUP(XLOOKUP('Job Control'!$B$3, INPUT_JobSettings!$A:$A, INPUT_JobSettings!$E:$E, ""), Constants!$A:$A, Constants!$D:$D, 0),0))))</f>
        <v/>
      </c>
      <c r="O124">
        <f>IF($A124="","", SUM($H124:$K124))</f>
        <v/>
      </c>
      <c r="P124">
        <f>IF($A124="","", $O124/60)</f>
        <v/>
      </c>
      <c r="Q124">
        <f>IF($A124="","", $P124*IFERROR(IF(XLOOKUP('Job Control'!$B$3, INPUT_JobSettings!$A:$A, INPUT_JobSettings!$F:$F, "")&lt;&gt;"", XLOOKUP('Job Control'!$B$3, INPUT_JobSettings!$A:$A, INPUT_JobSettings!$F:$F, ""), $B$6), $B$6))</f>
        <v/>
      </c>
      <c r="R124">
        <f>IF($A124="","", ($Q124+$N124)*IFERROR(IF(XLOOKUP('Job Control'!$B$3, INPUT_JobSettings!$A:$A, INPUT_JobSettings!$G:$G, "")&lt;&gt;"", XLOOKUP('Job Control'!$B$3, INPUT_JobSettings!$A:$A, INPUT_JobSettings!$G:$G, ""), $B$7), $B$7))</f>
        <v/>
      </c>
      <c r="S124">
        <f>IF($A124="","", XLOOKUP($A124, INPUT_Rooms!$B:$B, INPUT_Rooms!$AH:$AH, ""))</f>
        <v/>
      </c>
    </row>
    <row r="125">
      <c r="L125">
        <f>IF($A125="","",IF($D125="", "", CEILING( ($D125*$F125) / IFERROR(XLOOKUP(XLOOKUP('Job Control'!$B$3, INPUT_JobSettings!$A:$A, INPUT_JobSettings!$B:$B, ""), Constants!$A:$A, Constants!$E:$E, ""),""), 0.25))))</f>
        <v/>
      </c>
      <c r="M125">
        <f>IF($A125="","",IF($E125="None",0,IF($D125="", "", CEILING( ($D125*IF($E125="Full",1, XLOOKUP("PrimerSpotFactor",Constants!$A$20:$A$40,Constants!$B$20:$B$40))) / IFERROR(XLOOKUP(XLOOKUP('Job Control'!$B$3, INPUT_JobSettings!$A:$A, INPUT_JobSettings!$E:$E, ""), Constants!$A:$A, Constants!$E:$E, ""),""), 0.25)))))</f>
        <v/>
      </c>
      <c r="N125">
        <f>IF($A125="","",IF($D125="", "", $L125*IFERROR(XLOOKUP(XLOOKUP('Job Control'!$B$3, INPUT_JobSettings!$A:$A, INPUT_JobSettings!$B:$B, ""), Constants!$A:$A, Constants!$D:$D, 0),0) + $M125*IFERROR(XLOOKUP(XLOOKUP('Job Control'!$B$3, INPUT_JobSettings!$A:$A, INPUT_JobSettings!$E:$E, ""), Constants!$A:$A, Constants!$D:$D, 0),0))))</f>
        <v/>
      </c>
      <c r="O125">
        <f>IF($A125="","", SUM($H125:$K125))</f>
        <v/>
      </c>
      <c r="P125">
        <f>IF($A125="","", $O125/60)</f>
        <v/>
      </c>
      <c r="Q125">
        <f>IF($A125="","", $P125*IFERROR(IF(XLOOKUP('Job Control'!$B$3, INPUT_JobSettings!$A:$A, INPUT_JobSettings!$F:$F, "")&lt;&gt;"", XLOOKUP('Job Control'!$B$3, INPUT_JobSettings!$A:$A, INPUT_JobSettings!$F:$F, ""), $B$6), $B$6))</f>
        <v/>
      </c>
      <c r="R125">
        <f>IF($A125="","", ($Q125+$N125)*IFERROR(IF(XLOOKUP('Job Control'!$B$3, INPUT_JobSettings!$A:$A, INPUT_JobSettings!$G:$G, "")&lt;&gt;"", XLOOKUP('Job Control'!$B$3, INPUT_JobSettings!$A:$A, INPUT_JobSettings!$G:$G, ""), $B$7), $B$7))</f>
        <v/>
      </c>
      <c r="S125">
        <f>IF($A125="","", XLOOKUP($A125, INPUT_Rooms!$B:$B, INPUT_Rooms!$AH:$AH, ""))</f>
        <v/>
      </c>
    </row>
    <row r="126">
      <c r="L126">
        <f>IF($A126="","",IF($D126="", "", CEILING( ($D126*$F126) / IFERROR(XLOOKUP(XLOOKUP('Job Control'!$B$3, INPUT_JobSettings!$A:$A, INPUT_JobSettings!$B:$B, ""), Constants!$A:$A, Constants!$E:$E, ""),""), 0.25))))</f>
        <v/>
      </c>
      <c r="M126">
        <f>IF($A126="","",IF($E126="None",0,IF($D126="", "", CEILING( ($D126*IF($E126="Full",1, XLOOKUP("PrimerSpotFactor",Constants!$A$20:$A$40,Constants!$B$20:$B$40))) / IFERROR(XLOOKUP(XLOOKUP('Job Control'!$B$3, INPUT_JobSettings!$A:$A, INPUT_JobSettings!$E:$E, ""), Constants!$A:$A, Constants!$E:$E, ""),""), 0.25)))))</f>
        <v/>
      </c>
      <c r="N126">
        <f>IF($A126="","",IF($D126="", "", $L126*IFERROR(XLOOKUP(XLOOKUP('Job Control'!$B$3, INPUT_JobSettings!$A:$A, INPUT_JobSettings!$B:$B, ""), Constants!$A:$A, Constants!$D:$D, 0),0) + $M126*IFERROR(XLOOKUP(XLOOKUP('Job Control'!$B$3, INPUT_JobSettings!$A:$A, INPUT_JobSettings!$E:$E, ""), Constants!$A:$A, Constants!$D:$D, 0),0))))</f>
        <v/>
      </c>
      <c r="O126">
        <f>IF($A126="","", SUM($H126:$K126))</f>
        <v/>
      </c>
      <c r="P126">
        <f>IF($A126="","", $O126/60)</f>
        <v/>
      </c>
      <c r="Q126">
        <f>IF($A126="","", $P126*IFERROR(IF(XLOOKUP('Job Control'!$B$3, INPUT_JobSettings!$A:$A, INPUT_JobSettings!$F:$F, "")&lt;&gt;"", XLOOKUP('Job Control'!$B$3, INPUT_JobSettings!$A:$A, INPUT_JobSettings!$F:$F, ""), $B$6), $B$6))</f>
        <v/>
      </c>
      <c r="R126">
        <f>IF($A126="","", ($Q126+$N126)*IFERROR(IF(XLOOKUP('Job Control'!$B$3, INPUT_JobSettings!$A:$A, INPUT_JobSettings!$G:$G, "")&lt;&gt;"", XLOOKUP('Job Control'!$B$3, INPUT_JobSettings!$A:$A, INPUT_JobSettings!$G:$G, ""), $B$7), $B$7))</f>
        <v/>
      </c>
      <c r="S126">
        <f>IF($A126="","", XLOOKUP($A126, INPUT_Rooms!$B:$B, INPUT_Rooms!$AH:$AH, ""))</f>
        <v/>
      </c>
    </row>
    <row r="127">
      <c r="L127">
        <f>IF($A127="","",IF($D127="", "", CEILING( ($D127*$F127) / IFERROR(XLOOKUP(XLOOKUP('Job Control'!$B$3, INPUT_JobSettings!$A:$A, INPUT_JobSettings!$B:$B, ""), Constants!$A:$A, Constants!$E:$E, ""),""), 0.25))))</f>
        <v/>
      </c>
      <c r="M127">
        <f>IF($A127="","",IF($E127="None",0,IF($D127="", "", CEILING( ($D127*IF($E127="Full",1, XLOOKUP("PrimerSpotFactor",Constants!$A$20:$A$40,Constants!$B$20:$B$40))) / IFERROR(XLOOKUP(XLOOKUP('Job Control'!$B$3, INPUT_JobSettings!$A:$A, INPUT_JobSettings!$E:$E, ""), Constants!$A:$A, Constants!$E:$E, ""),""), 0.25)))))</f>
        <v/>
      </c>
      <c r="N127">
        <f>IF($A127="","",IF($D127="", "", $L127*IFERROR(XLOOKUP(XLOOKUP('Job Control'!$B$3, INPUT_JobSettings!$A:$A, INPUT_JobSettings!$B:$B, ""), Constants!$A:$A, Constants!$D:$D, 0),0) + $M127*IFERROR(XLOOKUP(XLOOKUP('Job Control'!$B$3, INPUT_JobSettings!$A:$A, INPUT_JobSettings!$E:$E, ""), Constants!$A:$A, Constants!$D:$D, 0),0))))</f>
        <v/>
      </c>
      <c r="O127">
        <f>IF($A127="","", SUM($H127:$K127))</f>
        <v/>
      </c>
      <c r="P127">
        <f>IF($A127="","", $O127/60)</f>
        <v/>
      </c>
      <c r="Q127">
        <f>IF($A127="","", $P127*IFERROR(IF(XLOOKUP('Job Control'!$B$3, INPUT_JobSettings!$A:$A, INPUT_JobSettings!$F:$F, "")&lt;&gt;"", XLOOKUP('Job Control'!$B$3, INPUT_JobSettings!$A:$A, INPUT_JobSettings!$F:$F, ""), $B$6), $B$6))</f>
        <v/>
      </c>
      <c r="R127">
        <f>IF($A127="","", ($Q127+$N127)*IFERROR(IF(XLOOKUP('Job Control'!$B$3, INPUT_JobSettings!$A:$A, INPUT_JobSettings!$G:$G, "")&lt;&gt;"", XLOOKUP('Job Control'!$B$3, INPUT_JobSettings!$A:$A, INPUT_JobSettings!$G:$G, ""), $B$7), $B$7))</f>
        <v/>
      </c>
      <c r="S127">
        <f>IF($A127="","", XLOOKUP($A127, INPUT_Rooms!$B:$B, INPUT_Rooms!$AH:$AH, ""))</f>
        <v/>
      </c>
    </row>
    <row r="128">
      <c r="L128">
        <f>IF($A128="","",IF($D128="", "", CEILING( ($D128*$F128) / IFERROR(XLOOKUP(XLOOKUP('Job Control'!$B$3, INPUT_JobSettings!$A:$A, INPUT_JobSettings!$B:$B, ""), Constants!$A:$A, Constants!$E:$E, ""),""), 0.25))))</f>
        <v/>
      </c>
      <c r="M128">
        <f>IF($A128="","",IF($E128="None",0,IF($D128="", "", CEILING( ($D128*IF($E128="Full",1, XLOOKUP("PrimerSpotFactor",Constants!$A$20:$A$40,Constants!$B$20:$B$40))) / IFERROR(XLOOKUP(XLOOKUP('Job Control'!$B$3, INPUT_JobSettings!$A:$A, INPUT_JobSettings!$E:$E, ""), Constants!$A:$A, Constants!$E:$E, ""),""), 0.25)))))</f>
        <v/>
      </c>
      <c r="N128">
        <f>IF($A128="","",IF($D128="", "", $L128*IFERROR(XLOOKUP(XLOOKUP('Job Control'!$B$3, INPUT_JobSettings!$A:$A, INPUT_JobSettings!$B:$B, ""), Constants!$A:$A, Constants!$D:$D, 0),0) + $M128*IFERROR(XLOOKUP(XLOOKUP('Job Control'!$B$3, INPUT_JobSettings!$A:$A, INPUT_JobSettings!$E:$E, ""), Constants!$A:$A, Constants!$D:$D, 0),0))))</f>
        <v/>
      </c>
      <c r="O128">
        <f>IF($A128="","", SUM($H128:$K128))</f>
        <v/>
      </c>
      <c r="P128">
        <f>IF($A128="","", $O128/60)</f>
        <v/>
      </c>
      <c r="Q128">
        <f>IF($A128="","", $P128*IFERROR(IF(XLOOKUP('Job Control'!$B$3, INPUT_JobSettings!$A:$A, INPUT_JobSettings!$F:$F, "")&lt;&gt;"", XLOOKUP('Job Control'!$B$3, INPUT_JobSettings!$A:$A, INPUT_JobSettings!$F:$F, ""), $B$6), $B$6))</f>
        <v/>
      </c>
      <c r="R128">
        <f>IF($A128="","", ($Q128+$N128)*IFERROR(IF(XLOOKUP('Job Control'!$B$3, INPUT_JobSettings!$A:$A, INPUT_JobSettings!$G:$G, "")&lt;&gt;"", XLOOKUP('Job Control'!$B$3, INPUT_JobSettings!$A:$A, INPUT_JobSettings!$G:$G, ""), $B$7), $B$7))</f>
        <v/>
      </c>
      <c r="S128">
        <f>IF($A128="","", XLOOKUP($A128, INPUT_Rooms!$B:$B, INPUT_Rooms!$AH:$AH, ""))</f>
        <v/>
      </c>
    </row>
    <row r="129">
      <c r="L129">
        <f>IF($A129="","",IF($D129="", "", CEILING( ($D129*$F129) / IFERROR(XLOOKUP(XLOOKUP('Job Control'!$B$3, INPUT_JobSettings!$A:$A, INPUT_JobSettings!$B:$B, ""), Constants!$A:$A, Constants!$E:$E, ""),""), 0.25))))</f>
        <v/>
      </c>
      <c r="M129">
        <f>IF($A129="","",IF($E129="None",0,IF($D129="", "", CEILING( ($D129*IF($E129="Full",1, XLOOKUP("PrimerSpotFactor",Constants!$A$20:$A$40,Constants!$B$20:$B$40))) / IFERROR(XLOOKUP(XLOOKUP('Job Control'!$B$3, INPUT_JobSettings!$A:$A, INPUT_JobSettings!$E:$E, ""), Constants!$A:$A, Constants!$E:$E, ""),""), 0.25)))))</f>
        <v/>
      </c>
      <c r="N129">
        <f>IF($A129="","",IF($D129="", "", $L129*IFERROR(XLOOKUP(XLOOKUP('Job Control'!$B$3, INPUT_JobSettings!$A:$A, INPUT_JobSettings!$B:$B, ""), Constants!$A:$A, Constants!$D:$D, 0),0) + $M129*IFERROR(XLOOKUP(XLOOKUP('Job Control'!$B$3, INPUT_JobSettings!$A:$A, INPUT_JobSettings!$E:$E, ""), Constants!$A:$A, Constants!$D:$D, 0),0))))</f>
        <v/>
      </c>
      <c r="O129">
        <f>IF($A129="","", SUM($H129:$K129))</f>
        <v/>
      </c>
      <c r="P129">
        <f>IF($A129="","", $O129/60)</f>
        <v/>
      </c>
      <c r="Q129">
        <f>IF($A129="","", $P129*IFERROR(IF(XLOOKUP('Job Control'!$B$3, INPUT_JobSettings!$A:$A, INPUT_JobSettings!$F:$F, "")&lt;&gt;"", XLOOKUP('Job Control'!$B$3, INPUT_JobSettings!$A:$A, INPUT_JobSettings!$F:$F, ""), $B$6), $B$6))</f>
        <v/>
      </c>
      <c r="R129">
        <f>IF($A129="","", ($Q129+$N129)*IFERROR(IF(XLOOKUP('Job Control'!$B$3, INPUT_JobSettings!$A:$A, INPUT_JobSettings!$G:$G, "")&lt;&gt;"", XLOOKUP('Job Control'!$B$3, INPUT_JobSettings!$A:$A, INPUT_JobSettings!$G:$G, ""), $B$7), $B$7))</f>
        <v/>
      </c>
      <c r="S129">
        <f>IF($A129="","", XLOOKUP($A129, INPUT_Rooms!$B:$B, INPUT_Rooms!$AH:$AH, ""))</f>
        <v/>
      </c>
    </row>
    <row r="130">
      <c r="L130">
        <f>IF($A130="","",IF($D130="", "", CEILING( ($D130*$F130) / IFERROR(XLOOKUP(XLOOKUP('Job Control'!$B$3, INPUT_JobSettings!$A:$A, INPUT_JobSettings!$B:$B, ""), Constants!$A:$A, Constants!$E:$E, ""),""), 0.25))))</f>
        <v/>
      </c>
      <c r="M130">
        <f>IF($A130="","",IF($E130="None",0,IF($D130="", "", CEILING( ($D130*IF($E130="Full",1, XLOOKUP("PrimerSpotFactor",Constants!$A$20:$A$40,Constants!$B$20:$B$40))) / IFERROR(XLOOKUP(XLOOKUP('Job Control'!$B$3, INPUT_JobSettings!$A:$A, INPUT_JobSettings!$E:$E, ""), Constants!$A:$A, Constants!$E:$E, ""),""), 0.25)))))</f>
        <v/>
      </c>
      <c r="N130">
        <f>IF($A130="","",IF($D130="", "", $L130*IFERROR(XLOOKUP(XLOOKUP('Job Control'!$B$3, INPUT_JobSettings!$A:$A, INPUT_JobSettings!$B:$B, ""), Constants!$A:$A, Constants!$D:$D, 0),0) + $M130*IFERROR(XLOOKUP(XLOOKUP('Job Control'!$B$3, INPUT_JobSettings!$A:$A, INPUT_JobSettings!$E:$E, ""), Constants!$A:$A, Constants!$D:$D, 0),0))))</f>
        <v/>
      </c>
      <c r="O130">
        <f>IF($A130="","", SUM($H130:$K130))</f>
        <v/>
      </c>
      <c r="P130">
        <f>IF($A130="","", $O130/60)</f>
        <v/>
      </c>
      <c r="Q130">
        <f>IF($A130="","", $P130*IFERROR(IF(XLOOKUP('Job Control'!$B$3, INPUT_JobSettings!$A:$A, INPUT_JobSettings!$F:$F, "")&lt;&gt;"", XLOOKUP('Job Control'!$B$3, INPUT_JobSettings!$A:$A, INPUT_JobSettings!$F:$F, ""), $B$6), $B$6))</f>
        <v/>
      </c>
      <c r="R130">
        <f>IF($A130="","", ($Q130+$N130)*IFERROR(IF(XLOOKUP('Job Control'!$B$3, INPUT_JobSettings!$A:$A, INPUT_JobSettings!$G:$G, "")&lt;&gt;"", XLOOKUP('Job Control'!$B$3, INPUT_JobSettings!$A:$A, INPUT_JobSettings!$G:$G, ""), $B$7), $B$7))</f>
        <v/>
      </c>
      <c r="S130">
        <f>IF($A130="","", XLOOKUP($A130, INPUT_Rooms!$B:$B, INPUT_Rooms!$AH:$AH, ""))</f>
        <v/>
      </c>
    </row>
    <row r="131">
      <c r="L131">
        <f>IF($A131="","",IF($D131="", "", CEILING( ($D131*$F131) / IFERROR(XLOOKUP(XLOOKUP('Job Control'!$B$3, INPUT_JobSettings!$A:$A, INPUT_JobSettings!$B:$B, ""), Constants!$A:$A, Constants!$E:$E, ""),""), 0.25))))</f>
        <v/>
      </c>
      <c r="M131">
        <f>IF($A131="","",IF($E131="None",0,IF($D131="", "", CEILING( ($D131*IF($E131="Full",1, XLOOKUP("PrimerSpotFactor",Constants!$A$20:$A$40,Constants!$B$20:$B$40))) / IFERROR(XLOOKUP(XLOOKUP('Job Control'!$B$3, INPUT_JobSettings!$A:$A, INPUT_JobSettings!$E:$E, ""), Constants!$A:$A, Constants!$E:$E, ""),""), 0.25)))))</f>
        <v/>
      </c>
      <c r="N131">
        <f>IF($A131="","",IF($D131="", "", $L131*IFERROR(XLOOKUP(XLOOKUP('Job Control'!$B$3, INPUT_JobSettings!$A:$A, INPUT_JobSettings!$B:$B, ""), Constants!$A:$A, Constants!$D:$D, 0),0) + $M131*IFERROR(XLOOKUP(XLOOKUP('Job Control'!$B$3, INPUT_JobSettings!$A:$A, INPUT_JobSettings!$E:$E, ""), Constants!$A:$A, Constants!$D:$D, 0),0))))</f>
        <v/>
      </c>
      <c r="O131">
        <f>IF($A131="","", SUM($H131:$K131))</f>
        <v/>
      </c>
      <c r="P131">
        <f>IF($A131="","", $O131/60)</f>
        <v/>
      </c>
      <c r="Q131">
        <f>IF($A131="","", $P131*IFERROR(IF(XLOOKUP('Job Control'!$B$3, INPUT_JobSettings!$A:$A, INPUT_JobSettings!$F:$F, "")&lt;&gt;"", XLOOKUP('Job Control'!$B$3, INPUT_JobSettings!$A:$A, INPUT_JobSettings!$F:$F, ""), $B$6), $B$6))</f>
        <v/>
      </c>
      <c r="R131">
        <f>IF($A131="","", ($Q131+$N131)*IFERROR(IF(XLOOKUP('Job Control'!$B$3, INPUT_JobSettings!$A:$A, INPUT_JobSettings!$G:$G, "")&lt;&gt;"", XLOOKUP('Job Control'!$B$3, INPUT_JobSettings!$A:$A, INPUT_JobSettings!$G:$G, ""), $B$7), $B$7))</f>
        <v/>
      </c>
      <c r="S131">
        <f>IF($A131="","", XLOOKUP($A131, INPUT_Rooms!$B:$B, INPUT_Rooms!$AH:$AH, ""))</f>
        <v/>
      </c>
    </row>
    <row r="132">
      <c r="L132">
        <f>IF($A132="","",IF($D132="", "", CEILING( ($D132*$F132) / IFERROR(XLOOKUP(XLOOKUP('Job Control'!$B$3, INPUT_JobSettings!$A:$A, INPUT_JobSettings!$B:$B, ""), Constants!$A:$A, Constants!$E:$E, ""),""), 0.25))))</f>
        <v/>
      </c>
      <c r="M132">
        <f>IF($A132="","",IF($E132="None",0,IF($D132="", "", CEILING( ($D132*IF($E132="Full",1, XLOOKUP("PrimerSpotFactor",Constants!$A$20:$A$40,Constants!$B$20:$B$40))) / IFERROR(XLOOKUP(XLOOKUP('Job Control'!$B$3, INPUT_JobSettings!$A:$A, INPUT_JobSettings!$E:$E, ""), Constants!$A:$A, Constants!$E:$E, ""),""), 0.25)))))</f>
        <v/>
      </c>
      <c r="N132">
        <f>IF($A132="","",IF($D132="", "", $L132*IFERROR(XLOOKUP(XLOOKUP('Job Control'!$B$3, INPUT_JobSettings!$A:$A, INPUT_JobSettings!$B:$B, ""), Constants!$A:$A, Constants!$D:$D, 0),0) + $M132*IFERROR(XLOOKUP(XLOOKUP('Job Control'!$B$3, INPUT_JobSettings!$A:$A, INPUT_JobSettings!$E:$E, ""), Constants!$A:$A, Constants!$D:$D, 0),0))))</f>
        <v/>
      </c>
      <c r="O132">
        <f>IF($A132="","", SUM($H132:$K132))</f>
        <v/>
      </c>
      <c r="P132">
        <f>IF($A132="","", $O132/60)</f>
        <v/>
      </c>
      <c r="Q132">
        <f>IF($A132="","", $P132*IFERROR(IF(XLOOKUP('Job Control'!$B$3, INPUT_JobSettings!$A:$A, INPUT_JobSettings!$F:$F, "")&lt;&gt;"", XLOOKUP('Job Control'!$B$3, INPUT_JobSettings!$A:$A, INPUT_JobSettings!$F:$F, ""), $B$6), $B$6))</f>
        <v/>
      </c>
      <c r="R132">
        <f>IF($A132="","", ($Q132+$N132)*IFERROR(IF(XLOOKUP('Job Control'!$B$3, INPUT_JobSettings!$A:$A, INPUT_JobSettings!$G:$G, "")&lt;&gt;"", XLOOKUP('Job Control'!$B$3, INPUT_JobSettings!$A:$A, INPUT_JobSettings!$G:$G, ""), $B$7), $B$7))</f>
        <v/>
      </c>
      <c r="S132">
        <f>IF($A132="","", XLOOKUP($A132, INPUT_Rooms!$B:$B, INPUT_Rooms!$AH:$AH, ""))</f>
        <v/>
      </c>
    </row>
    <row r="133">
      <c r="L133">
        <f>IF($A133="","",IF($D133="", "", CEILING( ($D133*$F133) / IFERROR(XLOOKUP(XLOOKUP('Job Control'!$B$3, INPUT_JobSettings!$A:$A, INPUT_JobSettings!$B:$B, ""), Constants!$A:$A, Constants!$E:$E, ""),""), 0.25))))</f>
        <v/>
      </c>
      <c r="M133">
        <f>IF($A133="","",IF($E133="None",0,IF($D133="", "", CEILING( ($D133*IF($E133="Full",1, XLOOKUP("PrimerSpotFactor",Constants!$A$20:$A$40,Constants!$B$20:$B$40))) / IFERROR(XLOOKUP(XLOOKUP('Job Control'!$B$3, INPUT_JobSettings!$A:$A, INPUT_JobSettings!$E:$E, ""), Constants!$A:$A, Constants!$E:$E, ""),""), 0.25)))))</f>
        <v/>
      </c>
      <c r="N133">
        <f>IF($A133="","",IF($D133="", "", $L133*IFERROR(XLOOKUP(XLOOKUP('Job Control'!$B$3, INPUT_JobSettings!$A:$A, INPUT_JobSettings!$B:$B, ""), Constants!$A:$A, Constants!$D:$D, 0),0) + $M133*IFERROR(XLOOKUP(XLOOKUP('Job Control'!$B$3, INPUT_JobSettings!$A:$A, INPUT_JobSettings!$E:$E, ""), Constants!$A:$A, Constants!$D:$D, 0),0))))</f>
        <v/>
      </c>
      <c r="O133">
        <f>IF($A133="","", SUM($H133:$K133))</f>
        <v/>
      </c>
      <c r="P133">
        <f>IF($A133="","", $O133/60)</f>
        <v/>
      </c>
      <c r="Q133">
        <f>IF($A133="","", $P133*IFERROR(IF(XLOOKUP('Job Control'!$B$3, INPUT_JobSettings!$A:$A, INPUT_JobSettings!$F:$F, "")&lt;&gt;"", XLOOKUP('Job Control'!$B$3, INPUT_JobSettings!$A:$A, INPUT_JobSettings!$F:$F, ""), $B$6), $B$6))</f>
        <v/>
      </c>
      <c r="R133">
        <f>IF($A133="","", ($Q133+$N133)*IFERROR(IF(XLOOKUP('Job Control'!$B$3, INPUT_JobSettings!$A:$A, INPUT_JobSettings!$G:$G, "")&lt;&gt;"", XLOOKUP('Job Control'!$B$3, INPUT_JobSettings!$A:$A, INPUT_JobSettings!$G:$G, ""), $B$7), $B$7))</f>
        <v/>
      </c>
      <c r="S133">
        <f>IF($A133="","", XLOOKUP($A133, INPUT_Rooms!$B:$B, INPUT_Rooms!$AH:$AH, ""))</f>
        <v/>
      </c>
    </row>
    <row r="134">
      <c r="L134">
        <f>IF($A134="","",IF($D134="", "", CEILING( ($D134*$F134) / IFERROR(XLOOKUP(XLOOKUP('Job Control'!$B$3, INPUT_JobSettings!$A:$A, INPUT_JobSettings!$B:$B, ""), Constants!$A:$A, Constants!$E:$E, ""),""), 0.25))))</f>
        <v/>
      </c>
      <c r="M134">
        <f>IF($A134="","",IF($E134="None",0,IF($D134="", "", CEILING( ($D134*IF($E134="Full",1, XLOOKUP("PrimerSpotFactor",Constants!$A$20:$A$40,Constants!$B$20:$B$40))) / IFERROR(XLOOKUP(XLOOKUP('Job Control'!$B$3, INPUT_JobSettings!$A:$A, INPUT_JobSettings!$E:$E, ""), Constants!$A:$A, Constants!$E:$E, ""),""), 0.25)))))</f>
        <v/>
      </c>
      <c r="N134">
        <f>IF($A134="","",IF($D134="", "", $L134*IFERROR(XLOOKUP(XLOOKUP('Job Control'!$B$3, INPUT_JobSettings!$A:$A, INPUT_JobSettings!$B:$B, ""), Constants!$A:$A, Constants!$D:$D, 0),0) + $M134*IFERROR(XLOOKUP(XLOOKUP('Job Control'!$B$3, INPUT_JobSettings!$A:$A, INPUT_JobSettings!$E:$E, ""), Constants!$A:$A, Constants!$D:$D, 0),0))))</f>
        <v/>
      </c>
      <c r="O134">
        <f>IF($A134="","", SUM($H134:$K134))</f>
        <v/>
      </c>
      <c r="P134">
        <f>IF($A134="","", $O134/60)</f>
        <v/>
      </c>
      <c r="Q134">
        <f>IF($A134="","", $P134*IFERROR(IF(XLOOKUP('Job Control'!$B$3, INPUT_JobSettings!$A:$A, INPUT_JobSettings!$F:$F, "")&lt;&gt;"", XLOOKUP('Job Control'!$B$3, INPUT_JobSettings!$A:$A, INPUT_JobSettings!$F:$F, ""), $B$6), $B$6))</f>
        <v/>
      </c>
      <c r="R134">
        <f>IF($A134="","", ($Q134+$N134)*IFERROR(IF(XLOOKUP('Job Control'!$B$3, INPUT_JobSettings!$A:$A, INPUT_JobSettings!$G:$G, "")&lt;&gt;"", XLOOKUP('Job Control'!$B$3, INPUT_JobSettings!$A:$A, INPUT_JobSettings!$G:$G, ""), $B$7), $B$7))</f>
        <v/>
      </c>
      <c r="S134">
        <f>IF($A134="","", XLOOKUP($A134, INPUT_Rooms!$B:$B, INPUT_Rooms!$AH:$AH, ""))</f>
        <v/>
      </c>
    </row>
    <row r="135">
      <c r="L135">
        <f>IF($A135="","",IF($D135="", "", CEILING( ($D135*$F135) / IFERROR(XLOOKUP(XLOOKUP('Job Control'!$B$3, INPUT_JobSettings!$A:$A, INPUT_JobSettings!$B:$B, ""), Constants!$A:$A, Constants!$E:$E, ""),""), 0.25))))</f>
        <v/>
      </c>
      <c r="M135">
        <f>IF($A135="","",IF($E135="None",0,IF($D135="", "", CEILING( ($D135*IF($E135="Full",1, XLOOKUP("PrimerSpotFactor",Constants!$A$20:$A$40,Constants!$B$20:$B$40))) / IFERROR(XLOOKUP(XLOOKUP('Job Control'!$B$3, INPUT_JobSettings!$A:$A, INPUT_JobSettings!$E:$E, ""), Constants!$A:$A, Constants!$E:$E, ""),""), 0.25)))))</f>
        <v/>
      </c>
      <c r="N135">
        <f>IF($A135="","",IF($D135="", "", $L135*IFERROR(XLOOKUP(XLOOKUP('Job Control'!$B$3, INPUT_JobSettings!$A:$A, INPUT_JobSettings!$B:$B, ""), Constants!$A:$A, Constants!$D:$D, 0),0) + $M135*IFERROR(XLOOKUP(XLOOKUP('Job Control'!$B$3, INPUT_JobSettings!$A:$A, INPUT_JobSettings!$E:$E, ""), Constants!$A:$A, Constants!$D:$D, 0),0))))</f>
        <v/>
      </c>
      <c r="O135">
        <f>IF($A135="","", SUM($H135:$K135))</f>
        <v/>
      </c>
      <c r="P135">
        <f>IF($A135="","", $O135/60)</f>
        <v/>
      </c>
      <c r="Q135">
        <f>IF($A135="","", $P135*IFERROR(IF(XLOOKUP('Job Control'!$B$3, INPUT_JobSettings!$A:$A, INPUT_JobSettings!$F:$F, "")&lt;&gt;"", XLOOKUP('Job Control'!$B$3, INPUT_JobSettings!$A:$A, INPUT_JobSettings!$F:$F, ""), $B$6), $B$6))</f>
        <v/>
      </c>
      <c r="R135">
        <f>IF($A135="","", ($Q135+$N135)*IFERROR(IF(XLOOKUP('Job Control'!$B$3, INPUT_JobSettings!$A:$A, INPUT_JobSettings!$G:$G, "")&lt;&gt;"", XLOOKUP('Job Control'!$B$3, INPUT_JobSettings!$A:$A, INPUT_JobSettings!$G:$G, ""), $B$7), $B$7))</f>
        <v/>
      </c>
      <c r="S135">
        <f>IF($A135="","", XLOOKUP($A135, INPUT_Rooms!$B:$B, INPUT_Rooms!$AH:$AH, ""))</f>
        <v/>
      </c>
    </row>
    <row r="136">
      <c r="L136">
        <f>IF($A136="","",IF($D136="", "", CEILING( ($D136*$F136) / IFERROR(XLOOKUP(XLOOKUP('Job Control'!$B$3, INPUT_JobSettings!$A:$A, INPUT_JobSettings!$B:$B, ""), Constants!$A:$A, Constants!$E:$E, ""),""), 0.25))))</f>
        <v/>
      </c>
      <c r="M136">
        <f>IF($A136="","",IF($E136="None",0,IF($D136="", "", CEILING( ($D136*IF($E136="Full",1, XLOOKUP("PrimerSpotFactor",Constants!$A$20:$A$40,Constants!$B$20:$B$40))) / IFERROR(XLOOKUP(XLOOKUP('Job Control'!$B$3, INPUT_JobSettings!$A:$A, INPUT_JobSettings!$E:$E, ""), Constants!$A:$A, Constants!$E:$E, ""),""), 0.25)))))</f>
        <v/>
      </c>
      <c r="N136">
        <f>IF($A136="","",IF($D136="", "", $L136*IFERROR(XLOOKUP(XLOOKUP('Job Control'!$B$3, INPUT_JobSettings!$A:$A, INPUT_JobSettings!$B:$B, ""), Constants!$A:$A, Constants!$D:$D, 0),0) + $M136*IFERROR(XLOOKUP(XLOOKUP('Job Control'!$B$3, INPUT_JobSettings!$A:$A, INPUT_JobSettings!$E:$E, ""), Constants!$A:$A, Constants!$D:$D, 0),0))))</f>
        <v/>
      </c>
      <c r="O136">
        <f>IF($A136="","", SUM($H136:$K136))</f>
        <v/>
      </c>
      <c r="P136">
        <f>IF($A136="","", $O136/60)</f>
        <v/>
      </c>
      <c r="Q136">
        <f>IF($A136="","", $P136*IFERROR(IF(XLOOKUP('Job Control'!$B$3, INPUT_JobSettings!$A:$A, INPUT_JobSettings!$F:$F, "")&lt;&gt;"", XLOOKUP('Job Control'!$B$3, INPUT_JobSettings!$A:$A, INPUT_JobSettings!$F:$F, ""), $B$6), $B$6))</f>
        <v/>
      </c>
      <c r="R136">
        <f>IF($A136="","", ($Q136+$N136)*IFERROR(IF(XLOOKUP('Job Control'!$B$3, INPUT_JobSettings!$A:$A, INPUT_JobSettings!$G:$G, "")&lt;&gt;"", XLOOKUP('Job Control'!$B$3, INPUT_JobSettings!$A:$A, INPUT_JobSettings!$G:$G, ""), $B$7), $B$7))</f>
        <v/>
      </c>
      <c r="S136">
        <f>IF($A136="","", XLOOKUP($A136, INPUT_Rooms!$B:$B, INPUT_Rooms!$AH:$AH, ""))</f>
        <v/>
      </c>
    </row>
    <row r="137">
      <c r="L137">
        <f>IF($A137="","",IF($D137="", "", CEILING( ($D137*$F137) / IFERROR(XLOOKUP(XLOOKUP('Job Control'!$B$3, INPUT_JobSettings!$A:$A, INPUT_JobSettings!$B:$B, ""), Constants!$A:$A, Constants!$E:$E, ""),""), 0.25))))</f>
        <v/>
      </c>
      <c r="M137">
        <f>IF($A137="","",IF($E137="None",0,IF($D137="", "", CEILING( ($D137*IF($E137="Full",1, XLOOKUP("PrimerSpotFactor",Constants!$A$20:$A$40,Constants!$B$20:$B$40))) / IFERROR(XLOOKUP(XLOOKUP('Job Control'!$B$3, INPUT_JobSettings!$A:$A, INPUT_JobSettings!$E:$E, ""), Constants!$A:$A, Constants!$E:$E, ""),""), 0.25)))))</f>
        <v/>
      </c>
      <c r="N137">
        <f>IF($A137="","",IF($D137="", "", $L137*IFERROR(XLOOKUP(XLOOKUP('Job Control'!$B$3, INPUT_JobSettings!$A:$A, INPUT_JobSettings!$B:$B, ""), Constants!$A:$A, Constants!$D:$D, 0),0) + $M137*IFERROR(XLOOKUP(XLOOKUP('Job Control'!$B$3, INPUT_JobSettings!$A:$A, INPUT_JobSettings!$E:$E, ""), Constants!$A:$A, Constants!$D:$D, 0),0))))</f>
        <v/>
      </c>
      <c r="O137">
        <f>IF($A137="","", SUM($H137:$K137))</f>
        <v/>
      </c>
      <c r="P137">
        <f>IF($A137="","", $O137/60)</f>
        <v/>
      </c>
      <c r="Q137">
        <f>IF($A137="","", $P137*IFERROR(IF(XLOOKUP('Job Control'!$B$3, INPUT_JobSettings!$A:$A, INPUT_JobSettings!$F:$F, "")&lt;&gt;"", XLOOKUP('Job Control'!$B$3, INPUT_JobSettings!$A:$A, INPUT_JobSettings!$F:$F, ""), $B$6), $B$6))</f>
        <v/>
      </c>
      <c r="R137">
        <f>IF($A137="","", ($Q137+$N137)*IFERROR(IF(XLOOKUP('Job Control'!$B$3, INPUT_JobSettings!$A:$A, INPUT_JobSettings!$G:$G, "")&lt;&gt;"", XLOOKUP('Job Control'!$B$3, INPUT_JobSettings!$A:$A, INPUT_JobSettings!$G:$G, ""), $B$7), $B$7))</f>
        <v/>
      </c>
      <c r="S137">
        <f>IF($A137="","", XLOOKUP($A137, INPUT_Rooms!$B:$B, INPUT_Rooms!$AH:$AH, ""))</f>
        <v/>
      </c>
    </row>
    <row r="138">
      <c r="L138">
        <f>IF($A138="","",IF($D138="", "", CEILING( ($D138*$F138) / IFERROR(XLOOKUP(XLOOKUP('Job Control'!$B$3, INPUT_JobSettings!$A:$A, INPUT_JobSettings!$B:$B, ""), Constants!$A:$A, Constants!$E:$E, ""),""), 0.25))))</f>
        <v/>
      </c>
      <c r="M138">
        <f>IF($A138="","",IF($E138="None",0,IF($D138="", "", CEILING( ($D138*IF($E138="Full",1, XLOOKUP("PrimerSpotFactor",Constants!$A$20:$A$40,Constants!$B$20:$B$40))) / IFERROR(XLOOKUP(XLOOKUP('Job Control'!$B$3, INPUT_JobSettings!$A:$A, INPUT_JobSettings!$E:$E, ""), Constants!$A:$A, Constants!$E:$E, ""),""), 0.25)))))</f>
        <v/>
      </c>
      <c r="N138">
        <f>IF($A138="","",IF($D138="", "", $L138*IFERROR(XLOOKUP(XLOOKUP('Job Control'!$B$3, INPUT_JobSettings!$A:$A, INPUT_JobSettings!$B:$B, ""), Constants!$A:$A, Constants!$D:$D, 0),0) + $M138*IFERROR(XLOOKUP(XLOOKUP('Job Control'!$B$3, INPUT_JobSettings!$A:$A, INPUT_JobSettings!$E:$E, ""), Constants!$A:$A, Constants!$D:$D, 0),0))))</f>
        <v/>
      </c>
      <c r="O138">
        <f>IF($A138="","", SUM($H138:$K138))</f>
        <v/>
      </c>
      <c r="P138">
        <f>IF($A138="","", $O138/60)</f>
        <v/>
      </c>
      <c r="Q138">
        <f>IF($A138="","", $P138*IFERROR(IF(XLOOKUP('Job Control'!$B$3, INPUT_JobSettings!$A:$A, INPUT_JobSettings!$F:$F, "")&lt;&gt;"", XLOOKUP('Job Control'!$B$3, INPUT_JobSettings!$A:$A, INPUT_JobSettings!$F:$F, ""), $B$6), $B$6))</f>
        <v/>
      </c>
      <c r="R138">
        <f>IF($A138="","", ($Q138+$N138)*IFERROR(IF(XLOOKUP('Job Control'!$B$3, INPUT_JobSettings!$A:$A, INPUT_JobSettings!$G:$G, "")&lt;&gt;"", XLOOKUP('Job Control'!$B$3, INPUT_JobSettings!$A:$A, INPUT_JobSettings!$G:$G, ""), $B$7), $B$7))</f>
        <v/>
      </c>
      <c r="S138">
        <f>IF($A138="","", XLOOKUP($A138, INPUT_Rooms!$B:$B, INPUT_Rooms!$AH:$AH, ""))</f>
        <v/>
      </c>
    </row>
    <row r="139">
      <c r="L139">
        <f>IF($A139="","",IF($D139="", "", CEILING( ($D139*$F139) / IFERROR(XLOOKUP(XLOOKUP('Job Control'!$B$3, INPUT_JobSettings!$A:$A, INPUT_JobSettings!$B:$B, ""), Constants!$A:$A, Constants!$E:$E, ""),""), 0.25))))</f>
        <v/>
      </c>
      <c r="M139">
        <f>IF($A139="","",IF($E139="None",0,IF($D139="", "", CEILING( ($D139*IF($E139="Full",1, XLOOKUP("PrimerSpotFactor",Constants!$A$20:$A$40,Constants!$B$20:$B$40))) / IFERROR(XLOOKUP(XLOOKUP('Job Control'!$B$3, INPUT_JobSettings!$A:$A, INPUT_JobSettings!$E:$E, ""), Constants!$A:$A, Constants!$E:$E, ""),""), 0.25)))))</f>
        <v/>
      </c>
      <c r="N139">
        <f>IF($A139="","",IF($D139="", "", $L139*IFERROR(XLOOKUP(XLOOKUP('Job Control'!$B$3, INPUT_JobSettings!$A:$A, INPUT_JobSettings!$B:$B, ""), Constants!$A:$A, Constants!$D:$D, 0),0) + $M139*IFERROR(XLOOKUP(XLOOKUP('Job Control'!$B$3, INPUT_JobSettings!$A:$A, INPUT_JobSettings!$E:$E, ""), Constants!$A:$A, Constants!$D:$D, 0),0))))</f>
        <v/>
      </c>
      <c r="O139">
        <f>IF($A139="","", SUM($H139:$K139))</f>
        <v/>
      </c>
      <c r="P139">
        <f>IF($A139="","", $O139/60)</f>
        <v/>
      </c>
      <c r="Q139">
        <f>IF($A139="","", $P139*IFERROR(IF(XLOOKUP('Job Control'!$B$3, INPUT_JobSettings!$A:$A, INPUT_JobSettings!$F:$F, "")&lt;&gt;"", XLOOKUP('Job Control'!$B$3, INPUT_JobSettings!$A:$A, INPUT_JobSettings!$F:$F, ""), $B$6), $B$6))</f>
        <v/>
      </c>
      <c r="R139">
        <f>IF($A139="","", ($Q139+$N139)*IFERROR(IF(XLOOKUP('Job Control'!$B$3, INPUT_JobSettings!$A:$A, INPUT_JobSettings!$G:$G, "")&lt;&gt;"", XLOOKUP('Job Control'!$B$3, INPUT_JobSettings!$A:$A, INPUT_JobSettings!$G:$G, ""), $B$7), $B$7))</f>
        <v/>
      </c>
      <c r="S139">
        <f>IF($A139="","", XLOOKUP($A139, INPUT_Rooms!$B:$B, INPUT_Rooms!$AH:$AH, ""))</f>
        <v/>
      </c>
    </row>
    <row r="140">
      <c r="L140">
        <f>IF($A140="","",IF($D140="", "", CEILING( ($D140*$F140) / IFERROR(XLOOKUP(XLOOKUP('Job Control'!$B$3, INPUT_JobSettings!$A:$A, INPUT_JobSettings!$B:$B, ""), Constants!$A:$A, Constants!$E:$E, ""),""), 0.25))))</f>
        <v/>
      </c>
      <c r="M140">
        <f>IF($A140="","",IF($E140="None",0,IF($D140="", "", CEILING( ($D140*IF($E140="Full",1, XLOOKUP("PrimerSpotFactor",Constants!$A$20:$A$40,Constants!$B$20:$B$40))) / IFERROR(XLOOKUP(XLOOKUP('Job Control'!$B$3, INPUT_JobSettings!$A:$A, INPUT_JobSettings!$E:$E, ""), Constants!$A:$A, Constants!$E:$E, ""),""), 0.25)))))</f>
        <v/>
      </c>
      <c r="N140">
        <f>IF($A140="","",IF($D140="", "", $L140*IFERROR(XLOOKUP(XLOOKUP('Job Control'!$B$3, INPUT_JobSettings!$A:$A, INPUT_JobSettings!$B:$B, ""), Constants!$A:$A, Constants!$D:$D, 0),0) + $M140*IFERROR(XLOOKUP(XLOOKUP('Job Control'!$B$3, INPUT_JobSettings!$A:$A, INPUT_JobSettings!$E:$E, ""), Constants!$A:$A, Constants!$D:$D, 0),0))))</f>
        <v/>
      </c>
      <c r="O140">
        <f>IF($A140="","", SUM($H140:$K140))</f>
        <v/>
      </c>
      <c r="P140">
        <f>IF($A140="","", $O140/60)</f>
        <v/>
      </c>
      <c r="Q140">
        <f>IF($A140="","", $P140*IFERROR(IF(XLOOKUP('Job Control'!$B$3, INPUT_JobSettings!$A:$A, INPUT_JobSettings!$F:$F, "")&lt;&gt;"", XLOOKUP('Job Control'!$B$3, INPUT_JobSettings!$A:$A, INPUT_JobSettings!$F:$F, ""), $B$6), $B$6))</f>
        <v/>
      </c>
      <c r="R140">
        <f>IF($A140="","", ($Q140+$N140)*IFERROR(IF(XLOOKUP('Job Control'!$B$3, INPUT_JobSettings!$A:$A, INPUT_JobSettings!$G:$G, "")&lt;&gt;"", XLOOKUP('Job Control'!$B$3, INPUT_JobSettings!$A:$A, INPUT_JobSettings!$G:$G, ""), $B$7), $B$7))</f>
        <v/>
      </c>
      <c r="S140">
        <f>IF($A140="","", XLOOKUP($A140, INPUT_Rooms!$B:$B, INPUT_Rooms!$AH:$AH, ""))</f>
        <v/>
      </c>
    </row>
    <row r="141">
      <c r="L141">
        <f>IF($A141="","",IF($D141="", "", CEILING( ($D141*$F141) / IFERROR(XLOOKUP(XLOOKUP('Job Control'!$B$3, INPUT_JobSettings!$A:$A, INPUT_JobSettings!$B:$B, ""), Constants!$A:$A, Constants!$E:$E, ""),""), 0.25))))</f>
        <v/>
      </c>
      <c r="M141">
        <f>IF($A141="","",IF($E141="None",0,IF($D141="", "", CEILING( ($D141*IF($E141="Full",1, XLOOKUP("PrimerSpotFactor",Constants!$A$20:$A$40,Constants!$B$20:$B$40))) / IFERROR(XLOOKUP(XLOOKUP('Job Control'!$B$3, INPUT_JobSettings!$A:$A, INPUT_JobSettings!$E:$E, ""), Constants!$A:$A, Constants!$E:$E, ""),""), 0.25)))))</f>
        <v/>
      </c>
      <c r="N141">
        <f>IF($A141="","",IF($D141="", "", $L141*IFERROR(XLOOKUP(XLOOKUP('Job Control'!$B$3, INPUT_JobSettings!$A:$A, INPUT_JobSettings!$B:$B, ""), Constants!$A:$A, Constants!$D:$D, 0),0) + $M141*IFERROR(XLOOKUP(XLOOKUP('Job Control'!$B$3, INPUT_JobSettings!$A:$A, INPUT_JobSettings!$E:$E, ""), Constants!$A:$A, Constants!$D:$D, 0),0))))</f>
        <v/>
      </c>
      <c r="O141">
        <f>IF($A141="","", SUM($H141:$K141))</f>
        <v/>
      </c>
      <c r="P141">
        <f>IF($A141="","", $O141/60)</f>
        <v/>
      </c>
      <c r="Q141">
        <f>IF($A141="","", $P141*IFERROR(IF(XLOOKUP('Job Control'!$B$3, INPUT_JobSettings!$A:$A, INPUT_JobSettings!$F:$F, "")&lt;&gt;"", XLOOKUP('Job Control'!$B$3, INPUT_JobSettings!$A:$A, INPUT_JobSettings!$F:$F, ""), $B$6), $B$6))</f>
        <v/>
      </c>
      <c r="R141">
        <f>IF($A141="","", ($Q141+$N141)*IFERROR(IF(XLOOKUP('Job Control'!$B$3, INPUT_JobSettings!$A:$A, INPUT_JobSettings!$G:$G, "")&lt;&gt;"", XLOOKUP('Job Control'!$B$3, INPUT_JobSettings!$A:$A, INPUT_JobSettings!$G:$G, ""), $B$7), $B$7))</f>
        <v/>
      </c>
      <c r="S141">
        <f>IF($A141="","", XLOOKUP($A141, INPUT_Rooms!$B:$B, INPUT_Rooms!$AH:$AH, ""))</f>
        <v/>
      </c>
    </row>
    <row r="142">
      <c r="L142">
        <f>IF($A142="","",IF($D142="", "", CEILING( ($D142*$F142) / IFERROR(XLOOKUP(XLOOKUP('Job Control'!$B$3, INPUT_JobSettings!$A:$A, INPUT_JobSettings!$B:$B, ""), Constants!$A:$A, Constants!$E:$E, ""),""), 0.25))))</f>
        <v/>
      </c>
      <c r="M142">
        <f>IF($A142="","",IF($E142="None",0,IF($D142="", "", CEILING( ($D142*IF($E142="Full",1, XLOOKUP("PrimerSpotFactor",Constants!$A$20:$A$40,Constants!$B$20:$B$40))) / IFERROR(XLOOKUP(XLOOKUP('Job Control'!$B$3, INPUT_JobSettings!$A:$A, INPUT_JobSettings!$E:$E, ""), Constants!$A:$A, Constants!$E:$E, ""),""), 0.25)))))</f>
        <v/>
      </c>
      <c r="N142">
        <f>IF($A142="","",IF($D142="", "", $L142*IFERROR(XLOOKUP(XLOOKUP('Job Control'!$B$3, INPUT_JobSettings!$A:$A, INPUT_JobSettings!$B:$B, ""), Constants!$A:$A, Constants!$D:$D, 0),0) + $M142*IFERROR(XLOOKUP(XLOOKUP('Job Control'!$B$3, INPUT_JobSettings!$A:$A, INPUT_JobSettings!$E:$E, ""), Constants!$A:$A, Constants!$D:$D, 0),0))))</f>
        <v/>
      </c>
      <c r="O142">
        <f>IF($A142="","", SUM($H142:$K142))</f>
        <v/>
      </c>
      <c r="P142">
        <f>IF($A142="","", $O142/60)</f>
        <v/>
      </c>
      <c r="Q142">
        <f>IF($A142="","", $P142*IFERROR(IF(XLOOKUP('Job Control'!$B$3, INPUT_JobSettings!$A:$A, INPUT_JobSettings!$F:$F, "")&lt;&gt;"", XLOOKUP('Job Control'!$B$3, INPUT_JobSettings!$A:$A, INPUT_JobSettings!$F:$F, ""), $B$6), $B$6))</f>
        <v/>
      </c>
      <c r="R142">
        <f>IF($A142="","", ($Q142+$N142)*IFERROR(IF(XLOOKUP('Job Control'!$B$3, INPUT_JobSettings!$A:$A, INPUT_JobSettings!$G:$G, "")&lt;&gt;"", XLOOKUP('Job Control'!$B$3, INPUT_JobSettings!$A:$A, INPUT_JobSettings!$G:$G, ""), $B$7), $B$7))</f>
        <v/>
      </c>
      <c r="S142">
        <f>IF($A142="","", XLOOKUP($A142, INPUT_Rooms!$B:$B, INPUT_Rooms!$AH:$AH, ""))</f>
        <v/>
      </c>
    </row>
    <row r="143">
      <c r="L143">
        <f>IF($A143="","",IF($D143="", "", CEILING( ($D143*$F143) / IFERROR(XLOOKUP(XLOOKUP('Job Control'!$B$3, INPUT_JobSettings!$A:$A, INPUT_JobSettings!$B:$B, ""), Constants!$A:$A, Constants!$E:$E, ""),""), 0.25))))</f>
        <v/>
      </c>
      <c r="M143">
        <f>IF($A143="","",IF($E143="None",0,IF($D143="", "", CEILING( ($D143*IF($E143="Full",1, XLOOKUP("PrimerSpotFactor",Constants!$A$20:$A$40,Constants!$B$20:$B$40))) / IFERROR(XLOOKUP(XLOOKUP('Job Control'!$B$3, INPUT_JobSettings!$A:$A, INPUT_JobSettings!$E:$E, ""), Constants!$A:$A, Constants!$E:$E, ""),""), 0.25)))))</f>
        <v/>
      </c>
      <c r="N143">
        <f>IF($A143="","",IF($D143="", "", $L143*IFERROR(XLOOKUP(XLOOKUP('Job Control'!$B$3, INPUT_JobSettings!$A:$A, INPUT_JobSettings!$B:$B, ""), Constants!$A:$A, Constants!$D:$D, 0),0) + $M143*IFERROR(XLOOKUP(XLOOKUP('Job Control'!$B$3, INPUT_JobSettings!$A:$A, INPUT_JobSettings!$E:$E, ""), Constants!$A:$A, Constants!$D:$D, 0),0))))</f>
        <v/>
      </c>
      <c r="O143">
        <f>IF($A143="","", SUM($H143:$K143))</f>
        <v/>
      </c>
      <c r="P143">
        <f>IF($A143="","", $O143/60)</f>
        <v/>
      </c>
      <c r="Q143">
        <f>IF($A143="","", $P143*IFERROR(IF(XLOOKUP('Job Control'!$B$3, INPUT_JobSettings!$A:$A, INPUT_JobSettings!$F:$F, "")&lt;&gt;"", XLOOKUP('Job Control'!$B$3, INPUT_JobSettings!$A:$A, INPUT_JobSettings!$F:$F, ""), $B$6), $B$6))</f>
        <v/>
      </c>
      <c r="R143">
        <f>IF($A143="","", ($Q143+$N143)*IFERROR(IF(XLOOKUP('Job Control'!$B$3, INPUT_JobSettings!$A:$A, INPUT_JobSettings!$G:$G, "")&lt;&gt;"", XLOOKUP('Job Control'!$B$3, INPUT_JobSettings!$A:$A, INPUT_JobSettings!$G:$G, ""), $B$7), $B$7))</f>
        <v/>
      </c>
      <c r="S143">
        <f>IF($A143="","", XLOOKUP($A143, INPUT_Rooms!$B:$B, INPUT_Rooms!$AH:$AH, ""))</f>
        <v/>
      </c>
    </row>
    <row r="144">
      <c r="L144">
        <f>IF($A144="","",IF($D144="", "", CEILING( ($D144*$F144) / IFERROR(XLOOKUP(XLOOKUP('Job Control'!$B$3, INPUT_JobSettings!$A:$A, INPUT_JobSettings!$B:$B, ""), Constants!$A:$A, Constants!$E:$E, ""),""), 0.25))))</f>
        <v/>
      </c>
      <c r="M144">
        <f>IF($A144="","",IF($E144="None",0,IF($D144="", "", CEILING( ($D144*IF($E144="Full",1, XLOOKUP("PrimerSpotFactor",Constants!$A$20:$A$40,Constants!$B$20:$B$40))) / IFERROR(XLOOKUP(XLOOKUP('Job Control'!$B$3, INPUT_JobSettings!$A:$A, INPUT_JobSettings!$E:$E, ""), Constants!$A:$A, Constants!$E:$E, ""),""), 0.25)))))</f>
        <v/>
      </c>
      <c r="N144">
        <f>IF($A144="","",IF($D144="", "", $L144*IFERROR(XLOOKUP(XLOOKUP('Job Control'!$B$3, INPUT_JobSettings!$A:$A, INPUT_JobSettings!$B:$B, ""), Constants!$A:$A, Constants!$D:$D, 0),0) + $M144*IFERROR(XLOOKUP(XLOOKUP('Job Control'!$B$3, INPUT_JobSettings!$A:$A, INPUT_JobSettings!$E:$E, ""), Constants!$A:$A, Constants!$D:$D, 0),0))))</f>
        <v/>
      </c>
      <c r="O144">
        <f>IF($A144="","", SUM($H144:$K144))</f>
        <v/>
      </c>
      <c r="P144">
        <f>IF($A144="","", $O144/60)</f>
        <v/>
      </c>
      <c r="Q144">
        <f>IF($A144="","", $P144*IFERROR(IF(XLOOKUP('Job Control'!$B$3, INPUT_JobSettings!$A:$A, INPUT_JobSettings!$F:$F, "")&lt;&gt;"", XLOOKUP('Job Control'!$B$3, INPUT_JobSettings!$A:$A, INPUT_JobSettings!$F:$F, ""), $B$6), $B$6))</f>
        <v/>
      </c>
      <c r="R144">
        <f>IF($A144="","", ($Q144+$N144)*IFERROR(IF(XLOOKUP('Job Control'!$B$3, INPUT_JobSettings!$A:$A, INPUT_JobSettings!$G:$G, "")&lt;&gt;"", XLOOKUP('Job Control'!$B$3, INPUT_JobSettings!$A:$A, INPUT_JobSettings!$G:$G, ""), $B$7), $B$7))</f>
        <v/>
      </c>
      <c r="S144">
        <f>IF($A144="","", XLOOKUP($A144, INPUT_Rooms!$B:$B, INPUT_Rooms!$AH:$AH, ""))</f>
        <v/>
      </c>
    </row>
    <row r="145">
      <c r="L145">
        <f>IF($A145="","",IF($D145="", "", CEILING( ($D145*$F145) / IFERROR(XLOOKUP(XLOOKUP('Job Control'!$B$3, INPUT_JobSettings!$A:$A, INPUT_JobSettings!$B:$B, ""), Constants!$A:$A, Constants!$E:$E, ""),""), 0.25))))</f>
        <v/>
      </c>
      <c r="M145">
        <f>IF($A145="","",IF($E145="None",0,IF($D145="", "", CEILING( ($D145*IF($E145="Full",1, XLOOKUP("PrimerSpotFactor",Constants!$A$20:$A$40,Constants!$B$20:$B$40))) / IFERROR(XLOOKUP(XLOOKUP('Job Control'!$B$3, INPUT_JobSettings!$A:$A, INPUT_JobSettings!$E:$E, ""), Constants!$A:$A, Constants!$E:$E, ""),""), 0.25)))))</f>
        <v/>
      </c>
      <c r="N145">
        <f>IF($A145="","",IF($D145="", "", $L145*IFERROR(XLOOKUP(XLOOKUP('Job Control'!$B$3, INPUT_JobSettings!$A:$A, INPUT_JobSettings!$B:$B, ""), Constants!$A:$A, Constants!$D:$D, 0),0) + $M145*IFERROR(XLOOKUP(XLOOKUP('Job Control'!$B$3, INPUT_JobSettings!$A:$A, INPUT_JobSettings!$E:$E, ""), Constants!$A:$A, Constants!$D:$D, 0),0))))</f>
        <v/>
      </c>
      <c r="O145">
        <f>IF($A145="","", SUM($H145:$K145))</f>
        <v/>
      </c>
      <c r="P145">
        <f>IF($A145="","", $O145/60)</f>
        <v/>
      </c>
      <c r="Q145">
        <f>IF($A145="","", $P145*IFERROR(IF(XLOOKUP('Job Control'!$B$3, INPUT_JobSettings!$A:$A, INPUT_JobSettings!$F:$F, "")&lt;&gt;"", XLOOKUP('Job Control'!$B$3, INPUT_JobSettings!$A:$A, INPUT_JobSettings!$F:$F, ""), $B$6), $B$6))</f>
        <v/>
      </c>
      <c r="R145">
        <f>IF($A145="","", ($Q145+$N145)*IFERROR(IF(XLOOKUP('Job Control'!$B$3, INPUT_JobSettings!$A:$A, INPUT_JobSettings!$G:$G, "")&lt;&gt;"", XLOOKUP('Job Control'!$B$3, INPUT_JobSettings!$A:$A, INPUT_JobSettings!$G:$G, ""), $B$7), $B$7))</f>
        <v/>
      </c>
      <c r="S145">
        <f>IF($A145="","", XLOOKUP($A145, INPUT_Rooms!$B:$B, INPUT_Rooms!$AH:$AH, ""))</f>
        <v/>
      </c>
    </row>
    <row r="146">
      <c r="L146">
        <f>IF($A146="","",IF($D146="", "", CEILING( ($D146*$F146) / IFERROR(XLOOKUP(XLOOKUP('Job Control'!$B$3, INPUT_JobSettings!$A:$A, INPUT_JobSettings!$B:$B, ""), Constants!$A:$A, Constants!$E:$E, ""),""), 0.25))))</f>
        <v/>
      </c>
      <c r="M146">
        <f>IF($A146="","",IF($E146="None",0,IF($D146="", "", CEILING( ($D146*IF($E146="Full",1, XLOOKUP("PrimerSpotFactor",Constants!$A$20:$A$40,Constants!$B$20:$B$40))) / IFERROR(XLOOKUP(XLOOKUP('Job Control'!$B$3, INPUT_JobSettings!$A:$A, INPUT_JobSettings!$E:$E, ""), Constants!$A:$A, Constants!$E:$E, ""),""), 0.25)))))</f>
        <v/>
      </c>
      <c r="N146">
        <f>IF($A146="","",IF($D146="", "", $L146*IFERROR(XLOOKUP(XLOOKUP('Job Control'!$B$3, INPUT_JobSettings!$A:$A, INPUT_JobSettings!$B:$B, ""), Constants!$A:$A, Constants!$D:$D, 0),0) + $M146*IFERROR(XLOOKUP(XLOOKUP('Job Control'!$B$3, INPUT_JobSettings!$A:$A, INPUT_JobSettings!$E:$E, ""), Constants!$A:$A, Constants!$D:$D, 0),0))))</f>
        <v/>
      </c>
      <c r="O146">
        <f>IF($A146="","", SUM($H146:$K146))</f>
        <v/>
      </c>
      <c r="P146">
        <f>IF($A146="","", $O146/60)</f>
        <v/>
      </c>
      <c r="Q146">
        <f>IF($A146="","", $P146*IFERROR(IF(XLOOKUP('Job Control'!$B$3, INPUT_JobSettings!$A:$A, INPUT_JobSettings!$F:$F, "")&lt;&gt;"", XLOOKUP('Job Control'!$B$3, INPUT_JobSettings!$A:$A, INPUT_JobSettings!$F:$F, ""), $B$6), $B$6))</f>
        <v/>
      </c>
      <c r="R146">
        <f>IF($A146="","", ($Q146+$N146)*IFERROR(IF(XLOOKUP('Job Control'!$B$3, INPUT_JobSettings!$A:$A, INPUT_JobSettings!$G:$G, "")&lt;&gt;"", XLOOKUP('Job Control'!$B$3, INPUT_JobSettings!$A:$A, INPUT_JobSettings!$G:$G, ""), $B$7), $B$7))</f>
        <v/>
      </c>
      <c r="S146">
        <f>IF($A146="","", XLOOKUP($A146, INPUT_Rooms!$B:$B, INPUT_Rooms!$AH:$AH, ""))</f>
        <v/>
      </c>
    </row>
    <row r="147">
      <c r="L147">
        <f>IF($A147="","",IF($D147="", "", CEILING( ($D147*$F147) / IFERROR(XLOOKUP(XLOOKUP('Job Control'!$B$3, INPUT_JobSettings!$A:$A, INPUT_JobSettings!$B:$B, ""), Constants!$A:$A, Constants!$E:$E, ""),""), 0.25))))</f>
        <v/>
      </c>
      <c r="M147">
        <f>IF($A147="","",IF($E147="None",0,IF($D147="", "", CEILING( ($D147*IF($E147="Full",1, XLOOKUP("PrimerSpotFactor",Constants!$A$20:$A$40,Constants!$B$20:$B$40))) / IFERROR(XLOOKUP(XLOOKUP('Job Control'!$B$3, INPUT_JobSettings!$A:$A, INPUT_JobSettings!$E:$E, ""), Constants!$A:$A, Constants!$E:$E, ""),""), 0.25)))))</f>
        <v/>
      </c>
      <c r="N147">
        <f>IF($A147="","",IF($D147="", "", $L147*IFERROR(XLOOKUP(XLOOKUP('Job Control'!$B$3, INPUT_JobSettings!$A:$A, INPUT_JobSettings!$B:$B, ""), Constants!$A:$A, Constants!$D:$D, 0),0) + $M147*IFERROR(XLOOKUP(XLOOKUP('Job Control'!$B$3, INPUT_JobSettings!$A:$A, INPUT_JobSettings!$E:$E, ""), Constants!$A:$A, Constants!$D:$D, 0),0))))</f>
        <v/>
      </c>
      <c r="O147">
        <f>IF($A147="","", SUM($H147:$K147))</f>
        <v/>
      </c>
      <c r="P147">
        <f>IF($A147="","", $O147/60)</f>
        <v/>
      </c>
      <c r="Q147">
        <f>IF($A147="","", $P147*IFERROR(IF(XLOOKUP('Job Control'!$B$3, INPUT_JobSettings!$A:$A, INPUT_JobSettings!$F:$F, "")&lt;&gt;"", XLOOKUP('Job Control'!$B$3, INPUT_JobSettings!$A:$A, INPUT_JobSettings!$F:$F, ""), $B$6), $B$6))</f>
        <v/>
      </c>
      <c r="R147">
        <f>IF($A147="","", ($Q147+$N147)*IFERROR(IF(XLOOKUP('Job Control'!$B$3, INPUT_JobSettings!$A:$A, INPUT_JobSettings!$G:$G, "")&lt;&gt;"", XLOOKUP('Job Control'!$B$3, INPUT_JobSettings!$A:$A, INPUT_JobSettings!$G:$G, ""), $B$7), $B$7))</f>
        <v/>
      </c>
      <c r="S147">
        <f>IF($A147="","", XLOOKUP($A147, INPUT_Rooms!$B:$B, INPUT_Rooms!$AH:$AH, ""))</f>
        <v/>
      </c>
    </row>
    <row r="148">
      <c r="L148">
        <f>IF($A148="","",IF($D148="", "", CEILING( ($D148*$F148) / IFERROR(XLOOKUP(XLOOKUP('Job Control'!$B$3, INPUT_JobSettings!$A:$A, INPUT_JobSettings!$B:$B, ""), Constants!$A:$A, Constants!$E:$E, ""),""), 0.25))))</f>
        <v/>
      </c>
      <c r="M148">
        <f>IF($A148="","",IF($E148="None",0,IF($D148="", "", CEILING( ($D148*IF($E148="Full",1, XLOOKUP("PrimerSpotFactor",Constants!$A$20:$A$40,Constants!$B$20:$B$40))) / IFERROR(XLOOKUP(XLOOKUP('Job Control'!$B$3, INPUT_JobSettings!$A:$A, INPUT_JobSettings!$E:$E, ""), Constants!$A:$A, Constants!$E:$E, ""),""), 0.25)))))</f>
        <v/>
      </c>
      <c r="N148">
        <f>IF($A148="","",IF($D148="", "", $L148*IFERROR(XLOOKUP(XLOOKUP('Job Control'!$B$3, INPUT_JobSettings!$A:$A, INPUT_JobSettings!$B:$B, ""), Constants!$A:$A, Constants!$D:$D, 0),0) + $M148*IFERROR(XLOOKUP(XLOOKUP('Job Control'!$B$3, INPUT_JobSettings!$A:$A, INPUT_JobSettings!$E:$E, ""), Constants!$A:$A, Constants!$D:$D, 0),0))))</f>
        <v/>
      </c>
      <c r="O148">
        <f>IF($A148="","", SUM($H148:$K148))</f>
        <v/>
      </c>
      <c r="P148">
        <f>IF($A148="","", $O148/60)</f>
        <v/>
      </c>
      <c r="Q148">
        <f>IF($A148="","", $P148*IFERROR(IF(XLOOKUP('Job Control'!$B$3, INPUT_JobSettings!$A:$A, INPUT_JobSettings!$F:$F, "")&lt;&gt;"", XLOOKUP('Job Control'!$B$3, INPUT_JobSettings!$A:$A, INPUT_JobSettings!$F:$F, ""), $B$6), $B$6))</f>
        <v/>
      </c>
      <c r="R148">
        <f>IF($A148="","", ($Q148+$N148)*IFERROR(IF(XLOOKUP('Job Control'!$B$3, INPUT_JobSettings!$A:$A, INPUT_JobSettings!$G:$G, "")&lt;&gt;"", XLOOKUP('Job Control'!$B$3, INPUT_JobSettings!$A:$A, INPUT_JobSettings!$G:$G, ""), $B$7), $B$7))</f>
        <v/>
      </c>
      <c r="S148">
        <f>IF($A148="","", XLOOKUP($A148, INPUT_Rooms!$B:$B, INPUT_Rooms!$AH:$AH, ""))</f>
        <v/>
      </c>
    </row>
    <row r="149">
      <c r="L149">
        <f>IF($A149="","",IF($D149="", "", CEILING( ($D149*$F149) / IFERROR(XLOOKUP(XLOOKUP('Job Control'!$B$3, INPUT_JobSettings!$A:$A, INPUT_JobSettings!$B:$B, ""), Constants!$A:$A, Constants!$E:$E, ""),""), 0.25))))</f>
        <v/>
      </c>
      <c r="M149">
        <f>IF($A149="","",IF($E149="None",0,IF($D149="", "", CEILING( ($D149*IF($E149="Full",1, XLOOKUP("PrimerSpotFactor",Constants!$A$20:$A$40,Constants!$B$20:$B$40))) / IFERROR(XLOOKUP(XLOOKUP('Job Control'!$B$3, INPUT_JobSettings!$A:$A, INPUT_JobSettings!$E:$E, ""), Constants!$A:$A, Constants!$E:$E, ""),""), 0.25)))))</f>
        <v/>
      </c>
      <c r="N149">
        <f>IF($A149="","",IF($D149="", "", $L149*IFERROR(XLOOKUP(XLOOKUP('Job Control'!$B$3, INPUT_JobSettings!$A:$A, INPUT_JobSettings!$B:$B, ""), Constants!$A:$A, Constants!$D:$D, 0),0) + $M149*IFERROR(XLOOKUP(XLOOKUP('Job Control'!$B$3, INPUT_JobSettings!$A:$A, INPUT_JobSettings!$E:$E, ""), Constants!$A:$A, Constants!$D:$D, 0),0))))</f>
        <v/>
      </c>
      <c r="O149">
        <f>IF($A149="","", SUM($H149:$K149))</f>
        <v/>
      </c>
      <c r="P149">
        <f>IF($A149="","", $O149/60)</f>
        <v/>
      </c>
      <c r="Q149">
        <f>IF($A149="","", $P149*IFERROR(IF(XLOOKUP('Job Control'!$B$3, INPUT_JobSettings!$A:$A, INPUT_JobSettings!$F:$F, "")&lt;&gt;"", XLOOKUP('Job Control'!$B$3, INPUT_JobSettings!$A:$A, INPUT_JobSettings!$F:$F, ""), $B$6), $B$6))</f>
        <v/>
      </c>
      <c r="R149">
        <f>IF($A149="","", ($Q149+$N149)*IFERROR(IF(XLOOKUP('Job Control'!$B$3, INPUT_JobSettings!$A:$A, INPUT_JobSettings!$G:$G, "")&lt;&gt;"", XLOOKUP('Job Control'!$B$3, INPUT_JobSettings!$A:$A, INPUT_JobSettings!$G:$G, ""), $B$7), $B$7))</f>
        <v/>
      </c>
      <c r="S149">
        <f>IF($A149="","", XLOOKUP($A149, INPUT_Rooms!$B:$B, INPUT_Rooms!$AH:$AH, ""))</f>
        <v/>
      </c>
    </row>
    <row r="150">
      <c r="L150">
        <f>IF($A150="","",IF($D150="", "", CEILING( ($D150*$F150) / IFERROR(XLOOKUP(XLOOKUP('Job Control'!$B$3, INPUT_JobSettings!$A:$A, INPUT_JobSettings!$B:$B, ""), Constants!$A:$A, Constants!$E:$E, ""),""), 0.25))))</f>
        <v/>
      </c>
      <c r="M150">
        <f>IF($A150="","",IF($E150="None",0,IF($D150="", "", CEILING( ($D150*IF($E150="Full",1, XLOOKUP("PrimerSpotFactor",Constants!$A$20:$A$40,Constants!$B$20:$B$40))) / IFERROR(XLOOKUP(XLOOKUP('Job Control'!$B$3, INPUT_JobSettings!$A:$A, INPUT_JobSettings!$E:$E, ""), Constants!$A:$A, Constants!$E:$E, ""),""), 0.25)))))</f>
        <v/>
      </c>
      <c r="N150">
        <f>IF($A150="","",IF($D150="", "", $L150*IFERROR(XLOOKUP(XLOOKUP('Job Control'!$B$3, INPUT_JobSettings!$A:$A, INPUT_JobSettings!$B:$B, ""), Constants!$A:$A, Constants!$D:$D, 0),0) + $M150*IFERROR(XLOOKUP(XLOOKUP('Job Control'!$B$3, INPUT_JobSettings!$A:$A, INPUT_JobSettings!$E:$E, ""), Constants!$A:$A, Constants!$D:$D, 0),0))))</f>
        <v/>
      </c>
      <c r="O150">
        <f>IF($A150="","", SUM($H150:$K150))</f>
        <v/>
      </c>
      <c r="P150">
        <f>IF($A150="","", $O150/60)</f>
        <v/>
      </c>
      <c r="Q150">
        <f>IF($A150="","", $P150*IFERROR(IF(XLOOKUP('Job Control'!$B$3, INPUT_JobSettings!$A:$A, INPUT_JobSettings!$F:$F, "")&lt;&gt;"", XLOOKUP('Job Control'!$B$3, INPUT_JobSettings!$A:$A, INPUT_JobSettings!$F:$F, ""), $B$6), $B$6))</f>
        <v/>
      </c>
      <c r="R150">
        <f>IF($A150="","", ($Q150+$N150)*IFERROR(IF(XLOOKUP('Job Control'!$B$3, INPUT_JobSettings!$A:$A, INPUT_JobSettings!$G:$G, "")&lt;&gt;"", XLOOKUP('Job Control'!$B$3, INPUT_JobSettings!$A:$A, INPUT_JobSettings!$G:$G, ""), $B$7), $B$7))</f>
        <v/>
      </c>
      <c r="S150">
        <f>IF($A150="","", XLOOKUP($A150, INPUT_Rooms!$B:$B, INPUT_Rooms!$AH:$AH, ""))</f>
        <v/>
      </c>
    </row>
    <row r="151">
      <c r="L151">
        <f>IF($A151="","",IF($D151="", "", CEILING( ($D151*$F151) / IFERROR(XLOOKUP(XLOOKUP('Job Control'!$B$3, INPUT_JobSettings!$A:$A, INPUT_JobSettings!$B:$B, ""), Constants!$A:$A, Constants!$E:$E, ""),""), 0.25))))</f>
        <v/>
      </c>
      <c r="M151">
        <f>IF($A151="","",IF($E151="None",0,IF($D151="", "", CEILING( ($D151*IF($E151="Full",1, XLOOKUP("PrimerSpotFactor",Constants!$A$20:$A$40,Constants!$B$20:$B$40))) / IFERROR(XLOOKUP(XLOOKUP('Job Control'!$B$3, INPUT_JobSettings!$A:$A, INPUT_JobSettings!$E:$E, ""), Constants!$A:$A, Constants!$E:$E, ""),""), 0.25)))))</f>
        <v/>
      </c>
      <c r="N151">
        <f>IF($A151="","",IF($D151="", "", $L151*IFERROR(XLOOKUP(XLOOKUP('Job Control'!$B$3, INPUT_JobSettings!$A:$A, INPUT_JobSettings!$B:$B, ""), Constants!$A:$A, Constants!$D:$D, 0),0) + $M151*IFERROR(XLOOKUP(XLOOKUP('Job Control'!$B$3, INPUT_JobSettings!$A:$A, INPUT_JobSettings!$E:$E, ""), Constants!$A:$A, Constants!$D:$D, 0),0))))</f>
        <v/>
      </c>
      <c r="O151">
        <f>IF($A151="","", SUM($H151:$K151))</f>
        <v/>
      </c>
      <c r="P151">
        <f>IF($A151="","", $O151/60)</f>
        <v/>
      </c>
      <c r="Q151">
        <f>IF($A151="","", $P151*IFERROR(IF(XLOOKUP('Job Control'!$B$3, INPUT_JobSettings!$A:$A, INPUT_JobSettings!$F:$F, "")&lt;&gt;"", XLOOKUP('Job Control'!$B$3, INPUT_JobSettings!$A:$A, INPUT_JobSettings!$F:$F, ""), $B$6), $B$6))</f>
        <v/>
      </c>
      <c r="R151">
        <f>IF($A151="","", ($Q151+$N151)*IFERROR(IF(XLOOKUP('Job Control'!$B$3, INPUT_JobSettings!$A:$A, INPUT_JobSettings!$G:$G, "")&lt;&gt;"", XLOOKUP('Job Control'!$B$3, INPUT_JobSettings!$A:$A, INPUT_JobSettings!$G:$G, ""), $B$7), $B$7))</f>
        <v/>
      </c>
      <c r="S151">
        <f>IF($A151="","", XLOOKUP($A151, INPUT_Rooms!$B:$B, INPUT_Rooms!$AH:$AH, ""))</f>
        <v/>
      </c>
    </row>
    <row r="152">
      <c r="L152">
        <f>IF($A152="","",IF($D152="", "", CEILING( ($D152*$F152) / IFERROR(XLOOKUP(XLOOKUP('Job Control'!$B$3, INPUT_JobSettings!$A:$A, INPUT_JobSettings!$B:$B, ""), Constants!$A:$A, Constants!$E:$E, ""),""), 0.25))))</f>
        <v/>
      </c>
      <c r="M152">
        <f>IF($A152="","",IF($E152="None",0,IF($D152="", "", CEILING( ($D152*IF($E152="Full",1, XLOOKUP("PrimerSpotFactor",Constants!$A$20:$A$40,Constants!$B$20:$B$40))) / IFERROR(XLOOKUP(XLOOKUP('Job Control'!$B$3, INPUT_JobSettings!$A:$A, INPUT_JobSettings!$E:$E, ""), Constants!$A:$A, Constants!$E:$E, ""),""), 0.25)))))</f>
        <v/>
      </c>
      <c r="N152">
        <f>IF($A152="","",IF($D152="", "", $L152*IFERROR(XLOOKUP(XLOOKUP('Job Control'!$B$3, INPUT_JobSettings!$A:$A, INPUT_JobSettings!$B:$B, ""), Constants!$A:$A, Constants!$D:$D, 0),0) + $M152*IFERROR(XLOOKUP(XLOOKUP('Job Control'!$B$3, INPUT_JobSettings!$A:$A, INPUT_JobSettings!$E:$E, ""), Constants!$A:$A, Constants!$D:$D, 0),0))))</f>
        <v/>
      </c>
      <c r="O152">
        <f>IF($A152="","", SUM($H152:$K152))</f>
        <v/>
      </c>
      <c r="P152">
        <f>IF($A152="","", $O152/60)</f>
        <v/>
      </c>
      <c r="Q152">
        <f>IF($A152="","", $P152*IFERROR(IF(XLOOKUP('Job Control'!$B$3, INPUT_JobSettings!$A:$A, INPUT_JobSettings!$F:$F, "")&lt;&gt;"", XLOOKUP('Job Control'!$B$3, INPUT_JobSettings!$A:$A, INPUT_JobSettings!$F:$F, ""), $B$6), $B$6))</f>
        <v/>
      </c>
      <c r="R152">
        <f>IF($A152="","", ($Q152+$N152)*IFERROR(IF(XLOOKUP('Job Control'!$B$3, INPUT_JobSettings!$A:$A, INPUT_JobSettings!$G:$G, "")&lt;&gt;"", XLOOKUP('Job Control'!$B$3, INPUT_JobSettings!$A:$A, INPUT_JobSettings!$G:$G, ""), $B$7), $B$7))</f>
        <v/>
      </c>
      <c r="S152">
        <f>IF($A152="","", XLOOKUP($A152, INPUT_Rooms!$B:$B, INPUT_Rooms!$AH:$AH, ""))</f>
        <v/>
      </c>
    </row>
    <row r="153">
      <c r="L153">
        <f>IF($A153="","",IF($D153="", "", CEILING( ($D153*$F153) / IFERROR(XLOOKUP(XLOOKUP('Job Control'!$B$3, INPUT_JobSettings!$A:$A, INPUT_JobSettings!$B:$B, ""), Constants!$A:$A, Constants!$E:$E, ""),""), 0.25))))</f>
        <v/>
      </c>
      <c r="M153">
        <f>IF($A153="","",IF($E153="None",0,IF($D153="", "", CEILING( ($D153*IF($E153="Full",1, XLOOKUP("PrimerSpotFactor",Constants!$A$20:$A$40,Constants!$B$20:$B$40))) / IFERROR(XLOOKUP(XLOOKUP('Job Control'!$B$3, INPUT_JobSettings!$A:$A, INPUT_JobSettings!$E:$E, ""), Constants!$A:$A, Constants!$E:$E, ""),""), 0.25)))))</f>
        <v/>
      </c>
      <c r="N153">
        <f>IF($A153="","",IF($D153="", "", $L153*IFERROR(XLOOKUP(XLOOKUP('Job Control'!$B$3, INPUT_JobSettings!$A:$A, INPUT_JobSettings!$B:$B, ""), Constants!$A:$A, Constants!$D:$D, 0),0) + $M153*IFERROR(XLOOKUP(XLOOKUP('Job Control'!$B$3, INPUT_JobSettings!$A:$A, INPUT_JobSettings!$E:$E, ""), Constants!$A:$A, Constants!$D:$D, 0),0))))</f>
        <v/>
      </c>
      <c r="O153">
        <f>IF($A153="","", SUM($H153:$K153))</f>
        <v/>
      </c>
      <c r="P153">
        <f>IF($A153="","", $O153/60)</f>
        <v/>
      </c>
      <c r="Q153">
        <f>IF($A153="","", $P153*IFERROR(IF(XLOOKUP('Job Control'!$B$3, INPUT_JobSettings!$A:$A, INPUT_JobSettings!$F:$F, "")&lt;&gt;"", XLOOKUP('Job Control'!$B$3, INPUT_JobSettings!$A:$A, INPUT_JobSettings!$F:$F, ""), $B$6), $B$6))</f>
        <v/>
      </c>
      <c r="R153">
        <f>IF($A153="","", ($Q153+$N153)*IFERROR(IF(XLOOKUP('Job Control'!$B$3, INPUT_JobSettings!$A:$A, INPUT_JobSettings!$G:$G, "")&lt;&gt;"", XLOOKUP('Job Control'!$B$3, INPUT_JobSettings!$A:$A, INPUT_JobSettings!$G:$G, ""), $B$7), $B$7))</f>
        <v/>
      </c>
      <c r="S153">
        <f>IF($A153="","", XLOOKUP($A153, INPUT_Rooms!$B:$B, INPUT_Rooms!$AH:$AH, ""))</f>
        <v/>
      </c>
    </row>
    <row r="154">
      <c r="L154">
        <f>IF($A154="","",IF($D154="", "", CEILING( ($D154*$F154) / IFERROR(XLOOKUP(XLOOKUP('Job Control'!$B$3, INPUT_JobSettings!$A:$A, INPUT_JobSettings!$B:$B, ""), Constants!$A:$A, Constants!$E:$E, ""),""), 0.25))))</f>
        <v/>
      </c>
      <c r="M154">
        <f>IF($A154="","",IF($E154="None",0,IF($D154="", "", CEILING( ($D154*IF($E154="Full",1, XLOOKUP("PrimerSpotFactor",Constants!$A$20:$A$40,Constants!$B$20:$B$40))) / IFERROR(XLOOKUP(XLOOKUP('Job Control'!$B$3, INPUT_JobSettings!$A:$A, INPUT_JobSettings!$E:$E, ""), Constants!$A:$A, Constants!$E:$E, ""),""), 0.25)))))</f>
        <v/>
      </c>
      <c r="N154">
        <f>IF($A154="","",IF($D154="", "", $L154*IFERROR(XLOOKUP(XLOOKUP('Job Control'!$B$3, INPUT_JobSettings!$A:$A, INPUT_JobSettings!$B:$B, ""), Constants!$A:$A, Constants!$D:$D, 0),0) + $M154*IFERROR(XLOOKUP(XLOOKUP('Job Control'!$B$3, INPUT_JobSettings!$A:$A, INPUT_JobSettings!$E:$E, ""), Constants!$A:$A, Constants!$D:$D, 0),0))))</f>
        <v/>
      </c>
      <c r="O154">
        <f>IF($A154="","", SUM($H154:$K154))</f>
        <v/>
      </c>
      <c r="P154">
        <f>IF($A154="","", $O154/60)</f>
        <v/>
      </c>
      <c r="Q154">
        <f>IF($A154="","", $P154*IFERROR(IF(XLOOKUP('Job Control'!$B$3, INPUT_JobSettings!$A:$A, INPUT_JobSettings!$F:$F, "")&lt;&gt;"", XLOOKUP('Job Control'!$B$3, INPUT_JobSettings!$A:$A, INPUT_JobSettings!$F:$F, ""), $B$6), $B$6))</f>
        <v/>
      </c>
      <c r="R154">
        <f>IF($A154="","", ($Q154+$N154)*IFERROR(IF(XLOOKUP('Job Control'!$B$3, INPUT_JobSettings!$A:$A, INPUT_JobSettings!$G:$G, "")&lt;&gt;"", XLOOKUP('Job Control'!$B$3, INPUT_JobSettings!$A:$A, INPUT_JobSettings!$G:$G, ""), $B$7), $B$7))</f>
        <v/>
      </c>
      <c r="S154">
        <f>IF($A154="","", XLOOKUP($A154, INPUT_Rooms!$B:$B, INPUT_Rooms!$AH:$AH, ""))</f>
        <v/>
      </c>
    </row>
    <row r="155">
      <c r="L155">
        <f>IF($A155="","",IF($D155="", "", CEILING( ($D155*$F155) / IFERROR(XLOOKUP(XLOOKUP('Job Control'!$B$3, INPUT_JobSettings!$A:$A, INPUT_JobSettings!$B:$B, ""), Constants!$A:$A, Constants!$E:$E, ""),""), 0.25))))</f>
        <v/>
      </c>
      <c r="M155">
        <f>IF($A155="","",IF($E155="None",0,IF($D155="", "", CEILING( ($D155*IF($E155="Full",1, XLOOKUP("PrimerSpotFactor",Constants!$A$20:$A$40,Constants!$B$20:$B$40))) / IFERROR(XLOOKUP(XLOOKUP('Job Control'!$B$3, INPUT_JobSettings!$A:$A, INPUT_JobSettings!$E:$E, ""), Constants!$A:$A, Constants!$E:$E, ""),""), 0.25)))))</f>
        <v/>
      </c>
      <c r="N155">
        <f>IF($A155="","",IF($D155="", "", $L155*IFERROR(XLOOKUP(XLOOKUP('Job Control'!$B$3, INPUT_JobSettings!$A:$A, INPUT_JobSettings!$B:$B, ""), Constants!$A:$A, Constants!$D:$D, 0),0) + $M155*IFERROR(XLOOKUP(XLOOKUP('Job Control'!$B$3, INPUT_JobSettings!$A:$A, INPUT_JobSettings!$E:$E, ""), Constants!$A:$A, Constants!$D:$D, 0),0))))</f>
        <v/>
      </c>
      <c r="O155">
        <f>IF($A155="","", SUM($H155:$K155))</f>
        <v/>
      </c>
      <c r="P155">
        <f>IF($A155="","", $O155/60)</f>
        <v/>
      </c>
      <c r="Q155">
        <f>IF($A155="","", $P155*IFERROR(IF(XLOOKUP('Job Control'!$B$3, INPUT_JobSettings!$A:$A, INPUT_JobSettings!$F:$F, "")&lt;&gt;"", XLOOKUP('Job Control'!$B$3, INPUT_JobSettings!$A:$A, INPUT_JobSettings!$F:$F, ""), $B$6), $B$6))</f>
        <v/>
      </c>
      <c r="R155">
        <f>IF($A155="","", ($Q155+$N155)*IFERROR(IF(XLOOKUP('Job Control'!$B$3, INPUT_JobSettings!$A:$A, INPUT_JobSettings!$G:$G, "")&lt;&gt;"", XLOOKUP('Job Control'!$B$3, INPUT_JobSettings!$A:$A, INPUT_JobSettings!$G:$G, ""), $B$7), $B$7))</f>
        <v/>
      </c>
      <c r="S155">
        <f>IF($A155="","", XLOOKUP($A155, INPUT_Rooms!$B:$B, INPUT_Rooms!$AH:$AH, ""))</f>
        <v/>
      </c>
    </row>
    <row r="156">
      <c r="L156">
        <f>IF($A156="","",IF($D156="", "", CEILING( ($D156*$F156) / IFERROR(XLOOKUP(XLOOKUP('Job Control'!$B$3, INPUT_JobSettings!$A:$A, INPUT_JobSettings!$B:$B, ""), Constants!$A:$A, Constants!$E:$E, ""),""), 0.25))))</f>
        <v/>
      </c>
      <c r="M156">
        <f>IF($A156="","",IF($E156="None",0,IF($D156="", "", CEILING( ($D156*IF($E156="Full",1, XLOOKUP("PrimerSpotFactor",Constants!$A$20:$A$40,Constants!$B$20:$B$40))) / IFERROR(XLOOKUP(XLOOKUP('Job Control'!$B$3, INPUT_JobSettings!$A:$A, INPUT_JobSettings!$E:$E, ""), Constants!$A:$A, Constants!$E:$E, ""),""), 0.25)))))</f>
        <v/>
      </c>
      <c r="N156">
        <f>IF($A156="","",IF($D156="", "", $L156*IFERROR(XLOOKUP(XLOOKUP('Job Control'!$B$3, INPUT_JobSettings!$A:$A, INPUT_JobSettings!$B:$B, ""), Constants!$A:$A, Constants!$D:$D, 0),0) + $M156*IFERROR(XLOOKUP(XLOOKUP('Job Control'!$B$3, INPUT_JobSettings!$A:$A, INPUT_JobSettings!$E:$E, ""), Constants!$A:$A, Constants!$D:$D, 0),0))))</f>
        <v/>
      </c>
      <c r="O156">
        <f>IF($A156="","", SUM($H156:$K156))</f>
        <v/>
      </c>
      <c r="P156">
        <f>IF($A156="","", $O156/60)</f>
        <v/>
      </c>
      <c r="Q156">
        <f>IF($A156="","", $P156*IFERROR(IF(XLOOKUP('Job Control'!$B$3, INPUT_JobSettings!$A:$A, INPUT_JobSettings!$F:$F, "")&lt;&gt;"", XLOOKUP('Job Control'!$B$3, INPUT_JobSettings!$A:$A, INPUT_JobSettings!$F:$F, ""), $B$6), $B$6))</f>
        <v/>
      </c>
      <c r="R156">
        <f>IF($A156="","", ($Q156+$N156)*IFERROR(IF(XLOOKUP('Job Control'!$B$3, INPUT_JobSettings!$A:$A, INPUT_JobSettings!$G:$G, "")&lt;&gt;"", XLOOKUP('Job Control'!$B$3, INPUT_JobSettings!$A:$A, INPUT_JobSettings!$G:$G, ""), $B$7), $B$7))</f>
        <v/>
      </c>
      <c r="S156">
        <f>IF($A156="","", XLOOKUP($A156, INPUT_Rooms!$B:$B, INPUT_Rooms!$AH:$AH, ""))</f>
        <v/>
      </c>
    </row>
    <row r="157">
      <c r="L157">
        <f>IF($A157="","",IF($D157="", "", CEILING( ($D157*$F157) / IFERROR(XLOOKUP(XLOOKUP('Job Control'!$B$3, INPUT_JobSettings!$A:$A, INPUT_JobSettings!$B:$B, ""), Constants!$A:$A, Constants!$E:$E, ""),""), 0.25))))</f>
        <v/>
      </c>
      <c r="M157">
        <f>IF($A157="","",IF($E157="None",0,IF($D157="", "", CEILING( ($D157*IF($E157="Full",1, XLOOKUP("PrimerSpotFactor",Constants!$A$20:$A$40,Constants!$B$20:$B$40))) / IFERROR(XLOOKUP(XLOOKUP('Job Control'!$B$3, INPUT_JobSettings!$A:$A, INPUT_JobSettings!$E:$E, ""), Constants!$A:$A, Constants!$E:$E, ""),""), 0.25)))))</f>
        <v/>
      </c>
      <c r="N157">
        <f>IF($A157="","",IF($D157="", "", $L157*IFERROR(XLOOKUP(XLOOKUP('Job Control'!$B$3, INPUT_JobSettings!$A:$A, INPUT_JobSettings!$B:$B, ""), Constants!$A:$A, Constants!$D:$D, 0),0) + $M157*IFERROR(XLOOKUP(XLOOKUP('Job Control'!$B$3, INPUT_JobSettings!$A:$A, INPUT_JobSettings!$E:$E, ""), Constants!$A:$A, Constants!$D:$D, 0),0))))</f>
        <v/>
      </c>
      <c r="O157">
        <f>IF($A157="","", SUM($H157:$K157))</f>
        <v/>
      </c>
      <c r="P157">
        <f>IF($A157="","", $O157/60)</f>
        <v/>
      </c>
      <c r="Q157">
        <f>IF($A157="","", $P157*IFERROR(IF(XLOOKUP('Job Control'!$B$3, INPUT_JobSettings!$A:$A, INPUT_JobSettings!$F:$F, "")&lt;&gt;"", XLOOKUP('Job Control'!$B$3, INPUT_JobSettings!$A:$A, INPUT_JobSettings!$F:$F, ""), $B$6), $B$6))</f>
        <v/>
      </c>
      <c r="R157">
        <f>IF($A157="","", ($Q157+$N157)*IFERROR(IF(XLOOKUP('Job Control'!$B$3, INPUT_JobSettings!$A:$A, INPUT_JobSettings!$G:$G, "")&lt;&gt;"", XLOOKUP('Job Control'!$B$3, INPUT_JobSettings!$A:$A, INPUT_JobSettings!$G:$G, ""), $B$7), $B$7))</f>
        <v/>
      </c>
      <c r="S157">
        <f>IF($A157="","", XLOOKUP($A157, INPUT_Rooms!$B:$B, INPUT_Rooms!$AH:$AH, ""))</f>
        <v/>
      </c>
    </row>
    <row r="158">
      <c r="L158">
        <f>IF($A158="","",IF($D158="", "", CEILING( ($D158*$F158) / IFERROR(XLOOKUP(XLOOKUP('Job Control'!$B$3, INPUT_JobSettings!$A:$A, INPUT_JobSettings!$B:$B, ""), Constants!$A:$A, Constants!$E:$E, ""),""), 0.25))))</f>
        <v/>
      </c>
      <c r="M158">
        <f>IF($A158="","",IF($E158="None",0,IF($D158="", "", CEILING( ($D158*IF($E158="Full",1, XLOOKUP("PrimerSpotFactor",Constants!$A$20:$A$40,Constants!$B$20:$B$40))) / IFERROR(XLOOKUP(XLOOKUP('Job Control'!$B$3, INPUT_JobSettings!$A:$A, INPUT_JobSettings!$E:$E, ""), Constants!$A:$A, Constants!$E:$E, ""),""), 0.25)))))</f>
        <v/>
      </c>
      <c r="N158">
        <f>IF($A158="","",IF($D158="", "", $L158*IFERROR(XLOOKUP(XLOOKUP('Job Control'!$B$3, INPUT_JobSettings!$A:$A, INPUT_JobSettings!$B:$B, ""), Constants!$A:$A, Constants!$D:$D, 0),0) + $M158*IFERROR(XLOOKUP(XLOOKUP('Job Control'!$B$3, INPUT_JobSettings!$A:$A, INPUT_JobSettings!$E:$E, ""), Constants!$A:$A, Constants!$D:$D, 0),0))))</f>
        <v/>
      </c>
      <c r="O158">
        <f>IF($A158="","", SUM($H158:$K158))</f>
        <v/>
      </c>
      <c r="P158">
        <f>IF($A158="","", $O158/60)</f>
        <v/>
      </c>
      <c r="Q158">
        <f>IF($A158="","", $P158*IFERROR(IF(XLOOKUP('Job Control'!$B$3, INPUT_JobSettings!$A:$A, INPUT_JobSettings!$F:$F, "")&lt;&gt;"", XLOOKUP('Job Control'!$B$3, INPUT_JobSettings!$A:$A, INPUT_JobSettings!$F:$F, ""), $B$6), $B$6))</f>
        <v/>
      </c>
      <c r="R158">
        <f>IF($A158="","", ($Q158+$N158)*IFERROR(IF(XLOOKUP('Job Control'!$B$3, INPUT_JobSettings!$A:$A, INPUT_JobSettings!$G:$G, "")&lt;&gt;"", XLOOKUP('Job Control'!$B$3, INPUT_JobSettings!$A:$A, INPUT_JobSettings!$G:$G, ""), $B$7), $B$7))</f>
        <v/>
      </c>
      <c r="S158">
        <f>IF($A158="","", XLOOKUP($A158, INPUT_Rooms!$B:$B, INPUT_Rooms!$AH:$AH, ""))</f>
        <v/>
      </c>
    </row>
    <row r="159">
      <c r="L159">
        <f>IF($A159="","",IF($D159="", "", CEILING( ($D159*$F159) / IFERROR(XLOOKUP(XLOOKUP('Job Control'!$B$3, INPUT_JobSettings!$A:$A, INPUT_JobSettings!$B:$B, ""), Constants!$A:$A, Constants!$E:$E, ""),""), 0.25))))</f>
        <v/>
      </c>
      <c r="M159">
        <f>IF($A159="","",IF($E159="None",0,IF($D159="", "", CEILING( ($D159*IF($E159="Full",1, XLOOKUP("PrimerSpotFactor",Constants!$A$20:$A$40,Constants!$B$20:$B$40))) / IFERROR(XLOOKUP(XLOOKUP('Job Control'!$B$3, INPUT_JobSettings!$A:$A, INPUT_JobSettings!$E:$E, ""), Constants!$A:$A, Constants!$E:$E, ""),""), 0.25)))))</f>
        <v/>
      </c>
      <c r="N159">
        <f>IF($A159="","",IF($D159="", "", $L159*IFERROR(XLOOKUP(XLOOKUP('Job Control'!$B$3, INPUT_JobSettings!$A:$A, INPUT_JobSettings!$B:$B, ""), Constants!$A:$A, Constants!$D:$D, 0),0) + $M159*IFERROR(XLOOKUP(XLOOKUP('Job Control'!$B$3, INPUT_JobSettings!$A:$A, INPUT_JobSettings!$E:$E, ""), Constants!$A:$A, Constants!$D:$D, 0),0))))</f>
        <v/>
      </c>
      <c r="O159">
        <f>IF($A159="","", SUM($H159:$K159))</f>
        <v/>
      </c>
      <c r="P159">
        <f>IF($A159="","", $O159/60)</f>
        <v/>
      </c>
      <c r="Q159">
        <f>IF($A159="","", $P159*IFERROR(IF(XLOOKUP('Job Control'!$B$3, INPUT_JobSettings!$A:$A, INPUT_JobSettings!$F:$F, "")&lt;&gt;"", XLOOKUP('Job Control'!$B$3, INPUT_JobSettings!$A:$A, INPUT_JobSettings!$F:$F, ""), $B$6), $B$6))</f>
        <v/>
      </c>
      <c r="R159">
        <f>IF($A159="","", ($Q159+$N159)*IFERROR(IF(XLOOKUP('Job Control'!$B$3, INPUT_JobSettings!$A:$A, INPUT_JobSettings!$G:$G, "")&lt;&gt;"", XLOOKUP('Job Control'!$B$3, INPUT_JobSettings!$A:$A, INPUT_JobSettings!$G:$G, ""), $B$7), $B$7))</f>
        <v/>
      </c>
      <c r="S159">
        <f>IF($A159="","", XLOOKUP($A159, INPUT_Rooms!$B:$B, INPUT_Rooms!$AH:$AH, ""))</f>
        <v/>
      </c>
    </row>
    <row r="160">
      <c r="L160">
        <f>IF($A160="","",IF($D160="", "", CEILING( ($D160*$F160) / IFERROR(XLOOKUP(XLOOKUP('Job Control'!$B$3, INPUT_JobSettings!$A:$A, INPUT_JobSettings!$B:$B, ""), Constants!$A:$A, Constants!$E:$E, ""),""), 0.25))))</f>
        <v/>
      </c>
      <c r="M160">
        <f>IF($A160="","",IF($E160="None",0,IF($D160="", "", CEILING( ($D160*IF($E160="Full",1, XLOOKUP("PrimerSpotFactor",Constants!$A$20:$A$40,Constants!$B$20:$B$40))) / IFERROR(XLOOKUP(XLOOKUP('Job Control'!$B$3, INPUT_JobSettings!$A:$A, INPUT_JobSettings!$E:$E, ""), Constants!$A:$A, Constants!$E:$E, ""),""), 0.25)))))</f>
        <v/>
      </c>
      <c r="N160">
        <f>IF($A160="","",IF($D160="", "", $L160*IFERROR(XLOOKUP(XLOOKUP('Job Control'!$B$3, INPUT_JobSettings!$A:$A, INPUT_JobSettings!$B:$B, ""), Constants!$A:$A, Constants!$D:$D, 0),0) + $M160*IFERROR(XLOOKUP(XLOOKUP('Job Control'!$B$3, INPUT_JobSettings!$A:$A, INPUT_JobSettings!$E:$E, ""), Constants!$A:$A, Constants!$D:$D, 0),0))))</f>
        <v/>
      </c>
      <c r="O160">
        <f>IF($A160="","", SUM($H160:$K160))</f>
        <v/>
      </c>
      <c r="P160">
        <f>IF($A160="","", $O160/60)</f>
        <v/>
      </c>
      <c r="Q160">
        <f>IF($A160="","", $P160*IFERROR(IF(XLOOKUP('Job Control'!$B$3, INPUT_JobSettings!$A:$A, INPUT_JobSettings!$F:$F, "")&lt;&gt;"", XLOOKUP('Job Control'!$B$3, INPUT_JobSettings!$A:$A, INPUT_JobSettings!$F:$F, ""), $B$6), $B$6))</f>
        <v/>
      </c>
      <c r="R160">
        <f>IF($A160="","", ($Q160+$N160)*IFERROR(IF(XLOOKUP('Job Control'!$B$3, INPUT_JobSettings!$A:$A, INPUT_JobSettings!$G:$G, "")&lt;&gt;"", XLOOKUP('Job Control'!$B$3, INPUT_JobSettings!$A:$A, INPUT_JobSettings!$G:$G, ""), $B$7), $B$7))</f>
        <v/>
      </c>
      <c r="S160">
        <f>IF($A160="","", XLOOKUP($A160, INPUT_Rooms!$B:$B, INPUT_Rooms!$AH:$AH, ""))</f>
        <v/>
      </c>
    </row>
    <row r="161">
      <c r="L161">
        <f>IF($A161="","",IF($D161="", "", CEILING( ($D161*$F161) / IFERROR(XLOOKUP(XLOOKUP('Job Control'!$B$3, INPUT_JobSettings!$A:$A, INPUT_JobSettings!$B:$B, ""), Constants!$A:$A, Constants!$E:$E, ""),""), 0.25))))</f>
        <v/>
      </c>
      <c r="M161">
        <f>IF($A161="","",IF($E161="None",0,IF($D161="", "", CEILING( ($D161*IF($E161="Full",1, XLOOKUP("PrimerSpotFactor",Constants!$A$20:$A$40,Constants!$B$20:$B$40))) / IFERROR(XLOOKUP(XLOOKUP('Job Control'!$B$3, INPUT_JobSettings!$A:$A, INPUT_JobSettings!$E:$E, ""), Constants!$A:$A, Constants!$E:$E, ""),""), 0.25)))))</f>
        <v/>
      </c>
      <c r="N161">
        <f>IF($A161="","",IF($D161="", "", $L161*IFERROR(XLOOKUP(XLOOKUP('Job Control'!$B$3, INPUT_JobSettings!$A:$A, INPUT_JobSettings!$B:$B, ""), Constants!$A:$A, Constants!$D:$D, 0),0) + $M161*IFERROR(XLOOKUP(XLOOKUP('Job Control'!$B$3, INPUT_JobSettings!$A:$A, INPUT_JobSettings!$E:$E, ""), Constants!$A:$A, Constants!$D:$D, 0),0))))</f>
        <v/>
      </c>
      <c r="O161">
        <f>IF($A161="","", SUM($H161:$K161))</f>
        <v/>
      </c>
      <c r="P161">
        <f>IF($A161="","", $O161/60)</f>
        <v/>
      </c>
      <c r="Q161">
        <f>IF($A161="","", $P161*IFERROR(IF(XLOOKUP('Job Control'!$B$3, INPUT_JobSettings!$A:$A, INPUT_JobSettings!$F:$F, "")&lt;&gt;"", XLOOKUP('Job Control'!$B$3, INPUT_JobSettings!$A:$A, INPUT_JobSettings!$F:$F, ""), $B$6), $B$6))</f>
        <v/>
      </c>
      <c r="R161">
        <f>IF($A161="","", ($Q161+$N161)*IFERROR(IF(XLOOKUP('Job Control'!$B$3, INPUT_JobSettings!$A:$A, INPUT_JobSettings!$G:$G, "")&lt;&gt;"", XLOOKUP('Job Control'!$B$3, INPUT_JobSettings!$A:$A, INPUT_JobSettings!$G:$G, ""), $B$7), $B$7))</f>
        <v/>
      </c>
      <c r="S161">
        <f>IF($A161="","", XLOOKUP($A161, INPUT_Rooms!$B:$B, INPUT_Rooms!$AH:$AH, ""))</f>
        <v/>
      </c>
    </row>
    <row r="162">
      <c r="L162">
        <f>IF($A162="","",IF($D162="", "", CEILING( ($D162*$F162) / IFERROR(XLOOKUP(XLOOKUP('Job Control'!$B$3, INPUT_JobSettings!$A:$A, INPUT_JobSettings!$B:$B, ""), Constants!$A:$A, Constants!$E:$E, ""),""), 0.25))))</f>
        <v/>
      </c>
      <c r="M162">
        <f>IF($A162="","",IF($E162="None",0,IF($D162="", "", CEILING( ($D162*IF($E162="Full",1, XLOOKUP("PrimerSpotFactor",Constants!$A$20:$A$40,Constants!$B$20:$B$40))) / IFERROR(XLOOKUP(XLOOKUP('Job Control'!$B$3, INPUT_JobSettings!$A:$A, INPUT_JobSettings!$E:$E, ""), Constants!$A:$A, Constants!$E:$E, ""),""), 0.25)))))</f>
        <v/>
      </c>
      <c r="N162">
        <f>IF($A162="","",IF($D162="", "", $L162*IFERROR(XLOOKUP(XLOOKUP('Job Control'!$B$3, INPUT_JobSettings!$A:$A, INPUT_JobSettings!$B:$B, ""), Constants!$A:$A, Constants!$D:$D, 0),0) + $M162*IFERROR(XLOOKUP(XLOOKUP('Job Control'!$B$3, INPUT_JobSettings!$A:$A, INPUT_JobSettings!$E:$E, ""), Constants!$A:$A, Constants!$D:$D, 0),0))))</f>
        <v/>
      </c>
      <c r="O162">
        <f>IF($A162="","", SUM($H162:$K162))</f>
        <v/>
      </c>
      <c r="P162">
        <f>IF($A162="","", $O162/60)</f>
        <v/>
      </c>
      <c r="Q162">
        <f>IF($A162="","", $P162*IFERROR(IF(XLOOKUP('Job Control'!$B$3, INPUT_JobSettings!$A:$A, INPUT_JobSettings!$F:$F, "")&lt;&gt;"", XLOOKUP('Job Control'!$B$3, INPUT_JobSettings!$A:$A, INPUT_JobSettings!$F:$F, ""), $B$6), $B$6))</f>
        <v/>
      </c>
      <c r="R162">
        <f>IF($A162="","", ($Q162+$N162)*IFERROR(IF(XLOOKUP('Job Control'!$B$3, INPUT_JobSettings!$A:$A, INPUT_JobSettings!$G:$G, "")&lt;&gt;"", XLOOKUP('Job Control'!$B$3, INPUT_JobSettings!$A:$A, INPUT_JobSettings!$G:$G, ""), $B$7), $B$7))</f>
        <v/>
      </c>
      <c r="S162">
        <f>IF($A162="","", XLOOKUP($A162, INPUT_Rooms!$B:$B, INPUT_Rooms!$AH:$AH, ""))</f>
        <v/>
      </c>
    </row>
    <row r="163">
      <c r="L163">
        <f>IF($A163="","",IF($D163="", "", CEILING( ($D163*$F163) / IFERROR(XLOOKUP(XLOOKUP('Job Control'!$B$3, INPUT_JobSettings!$A:$A, INPUT_JobSettings!$B:$B, ""), Constants!$A:$A, Constants!$E:$E, ""),""), 0.25))))</f>
        <v/>
      </c>
      <c r="M163">
        <f>IF($A163="","",IF($E163="None",0,IF($D163="", "", CEILING( ($D163*IF($E163="Full",1, XLOOKUP("PrimerSpotFactor",Constants!$A$20:$A$40,Constants!$B$20:$B$40))) / IFERROR(XLOOKUP(XLOOKUP('Job Control'!$B$3, INPUT_JobSettings!$A:$A, INPUT_JobSettings!$E:$E, ""), Constants!$A:$A, Constants!$E:$E, ""),""), 0.25)))))</f>
        <v/>
      </c>
      <c r="N163">
        <f>IF($A163="","",IF($D163="", "", $L163*IFERROR(XLOOKUP(XLOOKUP('Job Control'!$B$3, INPUT_JobSettings!$A:$A, INPUT_JobSettings!$B:$B, ""), Constants!$A:$A, Constants!$D:$D, 0),0) + $M163*IFERROR(XLOOKUP(XLOOKUP('Job Control'!$B$3, INPUT_JobSettings!$A:$A, INPUT_JobSettings!$E:$E, ""), Constants!$A:$A, Constants!$D:$D, 0),0))))</f>
        <v/>
      </c>
      <c r="O163">
        <f>IF($A163="","", SUM($H163:$K163))</f>
        <v/>
      </c>
      <c r="P163">
        <f>IF($A163="","", $O163/60)</f>
        <v/>
      </c>
      <c r="Q163">
        <f>IF($A163="","", $P163*IFERROR(IF(XLOOKUP('Job Control'!$B$3, INPUT_JobSettings!$A:$A, INPUT_JobSettings!$F:$F, "")&lt;&gt;"", XLOOKUP('Job Control'!$B$3, INPUT_JobSettings!$A:$A, INPUT_JobSettings!$F:$F, ""), $B$6), $B$6))</f>
        <v/>
      </c>
      <c r="R163">
        <f>IF($A163="","", ($Q163+$N163)*IFERROR(IF(XLOOKUP('Job Control'!$B$3, INPUT_JobSettings!$A:$A, INPUT_JobSettings!$G:$G, "")&lt;&gt;"", XLOOKUP('Job Control'!$B$3, INPUT_JobSettings!$A:$A, INPUT_JobSettings!$G:$G, ""), $B$7), $B$7))</f>
        <v/>
      </c>
      <c r="S163">
        <f>IF($A163="","", XLOOKUP($A163, INPUT_Rooms!$B:$B, INPUT_Rooms!$AH:$AH, ""))</f>
        <v/>
      </c>
    </row>
    <row r="164">
      <c r="L164">
        <f>IF($A164="","",IF($D164="", "", CEILING( ($D164*$F164) / IFERROR(XLOOKUP(XLOOKUP('Job Control'!$B$3, INPUT_JobSettings!$A:$A, INPUT_JobSettings!$B:$B, ""), Constants!$A:$A, Constants!$E:$E, ""),""), 0.25))))</f>
        <v/>
      </c>
      <c r="M164">
        <f>IF($A164="","",IF($E164="None",0,IF($D164="", "", CEILING( ($D164*IF($E164="Full",1, XLOOKUP("PrimerSpotFactor",Constants!$A$20:$A$40,Constants!$B$20:$B$40))) / IFERROR(XLOOKUP(XLOOKUP('Job Control'!$B$3, INPUT_JobSettings!$A:$A, INPUT_JobSettings!$E:$E, ""), Constants!$A:$A, Constants!$E:$E, ""),""), 0.25)))))</f>
        <v/>
      </c>
      <c r="N164">
        <f>IF($A164="","",IF($D164="", "", $L164*IFERROR(XLOOKUP(XLOOKUP('Job Control'!$B$3, INPUT_JobSettings!$A:$A, INPUT_JobSettings!$B:$B, ""), Constants!$A:$A, Constants!$D:$D, 0),0) + $M164*IFERROR(XLOOKUP(XLOOKUP('Job Control'!$B$3, INPUT_JobSettings!$A:$A, INPUT_JobSettings!$E:$E, ""), Constants!$A:$A, Constants!$D:$D, 0),0))))</f>
        <v/>
      </c>
      <c r="O164">
        <f>IF($A164="","", SUM($H164:$K164))</f>
        <v/>
      </c>
      <c r="P164">
        <f>IF($A164="","", $O164/60)</f>
        <v/>
      </c>
      <c r="Q164">
        <f>IF($A164="","", $P164*IFERROR(IF(XLOOKUP('Job Control'!$B$3, INPUT_JobSettings!$A:$A, INPUT_JobSettings!$F:$F, "")&lt;&gt;"", XLOOKUP('Job Control'!$B$3, INPUT_JobSettings!$A:$A, INPUT_JobSettings!$F:$F, ""), $B$6), $B$6))</f>
        <v/>
      </c>
      <c r="R164">
        <f>IF($A164="","", ($Q164+$N164)*IFERROR(IF(XLOOKUP('Job Control'!$B$3, INPUT_JobSettings!$A:$A, INPUT_JobSettings!$G:$G, "")&lt;&gt;"", XLOOKUP('Job Control'!$B$3, INPUT_JobSettings!$A:$A, INPUT_JobSettings!$G:$G, ""), $B$7), $B$7))</f>
        <v/>
      </c>
      <c r="S164">
        <f>IF($A164="","", XLOOKUP($A164, INPUT_Rooms!$B:$B, INPUT_Rooms!$AH:$AH, ""))</f>
        <v/>
      </c>
    </row>
    <row r="165">
      <c r="L165">
        <f>IF($A165="","",IF($D165="", "", CEILING( ($D165*$F165) / IFERROR(XLOOKUP(XLOOKUP('Job Control'!$B$3, INPUT_JobSettings!$A:$A, INPUT_JobSettings!$B:$B, ""), Constants!$A:$A, Constants!$E:$E, ""),""), 0.25))))</f>
        <v/>
      </c>
      <c r="M165">
        <f>IF($A165="","",IF($E165="None",0,IF($D165="", "", CEILING( ($D165*IF($E165="Full",1, XLOOKUP("PrimerSpotFactor",Constants!$A$20:$A$40,Constants!$B$20:$B$40))) / IFERROR(XLOOKUP(XLOOKUP('Job Control'!$B$3, INPUT_JobSettings!$A:$A, INPUT_JobSettings!$E:$E, ""), Constants!$A:$A, Constants!$E:$E, ""),""), 0.25)))))</f>
        <v/>
      </c>
      <c r="N165">
        <f>IF($A165="","",IF($D165="", "", $L165*IFERROR(XLOOKUP(XLOOKUP('Job Control'!$B$3, INPUT_JobSettings!$A:$A, INPUT_JobSettings!$B:$B, ""), Constants!$A:$A, Constants!$D:$D, 0),0) + $M165*IFERROR(XLOOKUP(XLOOKUP('Job Control'!$B$3, INPUT_JobSettings!$A:$A, INPUT_JobSettings!$E:$E, ""), Constants!$A:$A, Constants!$D:$D, 0),0))))</f>
        <v/>
      </c>
      <c r="O165">
        <f>IF($A165="","", SUM($H165:$K165))</f>
        <v/>
      </c>
      <c r="P165">
        <f>IF($A165="","", $O165/60)</f>
        <v/>
      </c>
      <c r="Q165">
        <f>IF($A165="","", $P165*IFERROR(IF(XLOOKUP('Job Control'!$B$3, INPUT_JobSettings!$A:$A, INPUT_JobSettings!$F:$F, "")&lt;&gt;"", XLOOKUP('Job Control'!$B$3, INPUT_JobSettings!$A:$A, INPUT_JobSettings!$F:$F, ""), $B$6), $B$6))</f>
        <v/>
      </c>
      <c r="R165">
        <f>IF($A165="","", ($Q165+$N165)*IFERROR(IF(XLOOKUP('Job Control'!$B$3, INPUT_JobSettings!$A:$A, INPUT_JobSettings!$G:$G, "")&lt;&gt;"", XLOOKUP('Job Control'!$B$3, INPUT_JobSettings!$A:$A, INPUT_JobSettings!$G:$G, ""), $B$7), $B$7))</f>
        <v/>
      </c>
      <c r="S165">
        <f>IF($A165="","", XLOOKUP($A165, INPUT_Rooms!$B:$B, INPUT_Rooms!$AH:$AH, ""))</f>
        <v/>
      </c>
    </row>
    <row r="166">
      <c r="L166">
        <f>IF($A166="","",IF($D166="", "", CEILING( ($D166*$F166) / IFERROR(XLOOKUP(XLOOKUP('Job Control'!$B$3, INPUT_JobSettings!$A:$A, INPUT_JobSettings!$B:$B, ""), Constants!$A:$A, Constants!$E:$E, ""),""), 0.25))))</f>
        <v/>
      </c>
      <c r="M166">
        <f>IF($A166="","",IF($E166="None",0,IF($D166="", "", CEILING( ($D166*IF($E166="Full",1, XLOOKUP("PrimerSpotFactor",Constants!$A$20:$A$40,Constants!$B$20:$B$40))) / IFERROR(XLOOKUP(XLOOKUP('Job Control'!$B$3, INPUT_JobSettings!$A:$A, INPUT_JobSettings!$E:$E, ""), Constants!$A:$A, Constants!$E:$E, ""),""), 0.25)))))</f>
        <v/>
      </c>
      <c r="N166">
        <f>IF($A166="","",IF($D166="", "", $L166*IFERROR(XLOOKUP(XLOOKUP('Job Control'!$B$3, INPUT_JobSettings!$A:$A, INPUT_JobSettings!$B:$B, ""), Constants!$A:$A, Constants!$D:$D, 0),0) + $M166*IFERROR(XLOOKUP(XLOOKUP('Job Control'!$B$3, INPUT_JobSettings!$A:$A, INPUT_JobSettings!$E:$E, ""), Constants!$A:$A, Constants!$D:$D, 0),0))))</f>
        <v/>
      </c>
      <c r="O166">
        <f>IF($A166="","", SUM($H166:$K166))</f>
        <v/>
      </c>
      <c r="P166">
        <f>IF($A166="","", $O166/60)</f>
        <v/>
      </c>
      <c r="Q166">
        <f>IF($A166="","", $P166*IFERROR(IF(XLOOKUP('Job Control'!$B$3, INPUT_JobSettings!$A:$A, INPUT_JobSettings!$F:$F, "")&lt;&gt;"", XLOOKUP('Job Control'!$B$3, INPUT_JobSettings!$A:$A, INPUT_JobSettings!$F:$F, ""), $B$6), $B$6))</f>
        <v/>
      </c>
      <c r="R166">
        <f>IF($A166="","", ($Q166+$N166)*IFERROR(IF(XLOOKUP('Job Control'!$B$3, INPUT_JobSettings!$A:$A, INPUT_JobSettings!$G:$G, "")&lt;&gt;"", XLOOKUP('Job Control'!$B$3, INPUT_JobSettings!$A:$A, INPUT_JobSettings!$G:$G, ""), $B$7), $B$7))</f>
        <v/>
      </c>
      <c r="S166">
        <f>IF($A166="","", XLOOKUP($A166, INPUT_Rooms!$B:$B, INPUT_Rooms!$AH:$AH, ""))</f>
        <v/>
      </c>
    </row>
    <row r="167">
      <c r="L167">
        <f>IF($A167="","",IF($D167="", "", CEILING( ($D167*$F167) / IFERROR(XLOOKUP(XLOOKUP('Job Control'!$B$3, INPUT_JobSettings!$A:$A, INPUT_JobSettings!$B:$B, ""), Constants!$A:$A, Constants!$E:$E, ""),""), 0.25))))</f>
        <v/>
      </c>
      <c r="M167">
        <f>IF($A167="","",IF($E167="None",0,IF($D167="", "", CEILING( ($D167*IF($E167="Full",1, XLOOKUP("PrimerSpotFactor",Constants!$A$20:$A$40,Constants!$B$20:$B$40))) / IFERROR(XLOOKUP(XLOOKUP('Job Control'!$B$3, INPUT_JobSettings!$A:$A, INPUT_JobSettings!$E:$E, ""), Constants!$A:$A, Constants!$E:$E, ""),""), 0.25)))))</f>
        <v/>
      </c>
      <c r="N167">
        <f>IF($A167="","",IF($D167="", "", $L167*IFERROR(XLOOKUP(XLOOKUP('Job Control'!$B$3, INPUT_JobSettings!$A:$A, INPUT_JobSettings!$B:$B, ""), Constants!$A:$A, Constants!$D:$D, 0),0) + $M167*IFERROR(XLOOKUP(XLOOKUP('Job Control'!$B$3, INPUT_JobSettings!$A:$A, INPUT_JobSettings!$E:$E, ""), Constants!$A:$A, Constants!$D:$D, 0),0))))</f>
        <v/>
      </c>
      <c r="O167">
        <f>IF($A167="","", SUM($H167:$K167))</f>
        <v/>
      </c>
      <c r="P167">
        <f>IF($A167="","", $O167/60)</f>
        <v/>
      </c>
      <c r="Q167">
        <f>IF($A167="","", $P167*IFERROR(IF(XLOOKUP('Job Control'!$B$3, INPUT_JobSettings!$A:$A, INPUT_JobSettings!$F:$F, "")&lt;&gt;"", XLOOKUP('Job Control'!$B$3, INPUT_JobSettings!$A:$A, INPUT_JobSettings!$F:$F, ""), $B$6), $B$6))</f>
        <v/>
      </c>
      <c r="R167">
        <f>IF($A167="","", ($Q167+$N167)*IFERROR(IF(XLOOKUP('Job Control'!$B$3, INPUT_JobSettings!$A:$A, INPUT_JobSettings!$G:$G, "")&lt;&gt;"", XLOOKUP('Job Control'!$B$3, INPUT_JobSettings!$A:$A, INPUT_JobSettings!$G:$G, ""), $B$7), $B$7))</f>
        <v/>
      </c>
      <c r="S167">
        <f>IF($A167="","", XLOOKUP($A167, INPUT_Rooms!$B:$B, INPUT_Rooms!$AH:$AH, ""))</f>
        <v/>
      </c>
    </row>
    <row r="168">
      <c r="L168">
        <f>IF($A168="","",IF($D168="", "", CEILING( ($D168*$F168) / IFERROR(XLOOKUP(XLOOKUP('Job Control'!$B$3, INPUT_JobSettings!$A:$A, INPUT_JobSettings!$B:$B, ""), Constants!$A:$A, Constants!$E:$E, ""),""), 0.25))))</f>
        <v/>
      </c>
      <c r="M168">
        <f>IF($A168="","",IF($E168="None",0,IF($D168="", "", CEILING( ($D168*IF($E168="Full",1, XLOOKUP("PrimerSpotFactor",Constants!$A$20:$A$40,Constants!$B$20:$B$40))) / IFERROR(XLOOKUP(XLOOKUP('Job Control'!$B$3, INPUT_JobSettings!$A:$A, INPUT_JobSettings!$E:$E, ""), Constants!$A:$A, Constants!$E:$E, ""),""), 0.25)))))</f>
        <v/>
      </c>
      <c r="N168">
        <f>IF($A168="","",IF($D168="", "", $L168*IFERROR(XLOOKUP(XLOOKUP('Job Control'!$B$3, INPUT_JobSettings!$A:$A, INPUT_JobSettings!$B:$B, ""), Constants!$A:$A, Constants!$D:$D, 0),0) + $M168*IFERROR(XLOOKUP(XLOOKUP('Job Control'!$B$3, INPUT_JobSettings!$A:$A, INPUT_JobSettings!$E:$E, ""), Constants!$A:$A, Constants!$D:$D, 0),0))))</f>
        <v/>
      </c>
      <c r="O168">
        <f>IF($A168="","", SUM($H168:$K168))</f>
        <v/>
      </c>
      <c r="P168">
        <f>IF($A168="","", $O168/60)</f>
        <v/>
      </c>
      <c r="Q168">
        <f>IF($A168="","", $P168*IFERROR(IF(XLOOKUP('Job Control'!$B$3, INPUT_JobSettings!$A:$A, INPUT_JobSettings!$F:$F, "")&lt;&gt;"", XLOOKUP('Job Control'!$B$3, INPUT_JobSettings!$A:$A, INPUT_JobSettings!$F:$F, ""), $B$6), $B$6))</f>
        <v/>
      </c>
      <c r="R168">
        <f>IF($A168="","", ($Q168+$N168)*IFERROR(IF(XLOOKUP('Job Control'!$B$3, INPUT_JobSettings!$A:$A, INPUT_JobSettings!$G:$G, "")&lt;&gt;"", XLOOKUP('Job Control'!$B$3, INPUT_JobSettings!$A:$A, INPUT_JobSettings!$G:$G, ""), $B$7), $B$7))</f>
        <v/>
      </c>
      <c r="S168">
        <f>IF($A168="","", XLOOKUP($A168, INPUT_Rooms!$B:$B, INPUT_Rooms!$AH:$AH, ""))</f>
        <v/>
      </c>
    </row>
    <row r="169">
      <c r="L169">
        <f>IF($A169="","",IF($D169="", "", CEILING( ($D169*$F169) / IFERROR(XLOOKUP(XLOOKUP('Job Control'!$B$3, INPUT_JobSettings!$A:$A, INPUT_JobSettings!$B:$B, ""), Constants!$A:$A, Constants!$E:$E, ""),""), 0.25))))</f>
        <v/>
      </c>
      <c r="M169">
        <f>IF($A169="","",IF($E169="None",0,IF($D169="", "", CEILING( ($D169*IF($E169="Full",1, XLOOKUP("PrimerSpotFactor",Constants!$A$20:$A$40,Constants!$B$20:$B$40))) / IFERROR(XLOOKUP(XLOOKUP('Job Control'!$B$3, INPUT_JobSettings!$A:$A, INPUT_JobSettings!$E:$E, ""), Constants!$A:$A, Constants!$E:$E, ""),""), 0.25)))))</f>
        <v/>
      </c>
      <c r="N169">
        <f>IF($A169="","",IF($D169="", "", $L169*IFERROR(XLOOKUP(XLOOKUP('Job Control'!$B$3, INPUT_JobSettings!$A:$A, INPUT_JobSettings!$B:$B, ""), Constants!$A:$A, Constants!$D:$D, 0),0) + $M169*IFERROR(XLOOKUP(XLOOKUP('Job Control'!$B$3, INPUT_JobSettings!$A:$A, INPUT_JobSettings!$E:$E, ""), Constants!$A:$A, Constants!$D:$D, 0),0))))</f>
        <v/>
      </c>
      <c r="O169">
        <f>IF($A169="","", SUM($H169:$K169))</f>
        <v/>
      </c>
      <c r="P169">
        <f>IF($A169="","", $O169/60)</f>
        <v/>
      </c>
      <c r="Q169">
        <f>IF($A169="","", $P169*IFERROR(IF(XLOOKUP('Job Control'!$B$3, INPUT_JobSettings!$A:$A, INPUT_JobSettings!$F:$F, "")&lt;&gt;"", XLOOKUP('Job Control'!$B$3, INPUT_JobSettings!$A:$A, INPUT_JobSettings!$F:$F, ""), $B$6), $B$6))</f>
        <v/>
      </c>
      <c r="R169">
        <f>IF($A169="","", ($Q169+$N169)*IFERROR(IF(XLOOKUP('Job Control'!$B$3, INPUT_JobSettings!$A:$A, INPUT_JobSettings!$G:$G, "")&lt;&gt;"", XLOOKUP('Job Control'!$B$3, INPUT_JobSettings!$A:$A, INPUT_JobSettings!$G:$G, ""), $B$7), $B$7))</f>
        <v/>
      </c>
      <c r="S169">
        <f>IF($A169="","", XLOOKUP($A169, INPUT_Rooms!$B:$B, INPUT_Rooms!$AH:$AH, ""))</f>
        <v/>
      </c>
    </row>
    <row r="170">
      <c r="L170">
        <f>IF($A170="","",IF($D170="", "", CEILING( ($D170*$F170) / IFERROR(XLOOKUP(XLOOKUP('Job Control'!$B$3, INPUT_JobSettings!$A:$A, INPUT_JobSettings!$B:$B, ""), Constants!$A:$A, Constants!$E:$E, ""),""), 0.25))))</f>
        <v/>
      </c>
      <c r="M170">
        <f>IF($A170="","",IF($E170="None",0,IF($D170="", "", CEILING( ($D170*IF($E170="Full",1, XLOOKUP("PrimerSpotFactor",Constants!$A$20:$A$40,Constants!$B$20:$B$40))) / IFERROR(XLOOKUP(XLOOKUP('Job Control'!$B$3, INPUT_JobSettings!$A:$A, INPUT_JobSettings!$E:$E, ""), Constants!$A:$A, Constants!$E:$E, ""),""), 0.25)))))</f>
        <v/>
      </c>
      <c r="N170">
        <f>IF($A170="","",IF($D170="", "", $L170*IFERROR(XLOOKUP(XLOOKUP('Job Control'!$B$3, INPUT_JobSettings!$A:$A, INPUT_JobSettings!$B:$B, ""), Constants!$A:$A, Constants!$D:$D, 0),0) + $M170*IFERROR(XLOOKUP(XLOOKUP('Job Control'!$B$3, INPUT_JobSettings!$A:$A, INPUT_JobSettings!$E:$E, ""), Constants!$A:$A, Constants!$D:$D, 0),0))))</f>
        <v/>
      </c>
      <c r="O170">
        <f>IF($A170="","", SUM($H170:$K170))</f>
        <v/>
      </c>
      <c r="P170">
        <f>IF($A170="","", $O170/60)</f>
        <v/>
      </c>
      <c r="Q170">
        <f>IF($A170="","", $P170*IFERROR(IF(XLOOKUP('Job Control'!$B$3, INPUT_JobSettings!$A:$A, INPUT_JobSettings!$F:$F, "")&lt;&gt;"", XLOOKUP('Job Control'!$B$3, INPUT_JobSettings!$A:$A, INPUT_JobSettings!$F:$F, ""), $B$6), $B$6))</f>
        <v/>
      </c>
      <c r="R170">
        <f>IF($A170="","", ($Q170+$N170)*IFERROR(IF(XLOOKUP('Job Control'!$B$3, INPUT_JobSettings!$A:$A, INPUT_JobSettings!$G:$G, "")&lt;&gt;"", XLOOKUP('Job Control'!$B$3, INPUT_JobSettings!$A:$A, INPUT_JobSettings!$G:$G, ""), $B$7), $B$7))</f>
        <v/>
      </c>
      <c r="S170">
        <f>IF($A170="","", XLOOKUP($A170, INPUT_Rooms!$B:$B, INPUT_Rooms!$AH:$AH, ""))</f>
        <v/>
      </c>
    </row>
    <row r="171">
      <c r="L171">
        <f>IF($A171="","",IF($D171="", "", CEILING( ($D171*$F171) / IFERROR(XLOOKUP(XLOOKUP('Job Control'!$B$3, INPUT_JobSettings!$A:$A, INPUT_JobSettings!$B:$B, ""), Constants!$A:$A, Constants!$E:$E, ""),""), 0.25))))</f>
        <v/>
      </c>
      <c r="M171">
        <f>IF($A171="","",IF($E171="None",0,IF($D171="", "", CEILING( ($D171*IF($E171="Full",1, XLOOKUP("PrimerSpotFactor",Constants!$A$20:$A$40,Constants!$B$20:$B$40))) / IFERROR(XLOOKUP(XLOOKUP('Job Control'!$B$3, INPUT_JobSettings!$A:$A, INPUT_JobSettings!$E:$E, ""), Constants!$A:$A, Constants!$E:$E, ""),""), 0.25)))))</f>
        <v/>
      </c>
      <c r="N171">
        <f>IF($A171="","",IF($D171="", "", $L171*IFERROR(XLOOKUP(XLOOKUP('Job Control'!$B$3, INPUT_JobSettings!$A:$A, INPUT_JobSettings!$B:$B, ""), Constants!$A:$A, Constants!$D:$D, 0),0) + $M171*IFERROR(XLOOKUP(XLOOKUP('Job Control'!$B$3, INPUT_JobSettings!$A:$A, INPUT_JobSettings!$E:$E, ""), Constants!$A:$A, Constants!$D:$D, 0),0))))</f>
        <v/>
      </c>
      <c r="O171">
        <f>IF($A171="","", SUM($H171:$K171))</f>
        <v/>
      </c>
      <c r="P171">
        <f>IF($A171="","", $O171/60)</f>
        <v/>
      </c>
      <c r="Q171">
        <f>IF($A171="","", $P171*IFERROR(IF(XLOOKUP('Job Control'!$B$3, INPUT_JobSettings!$A:$A, INPUT_JobSettings!$F:$F, "")&lt;&gt;"", XLOOKUP('Job Control'!$B$3, INPUT_JobSettings!$A:$A, INPUT_JobSettings!$F:$F, ""), $B$6), $B$6))</f>
        <v/>
      </c>
      <c r="R171">
        <f>IF($A171="","", ($Q171+$N171)*IFERROR(IF(XLOOKUP('Job Control'!$B$3, INPUT_JobSettings!$A:$A, INPUT_JobSettings!$G:$G, "")&lt;&gt;"", XLOOKUP('Job Control'!$B$3, INPUT_JobSettings!$A:$A, INPUT_JobSettings!$G:$G, ""), $B$7), $B$7))</f>
        <v/>
      </c>
      <c r="S171">
        <f>IF($A171="","", XLOOKUP($A171, INPUT_Rooms!$B:$B, INPUT_Rooms!$AH:$AH, ""))</f>
        <v/>
      </c>
    </row>
    <row r="172">
      <c r="L172">
        <f>IF($A172="","",IF($D172="", "", CEILING( ($D172*$F172) / IFERROR(XLOOKUP(XLOOKUP('Job Control'!$B$3, INPUT_JobSettings!$A:$A, INPUT_JobSettings!$B:$B, ""), Constants!$A:$A, Constants!$E:$E, ""),""), 0.25))))</f>
        <v/>
      </c>
      <c r="M172">
        <f>IF($A172="","",IF($E172="None",0,IF($D172="", "", CEILING( ($D172*IF($E172="Full",1, XLOOKUP("PrimerSpotFactor",Constants!$A$20:$A$40,Constants!$B$20:$B$40))) / IFERROR(XLOOKUP(XLOOKUP('Job Control'!$B$3, INPUT_JobSettings!$A:$A, INPUT_JobSettings!$E:$E, ""), Constants!$A:$A, Constants!$E:$E, ""),""), 0.25)))))</f>
        <v/>
      </c>
      <c r="N172">
        <f>IF($A172="","",IF($D172="", "", $L172*IFERROR(XLOOKUP(XLOOKUP('Job Control'!$B$3, INPUT_JobSettings!$A:$A, INPUT_JobSettings!$B:$B, ""), Constants!$A:$A, Constants!$D:$D, 0),0) + $M172*IFERROR(XLOOKUP(XLOOKUP('Job Control'!$B$3, INPUT_JobSettings!$A:$A, INPUT_JobSettings!$E:$E, ""), Constants!$A:$A, Constants!$D:$D, 0),0))))</f>
        <v/>
      </c>
      <c r="O172">
        <f>IF($A172="","", SUM($H172:$K172))</f>
        <v/>
      </c>
      <c r="P172">
        <f>IF($A172="","", $O172/60)</f>
        <v/>
      </c>
      <c r="Q172">
        <f>IF($A172="","", $P172*IFERROR(IF(XLOOKUP('Job Control'!$B$3, INPUT_JobSettings!$A:$A, INPUT_JobSettings!$F:$F, "")&lt;&gt;"", XLOOKUP('Job Control'!$B$3, INPUT_JobSettings!$A:$A, INPUT_JobSettings!$F:$F, ""), $B$6), $B$6))</f>
        <v/>
      </c>
      <c r="R172">
        <f>IF($A172="","", ($Q172+$N172)*IFERROR(IF(XLOOKUP('Job Control'!$B$3, INPUT_JobSettings!$A:$A, INPUT_JobSettings!$G:$G, "")&lt;&gt;"", XLOOKUP('Job Control'!$B$3, INPUT_JobSettings!$A:$A, INPUT_JobSettings!$G:$G, ""), $B$7), $B$7))</f>
        <v/>
      </c>
      <c r="S172">
        <f>IF($A172="","", XLOOKUP($A172, INPUT_Rooms!$B:$B, INPUT_Rooms!$AH:$AH, ""))</f>
        <v/>
      </c>
    </row>
    <row r="173">
      <c r="L173">
        <f>IF($A173="","",IF($D173="", "", CEILING( ($D173*$F173) / IFERROR(XLOOKUP(XLOOKUP('Job Control'!$B$3, INPUT_JobSettings!$A:$A, INPUT_JobSettings!$B:$B, ""), Constants!$A:$A, Constants!$E:$E, ""),""), 0.25))))</f>
        <v/>
      </c>
      <c r="M173">
        <f>IF($A173="","",IF($E173="None",0,IF($D173="", "", CEILING( ($D173*IF($E173="Full",1, XLOOKUP("PrimerSpotFactor",Constants!$A$20:$A$40,Constants!$B$20:$B$40))) / IFERROR(XLOOKUP(XLOOKUP('Job Control'!$B$3, INPUT_JobSettings!$A:$A, INPUT_JobSettings!$E:$E, ""), Constants!$A:$A, Constants!$E:$E, ""),""), 0.25)))))</f>
        <v/>
      </c>
      <c r="N173">
        <f>IF($A173="","",IF($D173="", "", $L173*IFERROR(XLOOKUP(XLOOKUP('Job Control'!$B$3, INPUT_JobSettings!$A:$A, INPUT_JobSettings!$B:$B, ""), Constants!$A:$A, Constants!$D:$D, 0),0) + $M173*IFERROR(XLOOKUP(XLOOKUP('Job Control'!$B$3, INPUT_JobSettings!$A:$A, INPUT_JobSettings!$E:$E, ""), Constants!$A:$A, Constants!$D:$D, 0),0))))</f>
        <v/>
      </c>
      <c r="O173">
        <f>IF($A173="","", SUM($H173:$K173))</f>
        <v/>
      </c>
      <c r="P173">
        <f>IF($A173="","", $O173/60)</f>
        <v/>
      </c>
      <c r="Q173">
        <f>IF($A173="","", $P173*IFERROR(IF(XLOOKUP('Job Control'!$B$3, INPUT_JobSettings!$A:$A, INPUT_JobSettings!$F:$F, "")&lt;&gt;"", XLOOKUP('Job Control'!$B$3, INPUT_JobSettings!$A:$A, INPUT_JobSettings!$F:$F, ""), $B$6), $B$6))</f>
        <v/>
      </c>
      <c r="R173">
        <f>IF($A173="","", ($Q173+$N173)*IFERROR(IF(XLOOKUP('Job Control'!$B$3, INPUT_JobSettings!$A:$A, INPUT_JobSettings!$G:$G, "")&lt;&gt;"", XLOOKUP('Job Control'!$B$3, INPUT_JobSettings!$A:$A, INPUT_JobSettings!$G:$G, ""), $B$7), $B$7))</f>
        <v/>
      </c>
      <c r="S173">
        <f>IF($A173="","", XLOOKUP($A173, INPUT_Rooms!$B:$B, INPUT_Rooms!$AH:$AH, ""))</f>
        <v/>
      </c>
    </row>
    <row r="174">
      <c r="L174">
        <f>IF($A174="","",IF($D174="", "", CEILING( ($D174*$F174) / IFERROR(XLOOKUP(XLOOKUP('Job Control'!$B$3, INPUT_JobSettings!$A:$A, INPUT_JobSettings!$B:$B, ""), Constants!$A:$A, Constants!$E:$E, ""),""), 0.25))))</f>
        <v/>
      </c>
      <c r="M174">
        <f>IF($A174="","",IF($E174="None",0,IF($D174="", "", CEILING( ($D174*IF($E174="Full",1, XLOOKUP("PrimerSpotFactor",Constants!$A$20:$A$40,Constants!$B$20:$B$40))) / IFERROR(XLOOKUP(XLOOKUP('Job Control'!$B$3, INPUT_JobSettings!$A:$A, INPUT_JobSettings!$E:$E, ""), Constants!$A:$A, Constants!$E:$E, ""),""), 0.25)))))</f>
        <v/>
      </c>
      <c r="N174">
        <f>IF($A174="","",IF($D174="", "", $L174*IFERROR(XLOOKUP(XLOOKUP('Job Control'!$B$3, INPUT_JobSettings!$A:$A, INPUT_JobSettings!$B:$B, ""), Constants!$A:$A, Constants!$D:$D, 0),0) + $M174*IFERROR(XLOOKUP(XLOOKUP('Job Control'!$B$3, INPUT_JobSettings!$A:$A, INPUT_JobSettings!$E:$E, ""), Constants!$A:$A, Constants!$D:$D, 0),0))))</f>
        <v/>
      </c>
      <c r="O174">
        <f>IF($A174="","", SUM($H174:$K174))</f>
        <v/>
      </c>
      <c r="P174">
        <f>IF($A174="","", $O174/60)</f>
        <v/>
      </c>
      <c r="Q174">
        <f>IF($A174="","", $P174*IFERROR(IF(XLOOKUP('Job Control'!$B$3, INPUT_JobSettings!$A:$A, INPUT_JobSettings!$F:$F, "")&lt;&gt;"", XLOOKUP('Job Control'!$B$3, INPUT_JobSettings!$A:$A, INPUT_JobSettings!$F:$F, ""), $B$6), $B$6))</f>
        <v/>
      </c>
      <c r="R174">
        <f>IF($A174="","", ($Q174+$N174)*IFERROR(IF(XLOOKUP('Job Control'!$B$3, INPUT_JobSettings!$A:$A, INPUT_JobSettings!$G:$G, "")&lt;&gt;"", XLOOKUP('Job Control'!$B$3, INPUT_JobSettings!$A:$A, INPUT_JobSettings!$G:$G, ""), $B$7), $B$7))</f>
        <v/>
      </c>
      <c r="S174">
        <f>IF($A174="","", XLOOKUP($A174, INPUT_Rooms!$B:$B, INPUT_Rooms!$AH:$AH, ""))</f>
        <v/>
      </c>
    </row>
    <row r="175">
      <c r="L175">
        <f>IF($A175="","",IF($D175="", "", CEILING( ($D175*$F175) / IFERROR(XLOOKUP(XLOOKUP('Job Control'!$B$3, INPUT_JobSettings!$A:$A, INPUT_JobSettings!$B:$B, ""), Constants!$A:$A, Constants!$E:$E, ""),""), 0.25))))</f>
        <v/>
      </c>
      <c r="M175">
        <f>IF($A175="","",IF($E175="None",0,IF($D175="", "", CEILING( ($D175*IF($E175="Full",1, XLOOKUP("PrimerSpotFactor",Constants!$A$20:$A$40,Constants!$B$20:$B$40))) / IFERROR(XLOOKUP(XLOOKUP('Job Control'!$B$3, INPUT_JobSettings!$A:$A, INPUT_JobSettings!$E:$E, ""), Constants!$A:$A, Constants!$E:$E, ""),""), 0.25)))))</f>
        <v/>
      </c>
      <c r="N175">
        <f>IF($A175="","",IF($D175="", "", $L175*IFERROR(XLOOKUP(XLOOKUP('Job Control'!$B$3, INPUT_JobSettings!$A:$A, INPUT_JobSettings!$B:$B, ""), Constants!$A:$A, Constants!$D:$D, 0),0) + $M175*IFERROR(XLOOKUP(XLOOKUP('Job Control'!$B$3, INPUT_JobSettings!$A:$A, INPUT_JobSettings!$E:$E, ""), Constants!$A:$A, Constants!$D:$D, 0),0))))</f>
        <v/>
      </c>
      <c r="O175">
        <f>IF($A175="","", SUM($H175:$K175))</f>
        <v/>
      </c>
      <c r="P175">
        <f>IF($A175="","", $O175/60)</f>
        <v/>
      </c>
      <c r="Q175">
        <f>IF($A175="","", $P175*IFERROR(IF(XLOOKUP('Job Control'!$B$3, INPUT_JobSettings!$A:$A, INPUT_JobSettings!$F:$F, "")&lt;&gt;"", XLOOKUP('Job Control'!$B$3, INPUT_JobSettings!$A:$A, INPUT_JobSettings!$F:$F, ""), $B$6), $B$6))</f>
        <v/>
      </c>
      <c r="R175">
        <f>IF($A175="","", ($Q175+$N175)*IFERROR(IF(XLOOKUP('Job Control'!$B$3, INPUT_JobSettings!$A:$A, INPUT_JobSettings!$G:$G, "")&lt;&gt;"", XLOOKUP('Job Control'!$B$3, INPUT_JobSettings!$A:$A, INPUT_JobSettings!$G:$G, ""), $B$7), $B$7))</f>
        <v/>
      </c>
      <c r="S175">
        <f>IF($A175="","", XLOOKUP($A175, INPUT_Rooms!$B:$B, INPUT_Rooms!$AH:$AH, ""))</f>
        <v/>
      </c>
    </row>
    <row r="176">
      <c r="L176">
        <f>IF($A176="","",IF($D176="", "", CEILING( ($D176*$F176) / IFERROR(XLOOKUP(XLOOKUP('Job Control'!$B$3, INPUT_JobSettings!$A:$A, INPUT_JobSettings!$B:$B, ""), Constants!$A:$A, Constants!$E:$E, ""),""), 0.25))))</f>
        <v/>
      </c>
      <c r="M176">
        <f>IF($A176="","",IF($E176="None",0,IF($D176="", "", CEILING( ($D176*IF($E176="Full",1, XLOOKUP("PrimerSpotFactor",Constants!$A$20:$A$40,Constants!$B$20:$B$40))) / IFERROR(XLOOKUP(XLOOKUP('Job Control'!$B$3, INPUT_JobSettings!$A:$A, INPUT_JobSettings!$E:$E, ""), Constants!$A:$A, Constants!$E:$E, ""),""), 0.25)))))</f>
        <v/>
      </c>
      <c r="N176">
        <f>IF($A176="","",IF($D176="", "", $L176*IFERROR(XLOOKUP(XLOOKUP('Job Control'!$B$3, INPUT_JobSettings!$A:$A, INPUT_JobSettings!$B:$B, ""), Constants!$A:$A, Constants!$D:$D, 0),0) + $M176*IFERROR(XLOOKUP(XLOOKUP('Job Control'!$B$3, INPUT_JobSettings!$A:$A, INPUT_JobSettings!$E:$E, ""), Constants!$A:$A, Constants!$D:$D, 0),0))))</f>
        <v/>
      </c>
      <c r="O176">
        <f>IF($A176="","", SUM($H176:$K176))</f>
        <v/>
      </c>
      <c r="P176">
        <f>IF($A176="","", $O176/60)</f>
        <v/>
      </c>
      <c r="Q176">
        <f>IF($A176="","", $P176*IFERROR(IF(XLOOKUP('Job Control'!$B$3, INPUT_JobSettings!$A:$A, INPUT_JobSettings!$F:$F, "")&lt;&gt;"", XLOOKUP('Job Control'!$B$3, INPUT_JobSettings!$A:$A, INPUT_JobSettings!$F:$F, ""), $B$6), $B$6))</f>
        <v/>
      </c>
      <c r="R176">
        <f>IF($A176="","", ($Q176+$N176)*IFERROR(IF(XLOOKUP('Job Control'!$B$3, INPUT_JobSettings!$A:$A, INPUT_JobSettings!$G:$G, "")&lt;&gt;"", XLOOKUP('Job Control'!$B$3, INPUT_JobSettings!$A:$A, INPUT_JobSettings!$G:$G, ""), $B$7), $B$7))</f>
        <v/>
      </c>
      <c r="S176">
        <f>IF($A176="","", XLOOKUP($A176, INPUT_Rooms!$B:$B, INPUT_Rooms!$AH:$AH, ""))</f>
        <v/>
      </c>
    </row>
    <row r="177">
      <c r="L177">
        <f>IF($A177="","",IF($D177="", "", CEILING( ($D177*$F177) / IFERROR(XLOOKUP(XLOOKUP('Job Control'!$B$3, INPUT_JobSettings!$A:$A, INPUT_JobSettings!$B:$B, ""), Constants!$A:$A, Constants!$E:$E, ""),""), 0.25))))</f>
        <v/>
      </c>
      <c r="M177">
        <f>IF($A177="","",IF($E177="None",0,IF($D177="", "", CEILING( ($D177*IF($E177="Full",1, XLOOKUP("PrimerSpotFactor",Constants!$A$20:$A$40,Constants!$B$20:$B$40))) / IFERROR(XLOOKUP(XLOOKUP('Job Control'!$B$3, INPUT_JobSettings!$A:$A, INPUT_JobSettings!$E:$E, ""), Constants!$A:$A, Constants!$E:$E, ""),""), 0.25)))))</f>
        <v/>
      </c>
      <c r="N177">
        <f>IF($A177="","",IF($D177="", "", $L177*IFERROR(XLOOKUP(XLOOKUP('Job Control'!$B$3, INPUT_JobSettings!$A:$A, INPUT_JobSettings!$B:$B, ""), Constants!$A:$A, Constants!$D:$D, 0),0) + $M177*IFERROR(XLOOKUP(XLOOKUP('Job Control'!$B$3, INPUT_JobSettings!$A:$A, INPUT_JobSettings!$E:$E, ""), Constants!$A:$A, Constants!$D:$D, 0),0))))</f>
        <v/>
      </c>
      <c r="O177">
        <f>IF($A177="","", SUM($H177:$K177))</f>
        <v/>
      </c>
      <c r="P177">
        <f>IF($A177="","", $O177/60)</f>
        <v/>
      </c>
      <c r="Q177">
        <f>IF($A177="","", $P177*IFERROR(IF(XLOOKUP('Job Control'!$B$3, INPUT_JobSettings!$A:$A, INPUT_JobSettings!$F:$F, "")&lt;&gt;"", XLOOKUP('Job Control'!$B$3, INPUT_JobSettings!$A:$A, INPUT_JobSettings!$F:$F, ""), $B$6), $B$6))</f>
        <v/>
      </c>
      <c r="R177">
        <f>IF($A177="","", ($Q177+$N177)*IFERROR(IF(XLOOKUP('Job Control'!$B$3, INPUT_JobSettings!$A:$A, INPUT_JobSettings!$G:$G, "")&lt;&gt;"", XLOOKUP('Job Control'!$B$3, INPUT_JobSettings!$A:$A, INPUT_JobSettings!$G:$G, ""), $B$7), $B$7))</f>
        <v/>
      </c>
      <c r="S177">
        <f>IF($A177="","", XLOOKUP($A177, INPUT_Rooms!$B:$B, INPUT_Rooms!$AH:$AH, ""))</f>
        <v/>
      </c>
    </row>
    <row r="178">
      <c r="L178">
        <f>IF($A178="","",IF($D178="", "", CEILING( ($D178*$F178) / IFERROR(XLOOKUP(XLOOKUP('Job Control'!$B$3, INPUT_JobSettings!$A:$A, INPUT_JobSettings!$B:$B, ""), Constants!$A:$A, Constants!$E:$E, ""),""), 0.25))))</f>
        <v/>
      </c>
      <c r="M178">
        <f>IF($A178="","",IF($E178="None",0,IF($D178="", "", CEILING( ($D178*IF($E178="Full",1, XLOOKUP("PrimerSpotFactor",Constants!$A$20:$A$40,Constants!$B$20:$B$40))) / IFERROR(XLOOKUP(XLOOKUP('Job Control'!$B$3, INPUT_JobSettings!$A:$A, INPUT_JobSettings!$E:$E, ""), Constants!$A:$A, Constants!$E:$E, ""),""), 0.25)))))</f>
        <v/>
      </c>
      <c r="N178">
        <f>IF($A178="","",IF($D178="", "", $L178*IFERROR(XLOOKUP(XLOOKUP('Job Control'!$B$3, INPUT_JobSettings!$A:$A, INPUT_JobSettings!$B:$B, ""), Constants!$A:$A, Constants!$D:$D, 0),0) + $M178*IFERROR(XLOOKUP(XLOOKUP('Job Control'!$B$3, INPUT_JobSettings!$A:$A, INPUT_JobSettings!$E:$E, ""), Constants!$A:$A, Constants!$D:$D, 0),0))))</f>
        <v/>
      </c>
      <c r="O178">
        <f>IF($A178="","", SUM($H178:$K178))</f>
        <v/>
      </c>
      <c r="P178">
        <f>IF($A178="","", $O178/60)</f>
        <v/>
      </c>
      <c r="Q178">
        <f>IF($A178="","", $P178*IFERROR(IF(XLOOKUP('Job Control'!$B$3, INPUT_JobSettings!$A:$A, INPUT_JobSettings!$F:$F, "")&lt;&gt;"", XLOOKUP('Job Control'!$B$3, INPUT_JobSettings!$A:$A, INPUT_JobSettings!$F:$F, ""), $B$6), $B$6))</f>
        <v/>
      </c>
      <c r="R178">
        <f>IF($A178="","", ($Q178+$N178)*IFERROR(IF(XLOOKUP('Job Control'!$B$3, INPUT_JobSettings!$A:$A, INPUT_JobSettings!$G:$G, "")&lt;&gt;"", XLOOKUP('Job Control'!$B$3, INPUT_JobSettings!$A:$A, INPUT_JobSettings!$G:$G, ""), $B$7), $B$7))</f>
        <v/>
      </c>
      <c r="S178">
        <f>IF($A178="","", XLOOKUP($A178, INPUT_Rooms!$B:$B, INPUT_Rooms!$AH:$AH, ""))</f>
        <v/>
      </c>
    </row>
    <row r="179">
      <c r="L179">
        <f>IF($A179="","",IF($D179="", "", CEILING( ($D179*$F179) / IFERROR(XLOOKUP(XLOOKUP('Job Control'!$B$3, INPUT_JobSettings!$A:$A, INPUT_JobSettings!$B:$B, ""), Constants!$A:$A, Constants!$E:$E, ""),""), 0.25))))</f>
        <v/>
      </c>
      <c r="M179">
        <f>IF($A179="","",IF($E179="None",0,IF($D179="", "", CEILING( ($D179*IF($E179="Full",1, XLOOKUP("PrimerSpotFactor",Constants!$A$20:$A$40,Constants!$B$20:$B$40))) / IFERROR(XLOOKUP(XLOOKUP('Job Control'!$B$3, INPUT_JobSettings!$A:$A, INPUT_JobSettings!$E:$E, ""), Constants!$A:$A, Constants!$E:$E, ""),""), 0.25)))))</f>
        <v/>
      </c>
      <c r="N179">
        <f>IF($A179="","",IF($D179="", "", $L179*IFERROR(XLOOKUP(XLOOKUP('Job Control'!$B$3, INPUT_JobSettings!$A:$A, INPUT_JobSettings!$B:$B, ""), Constants!$A:$A, Constants!$D:$D, 0),0) + $M179*IFERROR(XLOOKUP(XLOOKUP('Job Control'!$B$3, INPUT_JobSettings!$A:$A, INPUT_JobSettings!$E:$E, ""), Constants!$A:$A, Constants!$D:$D, 0),0))))</f>
        <v/>
      </c>
      <c r="O179">
        <f>IF($A179="","", SUM($H179:$K179))</f>
        <v/>
      </c>
      <c r="P179">
        <f>IF($A179="","", $O179/60)</f>
        <v/>
      </c>
      <c r="Q179">
        <f>IF($A179="","", $P179*IFERROR(IF(XLOOKUP('Job Control'!$B$3, INPUT_JobSettings!$A:$A, INPUT_JobSettings!$F:$F, "")&lt;&gt;"", XLOOKUP('Job Control'!$B$3, INPUT_JobSettings!$A:$A, INPUT_JobSettings!$F:$F, ""), $B$6), $B$6))</f>
        <v/>
      </c>
      <c r="R179">
        <f>IF($A179="","", ($Q179+$N179)*IFERROR(IF(XLOOKUP('Job Control'!$B$3, INPUT_JobSettings!$A:$A, INPUT_JobSettings!$G:$G, "")&lt;&gt;"", XLOOKUP('Job Control'!$B$3, INPUT_JobSettings!$A:$A, INPUT_JobSettings!$G:$G, ""), $B$7), $B$7))</f>
        <v/>
      </c>
      <c r="S179">
        <f>IF($A179="","", XLOOKUP($A179, INPUT_Rooms!$B:$B, INPUT_Rooms!$AH:$AH, ""))</f>
        <v/>
      </c>
    </row>
    <row r="180">
      <c r="L180">
        <f>IF($A180="","",IF($D180="", "", CEILING( ($D180*$F180) / IFERROR(XLOOKUP(XLOOKUP('Job Control'!$B$3, INPUT_JobSettings!$A:$A, INPUT_JobSettings!$B:$B, ""), Constants!$A:$A, Constants!$E:$E, ""),""), 0.25))))</f>
        <v/>
      </c>
      <c r="M180">
        <f>IF($A180="","",IF($E180="None",0,IF($D180="", "", CEILING( ($D180*IF($E180="Full",1, XLOOKUP("PrimerSpotFactor",Constants!$A$20:$A$40,Constants!$B$20:$B$40))) / IFERROR(XLOOKUP(XLOOKUP('Job Control'!$B$3, INPUT_JobSettings!$A:$A, INPUT_JobSettings!$E:$E, ""), Constants!$A:$A, Constants!$E:$E, ""),""), 0.25)))))</f>
        <v/>
      </c>
      <c r="N180">
        <f>IF($A180="","",IF($D180="", "", $L180*IFERROR(XLOOKUP(XLOOKUP('Job Control'!$B$3, INPUT_JobSettings!$A:$A, INPUT_JobSettings!$B:$B, ""), Constants!$A:$A, Constants!$D:$D, 0),0) + $M180*IFERROR(XLOOKUP(XLOOKUP('Job Control'!$B$3, INPUT_JobSettings!$A:$A, INPUT_JobSettings!$E:$E, ""), Constants!$A:$A, Constants!$D:$D, 0),0))))</f>
        <v/>
      </c>
      <c r="O180">
        <f>IF($A180="","", SUM($H180:$K180))</f>
        <v/>
      </c>
      <c r="P180">
        <f>IF($A180="","", $O180/60)</f>
        <v/>
      </c>
      <c r="Q180">
        <f>IF($A180="","", $P180*IFERROR(IF(XLOOKUP('Job Control'!$B$3, INPUT_JobSettings!$A:$A, INPUT_JobSettings!$F:$F, "")&lt;&gt;"", XLOOKUP('Job Control'!$B$3, INPUT_JobSettings!$A:$A, INPUT_JobSettings!$F:$F, ""), $B$6), $B$6))</f>
        <v/>
      </c>
      <c r="R180">
        <f>IF($A180="","", ($Q180+$N180)*IFERROR(IF(XLOOKUP('Job Control'!$B$3, INPUT_JobSettings!$A:$A, INPUT_JobSettings!$G:$G, "")&lt;&gt;"", XLOOKUP('Job Control'!$B$3, INPUT_JobSettings!$A:$A, INPUT_JobSettings!$G:$G, ""), $B$7), $B$7))</f>
        <v/>
      </c>
      <c r="S180">
        <f>IF($A180="","", XLOOKUP($A180, INPUT_Rooms!$B:$B, INPUT_Rooms!$AH:$AH, ""))</f>
        <v/>
      </c>
    </row>
    <row r="181">
      <c r="L181">
        <f>IF($A181="","",IF($D181="", "", CEILING( ($D181*$F181) / IFERROR(XLOOKUP(XLOOKUP('Job Control'!$B$3, INPUT_JobSettings!$A:$A, INPUT_JobSettings!$B:$B, ""), Constants!$A:$A, Constants!$E:$E, ""),""), 0.25))))</f>
        <v/>
      </c>
      <c r="M181">
        <f>IF($A181="","",IF($E181="None",0,IF($D181="", "", CEILING( ($D181*IF($E181="Full",1, XLOOKUP("PrimerSpotFactor",Constants!$A$20:$A$40,Constants!$B$20:$B$40))) / IFERROR(XLOOKUP(XLOOKUP('Job Control'!$B$3, INPUT_JobSettings!$A:$A, INPUT_JobSettings!$E:$E, ""), Constants!$A:$A, Constants!$E:$E, ""),""), 0.25)))))</f>
        <v/>
      </c>
      <c r="N181">
        <f>IF($A181="","",IF($D181="", "", $L181*IFERROR(XLOOKUP(XLOOKUP('Job Control'!$B$3, INPUT_JobSettings!$A:$A, INPUT_JobSettings!$B:$B, ""), Constants!$A:$A, Constants!$D:$D, 0),0) + $M181*IFERROR(XLOOKUP(XLOOKUP('Job Control'!$B$3, INPUT_JobSettings!$A:$A, INPUT_JobSettings!$E:$E, ""), Constants!$A:$A, Constants!$D:$D, 0),0))))</f>
        <v/>
      </c>
      <c r="O181">
        <f>IF($A181="","", SUM($H181:$K181))</f>
        <v/>
      </c>
      <c r="P181">
        <f>IF($A181="","", $O181/60)</f>
        <v/>
      </c>
      <c r="Q181">
        <f>IF($A181="","", $P181*IFERROR(IF(XLOOKUP('Job Control'!$B$3, INPUT_JobSettings!$A:$A, INPUT_JobSettings!$F:$F, "")&lt;&gt;"", XLOOKUP('Job Control'!$B$3, INPUT_JobSettings!$A:$A, INPUT_JobSettings!$F:$F, ""), $B$6), $B$6))</f>
        <v/>
      </c>
      <c r="R181">
        <f>IF($A181="","", ($Q181+$N181)*IFERROR(IF(XLOOKUP('Job Control'!$B$3, INPUT_JobSettings!$A:$A, INPUT_JobSettings!$G:$G, "")&lt;&gt;"", XLOOKUP('Job Control'!$B$3, INPUT_JobSettings!$A:$A, INPUT_JobSettings!$G:$G, ""), $B$7), $B$7))</f>
        <v/>
      </c>
      <c r="S181">
        <f>IF($A181="","", XLOOKUP($A181, INPUT_Rooms!$B:$B, INPUT_Rooms!$AH:$AH, ""))</f>
        <v/>
      </c>
    </row>
    <row r="182">
      <c r="L182">
        <f>IF($A182="","",IF($D182="", "", CEILING( ($D182*$F182) / IFERROR(XLOOKUP(XLOOKUP('Job Control'!$B$3, INPUT_JobSettings!$A:$A, INPUT_JobSettings!$B:$B, ""), Constants!$A:$A, Constants!$E:$E, ""),""), 0.25))))</f>
        <v/>
      </c>
      <c r="M182">
        <f>IF($A182="","",IF($E182="None",0,IF($D182="", "", CEILING( ($D182*IF($E182="Full",1, XLOOKUP("PrimerSpotFactor",Constants!$A$20:$A$40,Constants!$B$20:$B$40))) / IFERROR(XLOOKUP(XLOOKUP('Job Control'!$B$3, INPUT_JobSettings!$A:$A, INPUT_JobSettings!$E:$E, ""), Constants!$A:$A, Constants!$E:$E, ""),""), 0.25)))))</f>
        <v/>
      </c>
      <c r="N182">
        <f>IF($A182="","",IF($D182="", "", $L182*IFERROR(XLOOKUP(XLOOKUP('Job Control'!$B$3, INPUT_JobSettings!$A:$A, INPUT_JobSettings!$B:$B, ""), Constants!$A:$A, Constants!$D:$D, 0),0) + $M182*IFERROR(XLOOKUP(XLOOKUP('Job Control'!$B$3, INPUT_JobSettings!$A:$A, INPUT_JobSettings!$E:$E, ""), Constants!$A:$A, Constants!$D:$D, 0),0))))</f>
        <v/>
      </c>
      <c r="O182">
        <f>IF($A182="","", SUM($H182:$K182))</f>
        <v/>
      </c>
      <c r="P182">
        <f>IF($A182="","", $O182/60)</f>
        <v/>
      </c>
      <c r="Q182">
        <f>IF($A182="","", $P182*IFERROR(IF(XLOOKUP('Job Control'!$B$3, INPUT_JobSettings!$A:$A, INPUT_JobSettings!$F:$F, "")&lt;&gt;"", XLOOKUP('Job Control'!$B$3, INPUT_JobSettings!$A:$A, INPUT_JobSettings!$F:$F, ""), $B$6), $B$6))</f>
        <v/>
      </c>
      <c r="R182">
        <f>IF($A182="","", ($Q182+$N182)*IFERROR(IF(XLOOKUP('Job Control'!$B$3, INPUT_JobSettings!$A:$A, INPUT_JobSettings!$G:$G, "")&lt;&gt;"", XLOOKUP('Job Control'!$B$3, INPUT_JobSettings!$A:$A, INPUT_JobSettings!$G:$G, ""), $B$7), $B$7))</f>
        <v/>
      </c>
      <c r="S182">
        <f>IF($A182="","", XLOOKUP($A182, INPUT_Rooms!$B:$B, INPUT_Rooms!$AH:$AH, ""))</f>
        <v/>
      </c>
    </row>
    <row r="183">
      <c r="L183">
        <f>IF($A183="","",IF($D183="", "", CEILING( ($D183*$F183) / IFERROR(XLOOKUP(XLOOKUP('Job Control'!$B$3, INPUT_JobSettings!$A:$A, INPUT_JobSettings!$B:$B, ""), Constants!$A:$A, Constants!$E:$E, ""),""), 0.25))))</f>
        <v/>
      </c>
      <c r="M183">
        <f>IF($A183="","",IF($E183="None",0,IF($D183="", "", CEILING( ($D183*IF($E183="Full",1, XLOOKUP("PrimerSpotFactor",Constants!$A$20:$A$40,Constants!$B$20:$B$40))) / IFERROR(XLOOKUP(XLOOKUP('Job Control'!$B$3, INPUT_JobSettings!$A:$A, INPUT_JobSettings!$E:$E, ""), Constants!$A:$A, Constants!$E:$E, ""),""), 0.25)))))</f>
        <v/>
      </c>
      <c r="N183">
        <f>IF($A183="","",IF($D183="", "", $L183*IFERROR(XLOOKUP(XLOOKUP('Job Control'!$B$3, INPUT_JobSettings!$A:$A, INPUT_JobSettings!$B:$B, ""), Constants!$A:$A, Constants!$D:$D, 0),0) + $M183*IFERROR(XLOOKUP(XLOOKUP('Job Control'!$B$3, INPUT_JobSettings!$A:$A, INPUT_JobSettings!$E:$E, ""), Constants!$A:$A, Constants!$D:$D, 0),0))))</f>
        <v/>
      </c>
      <c r="O183">
        <f>IF($A183="","", SUM($H183:$K183))</f>
        <v/>
      </c>
      <c r="P183">
        <f>IF($A183="","", $O183/60)</f>
        <v/>
      </c>
      <c r="Q183">
        <f>IF($A183="","", $P183*IFERROR(IF(XLOOKUP('Job Control'!$B$3, INPUT_JobSettings!$A:$A, INPUT_JobSettings!$F:$F, "")&lt;&gt;"", XLOOKUP('Job Control'!$B$3, INPUT_JobSettings!$A:$A, INPUT_JobSettings!$F:$F, ""), $B$6), $B$6))</f>
        <v/>
      </c>
      <c r="R183">
        <f>IF($A183="","", ($Q183+$N183)*IFERROR(IF(XLOOKUP('Job Control'!$B$3, INPUT_JobSettings!$A:$A, INPUT_JobSettings!$G:$G, "")&lt;&gt;"", XLOOKUP('Job Control'!$B$3, INPUT_JobSettings!$A:$A, INPUT_JobSettings!$G:$G, ""), $B$7), $B$7))</f>
        <v/>
      </c>
      <c r="S183">
        <f>IF($A183="","", XLOOKUP($A183, INPUT_Rooms!$B:$B, INPUT_Rooms!$AH:$AH, ""))</f>
        <v/>
      </c>
    </row>
    <row r="184">
      <c r="L184">
        <f>IF($A184="","",IF($D184="", "", CEILING( ($D184*$F184) / IFERROR(XLOOKUP(XLOOKUP('Job Control'!$B$3, INPUT_JobSettings!$A:$A, INPUT_JobSettings!$B:$B, ""), Constants!$A:$A, Constants!$E:$E, ""),""), 0.25))))</f>
        <v/>
      </c>
      <c r="M184">
        <f>IF($A184="","",IF($E184="None",0,IF($D184="", "", CEILING( ($D184*IF($E184="Full",1, XLOOKUP("PrimerSpotFactor",Constants!$A$20:$A$40,Constants!$B$20:$B$40))) / IFERROR(XLOOKUP(XLOOKUP('Job Control'!$B$3, INPUT_JobSettings!$A:$A, INPUT_JobSettings!$E:$E, ""), Constants!$A:$A, Constants!$E:$E, ""),""), 0.25)))))</f>
        <v/>
      </c>
      <c r="N184">
        <f>IF($A184="","",IF($D184="", "", $L184*IFERROR(XLOOKUP(XLOOKUP('Job Control'!$B$3, INPUT_JobSettings!$A:$A, INPUT_JobSettings!$B:$B, ""), Constants!$A:$A, Constants!$D:$D, 0),0) + $M184*IFERROR(XLOOKUP(XLOOKUP('Job Control'!$B$3, INPUT_JobSettings!$A:$A, INPUT_JobSettings!$E:$E, ""), Constants!$A:$A, Constants!$D:$D, 0),0))))</f>
        <v/>
      </c>
      <c r="O184">
        <f>IF($A184="","", SUM($H184:$K184))</f>
        <v/>
      </c>
      <c r="P184">
        <f>IF($A184="","", $O184/60)</f>
        <v/>
      </c>
      <c r="Q184">
        <f>IF($A184="","", $P184*IFERROR(IF(XLOOKUP('Job Control'!$B$3, INPUT_JobSettings!$A:$A, INPUT_JobSettings!$F:$F, "")&lt;&gt;"", XLOOKUP('Job Control'!$B$3, INPUT_JobSettings!$A:$A, INPUT_JobSettings!$F:$F, ""), $B$6), $B$6))</f>
        <v/>
      </c>
      <c r="R184">
        <f>IF($A184="","", ($Q184+$N184)*IFERROR(IF(XLOOKUP('Job Control'!$B$3, INPUT_JobSettings!$A:$A, INPUT_JobSettings!$G:$G, "")&lt;&gt;"", XLOOKUP('Job Control'!$B$3, INPUT_JobSettings!$A:$A, INPUT_JobSettings!$G:$G, ""), $B$7), $B$7))</f>
        <v/>
      </c>
      <c r="S184">
        <f>IF($A184="","", XLOOKUP($A184, INPUT_Rooms!$B:$B, INPUT_Rooms!$AH:$AH, ""))</f>
        <v/>
      </c>
    </row>
    <row r="185">
      <c r="L185">
        <f>IF($A185="","",IF($D185="", "", CEILING( ($D185*$F185) / IFERROR(XLOOKUP(XLOOKUP('Job Control'!$B$3, INPUT_JobSettings!$A:$A, INPUT_JobSettings!$B:$B, ""), Constants!$A:$A, Constants!$E:$E, ""),""), 0.25))))</f>
        <v/>
      </c>
      <c r="M185">
        <f>IF($A185="","",IF($E185="None",0,IF($D185="", "", CEILING( ($D185*IF($E185="Full",1, XLOOKUP("PrimerSpotFactor",Constants!$A$20:$A$40,Constants!$B$20:$B$40))) / IFERROR(XLOOKUP(XLOOKUP('Job Control'!$B$3, INPUT_JobSettings!$A:$A, INPUT_JobSettings!$E:$E, ""), Constants!$A:$A, Constants!$E:$E, ""),""), 0.25)))))</f>
        <v/>
      </c>
      <c r="N185">
        <f>IF($A185="","",IF($D185="", "", $L185*IFERROR(XLOOKUP(XLOOKUP('Job Control'!$B$3, INPUT_JobSettings!$A:$A, INPUT_JobSettings!$B:$B, ""), Constants!$A:$A, Constants!$D:$D, 0),0) + $M185*IFERROR(XLOOKUP(XLOOKUP('Job Control'!$B$3, INPUT_JobSettings!$A:$A, INPUT_JobSettings!$E:$E, ""), Constants!$A:$A, Constants!$D:$D, 0),0))))</f>
        <v/>
      </c>
      <c r="O185">
        <f>IF($A185="","", SUM($H185:$K185))</f>
        <v/>
      </c>
      <c r="P185">
        <f>IF($A185="","", $O185/60)</f>
        <v/>
      </c>
      <c r="Q185">
        <f>IF($A185="","", $P185*IFERROR(IF(XLOOKUP('Job Control'!$B$3, INPUT_JobSettings!$A:$A, INPUT_JobSettings!$F:$F, "")&lt;&gt;"", XLOOKUP('Job Control'!$B$3, INPUT_JobSettings!$A:$A, INPUT_JobSettings!$F:$F, ""), $B$6), $B$6))</f>
        <v/>
      </c>
      <c r="R185">
        <f>IF($A185="","", ($Q185+$N185)*IFERROR(IF(XLOOKUP('Job Control'!$B$3, INPUT_JobSettings!$A:$A, INPUT_JobSettings!$G:$G, "")&lt;&gt;"", XLOOKUP('Job Control'!$B$3, INPUT_JobSettings!$A:$A, INPUT_JobSettings!$G:$G, ""), $B$7), $B$7))</f>
        <v/>
      </c>
      <c r="S185">
        <f>IF($A185="","", XLOOKUP($A185, INPUT_Rooms!$B:$B, INPUT_Rooms!$AH:$AH, ""))</f>
        <v/>
      </c>
    </row>
    <row r="186">
      <c r="L186">
        <f>IF($A186="","",IF($D186="", "", CEILING( ($D186*$F186) / IFERROR(XLOOKUP(XLOOKUP('Job Control'!$B$3, INPUT_JobSettings!$A:$A, INPUT_JobSettings!$B:$B, ""), Constants!$A:$A, Constants!$E:$E, ""),""), 0.25))))</f>
        <v/>
      </c>
      <c r="M186">
        <f>IF($A186="","",IF($E186="None",0,IF($D186="", "", CEILING( ($D186*IF($E186="Full",1, XLOOKUP("PrimerSpotFactor",Constants!$A$20:$A$40,Constants!$B$20:$B$40))) / IFERROR(XLOOKUP(XLOOKUP('Job Control'!$B$3, INPUT_JobSettings!$A:$A, INPUT_JobSettings!$E:$E, ""), Constants!$A:$A, Constants!$E:$E, ""),""), 0.25)))))</f>
        <v/>
      </c>
      <c r="N186">
        <f>IF($A186="","",IF($D186="", "", $L186*IFERROR(XLOOKUP(XLOOKUP('Job Control'!$B$3, INPUT_JobSettings!$A:$A, INPUT_JobSettings!$B:$B, ""), Constants!$A:$A, Constants!$D:$D, 0),0) + $M186*IFERROR(XLOOKUP(XLOOKUP('Job Control'!$B$3, INPUT_JobSettings!$A:$A, INPUT_JobSettings!$E:$E, ""), Constants!$A:$A, Constants!$D:$D, 0),0))))</f>
        <v/>
      </c>
      <c r="O186">
        <f>IF($A186="","", SUM($H186:$K186))</f>
        <v/>
      </c>
      <c r="P186">
        <f>IF($A186="","", $O186/60)</f>
        <v/>
      </c>
      <c r="Q186">
        <f>IF($A186="","", $P186*IFERROR(IF(XLOOKUP('Job Control'!$B$3, INPUT_JobSettings!$A:$A, INPUT_JobSettings!$F:$F, "")&lt;&gt;"", XLOOKUP('Job Control'!$B$3, INPUT_JobSettings!$A:$A, INPUT_JobSettings!$F:$F, ""), $B$6), $B$6))</f>
        <v/>
      </c>
      <c r="R186">
        <f>IF($A186="","", ($Q186+$N186)*IFERROR(IF(XLOOKUP('Job Control'!$B$3, INPUT_JobSettings!$A:$A, INPUT_JobSettings!$G:$G, "")&lt;&gt;"", XLOOKUP('Job Control'!$B$3, INPUT_JobSettings!$A:$A, INPUT_JobSettings!$G:$G, ""), $B$7), $B$7))</f>
        <v/>
      </c>
      <c r="S186">
        <f>IF($A186="","", XLOOKUP($A186, INPUT_Rooms!$B:$B, INPUT_Rooms!$AH:$AH, ""))</f>
        <v/>
      </c>
    </row>
    <row r="187">
      <c r="L187">
        <f>IF($A187="","",IF($D187="", "", CEILING( ($D187*$F187) / IFERROR(XLOOKUP(XLOOKUP('Job Control'!$B$3, INPUT_JobSettings!$A:$A, INPUT_JobSettings!$B:$B, ""), Constants!$A:$A, Constants!$E:$E, ""),""), 0.25))))</f>
        <v/>
      </c>
      <c r="M187">
        <f>IF($A187="","",IF($E187="None",0,IF($D187="", "", CEILING( ($D187*IF($E187="Full",1, XLOOKUP("PrimerSpotFactor",Constants!$A$20:$A$40,Constants!$B$20:$B$40))) / IFERROR(XLOOKUP(XLOOKUP('Job Control'!$B$3, INPUT_JobSettings!$A:$A, INPUT_JobSettings!$E:$E, ""), Constants!$A:$A, Constants!$E:$E, ""),""), 0.25)))))</f>
        <v/>
      </c>
      <c r="N187">
        <f>IF($A187="","",IF($D187="", "", $L187*IFERROR(XLOOKUP(XLOOKUP('Job Control'!$B$3, INPUT_JobSettings!$A:$A, INPUT_JobSettings!$B:$B, ""), Constants!$A:$A, Constants!$D:$D, 0),0) + $M187*IFERROR(XLOOKUP(XLOOKUP('Job Control'!$B$3, INPUT_JobSettings!$A:$A, INPUT_JobSettings!$E:$E, ""), Constants!$A:$A, Constants!$D:$D, 0),0))))</f>
        <v/>
      </c>
      <c r="O187">
        <f>IF($A187="","", SUM($H187:$K187))</f>
        <v/>
      </c>
      <c r="P187">
        <f>IF($A187="","", $O187/60)</f>
        <v/>
      </c>
      <c r="Q187">
        <f>IF($A187="","", $P187*IFERROR(IF(XLOOKUP('Job Control'!$B$3, INPUT_JobSettings!$A:$A, INPUT_JobSettings!$F:$F, "")&lt;&gt;"", XLOOKUP('Job Control'!$B$3, INPUT_JobSettings!$A:$A, INPUT_JobSettings!$F:$F, ""), $B$6), $B$6))</f>
        <v/>
      </c>
      <c r="R187">
        <f>IF($A187="","", ($Q187+$N187)*IFERROR(IF(XLOOKUP('Job Control'!$B$3, INPUT_JobSettings!$A:$A, INPUT_JobSettings!$G:$G, "")&lt;&gt;"", XLOOKUP('Job Control'!$B$3, INPUT_JobSettings!$A:$A, INPUT_JobSettings!$G:$G, ""), $B$7), $B$7))</f>
        <v/>
      </c>
      <c r="S187">
        <f>IF($A187="","", XLOOKUP($A187, INPUT_Rooms!$B:$B, INPUT_Rooms!$AH:$AH, ""))</f>
        <v/>
      </c>
    </row>
    <row r="188">
      <c r="L188">
        <f>IF($A188="","",IF($D188="", "", CEILING( ($D188*$F188) / IFERROR(XLOOKUP(XLOOKUP('Job Control'!$B$3, INPUT_JobSettings!$A:$A, INPUT_JobSettings!$B:$B, ""), Constants!$A:$A, Constants!$E:$E, ""),""), 0.25))))</f>
        <v/>
      </c>
      <c r="M188">
        <f>IF($A188="","",IF($E188="None",0,IF($D188="", "", CEILING( ($D188*IF($E188="Full",1, XLOOKUP("PrimerSpotFactor",Constants!$A$20:$A$40,Constants!$B$20:$B$40))) / IFERROR(XLOOKUP(XLOOKUP('Job Control'!$B$3, INPUT_JobSettings!$A:$A, INPUT_JobSettings!$E:$E, ""), Constants!$A:$A, Constants!$E:$E, ""),""), 0.25)))))</f>
        <v/>
      </c>
      <c r="N188">
        <f>IF($A188="","",IF($D188="", "", $L188*IFERROR(XLOOKUP(XLOOKUP('Job Control'!$B$3, INPUT_JobSettings!$A:$A, INPUT_JobSettings!$B:$B, ""), Constants!$A:$A, Constants!$D:$D, 0),0) + $M188*IFERROR(XLOOKUP(XLOOKUP('Job Control'!$B$3, INPUT_JobSettings!$A:$A, INPUT_JobSettings!$E:$E, ""), Constants!$A:$A, Constants!$D:$D, 0),0))))</f>
        <v/>
      </c>
      <c r="O188">
        <f>IF($A188="","", SUM($H188:$K188))</f>
        <v/>
      </c>
      <c r="P188">
        <f>IF($A188="","", $O188/60)</f>
        <v/>
      </c>
      <c r="Q188">
        <f>IF($A188="","", $P188*IFERROR(IF(XLOOKUP('Job Control'!$B$3, INPUT_JobSettings!$A:$A, INPUT_JobSettings!$F:$F, "")&lt;&gt;"", XLOOKUP('Job Control'!$B$3, INPUT_JobSettings!$A:$A, INPUT_JobSettings!$F:$F, ""), $B$6), $B$6))</f>
        <v/>
      </c>
      <c r="R188">
        <f>IF($A188="","", ($Q188+$N188)*IFERROR(IF(XLOOKUP('Job Control'!$B$3, INPUT_JobSettings!$A:$A, INPUT_JobSettings!$G:$G, "")&lt;&gt;"", XLOOKUP('Job Control'!$B$3, INPUT_JobSettings!$A:$A, INPUT_JobSettings!$G:$G, ""), $B$7), $B$7))</f>
        <v/>
      </c>
      <c r="S188">
        <f>IF($A188="","", XLOOKUP($A188, INPUT_Rooms!$B:$B, INPUT_Rooms!$AH:$AH, ""))</f>
        <v/>
      </c>
    </row>
    <row r="189">
      <c r="L189">
        <f>IF($A189="","",IF($D189="", "", CEILING( ($D189*$F189) / IFERROR(XLOOKUP(XLOOKUP('Job Control'!$B$3, INPUT_JobSettings!$A:$A, INPUT_JobSettings!$B:$B, ""), Constants!$A:$A, Constants!$E:$E, ""),""), 0.25))))</f>
        <v/>
      </c>
      <c r="M189">
        <f>IF($A189="","",IF($E189="None",0,IF($D189="", "", CEILING( ($D189*IF($E189="Full",1, XLOOKUP("PrimerSpotFactor",Constants!$A$20:$A$40,Constants!$B$20:$B$40))) / IFERROR(XLOOKUP(XLOOKUP('Job Control'!$B$3, INPUT_JobSettings!$A:$A, INPUT_JobSettings!$E:$E, ""), Constants!$A:$A, Constants!$E:$E, ""),""), 0.25)))))</f>
        <v/>
      </c>
      <c r="N189">
        <f>IF($A189="","",IF($D189="", "", $L189*IFERROR(XLOOKUP(XLOOKUP('Job Control'!$B$3, INPUT_JobSettings!$A:$A, INPUT_JobSettings!$B:$B, ""), Constants!$A:$A, Constants!$D:$D, 0),0) + $M189*IFERROR(XLOOKUP(XLOOKUP('Job Control'!$B$3, INPUT_JobSettings!$A:$A, INPUT_JobSettings!$E:$E, ""), Constants!$A:$A, Constants!$D:$D, 0),0))))</f>
        <v/>
      </c>
      <c r="O189">
        <f>IF($A189="","", SUM($H189:$K189))</f>
        <v/>
      </c>
      <c r="P189">
        <f>IF($A189="","", $O189/60)</f>
        <v/>
      </c>
      <c r="Q189">
        <f>IF($A189="","", $P189*IFERROR(IF(XLOOKUP('Job Control'!$B$3, INPUT_JobSettings!$A:$A, INPUT_JobSettings!$F:$F, "")&lt;&gt;"", XLOOKUP('Job Control'!$B$3, INPUT_JobSettings!$A:$A, INPUT_JobSettings!$F:$F, ""), $B$6), $B$6))</f>
        <v/>
      </c>
      <c r="R189">
        <f>IF($A189="","", ($Q189+$N189)*IFERROR(IF(XLOOKUP('Job Control'!$B$3, INPUT_JobSettings!$A:$A, INPUT_JobSettings!$G:$G, "")&lt;&gt;"", XLOOKUP('Job Control'!$B$3, INPUT_JobSettings!$A:$A, INPUT_JobSettings!$G:$G, ""), $B$7), $B$7))</f>
        <v/>
      </c>
      <c r="S189">
        <f>IF($A189="","", XLOOKUP($A189, INPUT_Rooms!$B:$B, INPUT_Rooms!$AH:$AH, ""))</f>
        <v/>
      </c>
    </row>
    <row r="190">
      <c r="L190">
        <f>IF($A190="","",IF($D190="", "", CEILING( ($D190*$F190) / IFERROR(XLOOKUP(XLOOKUP('Job Control'!$B$3, INPUT_JobSettings!$A:$A, INPUT_JobSettings!$B:$B, ""), Constants!$A:$A, Constants!$E:$E, ""),""), 0.25))))</f>
        <v/>
      </c>
      <c r="M190">
        <f>IF($A190="","",IF($E190="None",0,IF($D190="", "", CEILING( ($D190*IF($E190="Full",1, XLOOKUP("PrimerSpotFactor",Constants!$A$20:$A$40,Constants!$B$20:$B$40))) / IFERROR(XLOOKUP(XLOOKUP('Job Control'!$B$3, INPUT_JobSettings!$A:$A, INPUT_JobSettings!$E:$E, ""), Constants!$A:$A, Constants!$E:$E, ""),""), 0.25)))))</f>
        <v/>
      </c>
      <c r="N190">
        <f>IF($A190="","",IF($D190="", "", $L190*IFERROR(XLOOKUP(XLOOKUP('Job Control'!$B$3, INPUT_JobSettings!$A:$A, INPUT_JobSettings!$B:$B, ""), Constants!$A:$A, Constants!$D:$D, 0),0) + $M190*IFERROR(XLOOKUP(XLOOKUP('Job Control'!$B$3, INPUT_JobSettings!$A:$A, INPUT_JobSettings!$E:$E, ""), Constants!$A:$A, Constants!$D:$D, 0),0))))</f>
        <v/>
      </c>
      <c r="O190">
        <f>IF($A190="","", SUM($H190:$K190))</f>
        <v/>
      </c>
      <c r="P190">
        <f>IF($A190="","", $O190/60)</f>
        <v/>
      </c>
      <c r="Q190">
        <f>IF($A190="","", $P190*IFERROR(IF(XLOOKUP('Job Control'!$B$3, INPUT_JobSettings!$A:$A, INPUT_JobSettings!$F:$F, "")&lt;&gt;"", XLOOKUP('Job Control'!$B$3, INPUT_JobSettings!$A:$A, INPUT_JobSettings!$F:$F, ""), $B$6), $B$6))</f>
        <v/>
      </c>
      <c r="R190">
        <f>IF($A190="","", ($Q190+$N190)*IFERROR(IF(XLOOKUP('Job Control'!$B$3, INPUT_JobSettings!$A:$A, INPUT_JobSettings!$G:$G, "")&lt;&gt;"", XLOOKUP('Job Control'!$B$3, INPUT_JobSettings!$A:$A, INPUT_JobSettings!$G:$G, ""), $B$7), $B$7))</f>
        <v/>
      </c>
      <c r="S190">
        <f>IF($A190="","", XLOOKUP($A190, INPUT_Rooms!$B:$B, INPUT_Rooms!$AH:$AH, ""))</f>
        <v/>
      </c>
    </row>
    <row r="191">
      <c r="L191">
        <f>IF($A191="","",IF($D191="", "", CEILING( ($D191*$F191) / IFERROR(XLOOKUP(XLOOKUP('Job Control'!$B$3, INPUT_JobSettings!$A:$A, INPUT_JobSettings!$B:$B, ""), Constants!$A:$A, Constants!$E:$E, ""),""), 0.25))))</f>
        <v/>
      </c>
      <c r="M191">
        <f>IF($A191="","",IF($E191="None",0,IF($D191="", "", CEILING( ($D191*IF($E191="Full",1, XLOOKUP("PrimerSpotFactor",Constants!$A$20:$A$40,Constants!$B$20:$B$40))) / IFERROR(XLOOKUP(XLOOKUP('Job Control'!$B$3, INPUT_JobSettings!$A:$A, INPUT_JobSettings!$E:$E, ""), Constants!$A:$A, Constants!$E:$E, ""),""), 0.25)))))</f>
        <v/>
      </c>
      <c r="N191">
        <f>IF($A191="","",IF($D191="", "", $L191*IFERROR(XLOOKUP(XLOOKUP('Job Control'!$B$3, INPUT_JobSettings!$A:$A, INPUT_JobSettings!$B:$B, ""), Constants!$A:$A, Constants!$D:$D, 0),0) + $M191*IFERROR(XLOOKUP(XLOOKUP('Job Control'!$B$3, INPUT_JobSettings!$A:$A, INPUT_JobSettings!$E:$E, ""), Constants!$A:$A, Constants!$D:$D, 0),0))))</f>
        <v/>
      </c>
      <c r="O191">
        <f>IF($A191="","", SUM($H191:$K191))</f>
        <v/>
      </c>
      <c r="P191">
        <f>IF($A191="","", $O191/60)</f>
        <v/>
      </c>
      <c r="Q191">
        <f>IF($A191="","", $P191*IFERROR(IF(XLOOKUP('Job Control'!$B$3, INPUT_JobSettings!$A:$A, INPUT_JobSettings!$F:$F, "")&lt;&gt;"", XLOOKUP('Job Control'!$B$3, INPUT_JobSettings!$A:$A, INPUT_JobSettings!$F:$F, ""), $B$6), $B$6))</f>
        <v/>
      </c>
      <c r="R191">
        <f>IF($A191="","", ($Q191+$N191)*IFERROR(IF(XLOOKUP('Job Control'!$B$3, INPUT_JobSettings!$A:$A, INPUT_JobSettings!$G:$G, "")&lt;&gt;"", XLOOKUP('Job Control'!$B$3, INPUT_JobSettings!$A:$A, INPUT_JobSettings!$G:$G, ""), $B$7), $B$7))</f>
        <v/>
      </c>
      <c r="S191">
        <f>IF($A191="","", XLOOKUP($A191, INPUT_Rooms!$B:$B, INPUT_Rooms!$AH:$AH, ""))</f>
        <v/>
      </c>
    </row>
    <row r="192">
      <c r="L192">
        <f>IF($A192="","",IF($D192="", "", CEILING( ($D192*$F192) / IFERROR(XLOOKUP(XLOOKUP('Job Control'!$B$3, INPUT_JobSettings!$A:$A, INPUT_JobSettings!$B:$B, ""), Constants!$A:$A, Constants!$E:$E, ""),""), 0.25))))</f>
        <v/>
      </c>
      <c r="M192">
        <f>IF($A192="","",IF($E192="None",0,IF($D192="", "", CEILING( ($D192*IF($E192="Full",1, XLOOKUP("PrimerSpotFactor",Constants!$A$20:$A$40,Constants!$B$20:$B$40))) / IFERROR(XLOOKUP(XLOOKUP('Job Control'!$B$3, INPUT_JobSettings!$A:$A, INPUT_JobSettings!$E:$E, ""), Constants!$A:$A, Constants!$E:$E, ""),""), 0.25)))))</f>
        <v/>
      </c>
      <c r="N192">
        <f>IF($A192="","",IF($D192="", "", $L192*IFERROR(XLOOKUP(XLOOKUP('Job Control'!$B$3, INPUT_JobSettings!$A:$A, INPUT_JobSettings!$B:$B, ""), Constants!$A:$A, Constants!$D:$D, 0),0) + $M192*IFERROR(XLOOKUP(XLOOKUP('Job Control'!$B$3, INPUT_JobSettings!$A:$A, INPUT_JobSettings!$E:$E, ""), Constants!$A:$A, Constants!$D:$D, 0),0))))</f>
        <v/>
      </c>
      <c r="O192">
        <f>IF($A192="","", SUM($H192:$K192))</f>
        <v/>
      </c>
      <c r="P192">
        <f>IF($A192="","", $O192/60)</f>
        <v/>
      </c>
      <c r="Q192">
        <f>IF($A192="","", $P192*IFERROR(IF(XLOOKUP('Job Control'!$B$3, INPUT_JobSettings!$A:$A, INPUT_JobSettings!$F:$F, "")&lt;&gt;"", XLOOKUP('Job Control'!$B$3, INPUT_JobSettings!$A:$A, INPUT_JobSettings!$F:$F, ""), $B$6), $B$6))</f>
        <v/>
      </c>
      <c r="R192">
        <f>IF($A192="","", ($Q192+$N192)*IFERROR(IF(XLOOKUP('Job Control'!$B$3, INPUT_JobSettings!$A:$A, INPUT_JobSettings!$G:$G, "")&lt;&gt;"", XLOOKUP('Job Control'!$B$3, INPUT_JobSettings!$A:$A, INPUT_JobSettings!$G:$G, ""), $B$7), $B$7))</f>
        <v/>
      </c>
      <c r="S192">
        <f>IF($A192="","", XLOOKUP($A192, INPUT_Rooms!$B:$B, INPUT_Rooms!$AH:$AH, ""))</f>
        <v/>
      </c>
    </row>
    <row r="193">
      <c r="L193">
        <f>IF($A193="","",IF($D193="", "", CEILING( ($D193*$F193) / IFERROR(XLOOKUP(XLOOKUP('Job Control'!$B$3, INPUT_JobSettings!$A:$A, INPUT_JobSettings!$B:$B, ""), Constants!$A:$A, Constants!$E:$E, ""),""), 0.25))))</f>
        <v/>
      </c>
      <c r="M193">
        <f>IF($A193="","",IF($E193="None",0,IF($D193="", "", CEILING( ($D193*IF($E193="Full",1, XLOOKUP("PrimerSpotFactor",Constants!$A$20:$A$40,Constants!$B$20:$B$40))) / IFERROR(XLOOKUP(XLOOKUP('Job Control'!$B$3, INPUT_JobSettings!$A:$A, INPUT_JobSettings!$E:$E, ""), Constants!$A:$A, Constants!$E:$E, ""),""), 0.25)))))</f>
        <v/>
      </c>
      <c r="N193">
        <f>IF($A193="","",IF($D193="", "", $L193*IFERROR(XLOOKUP(XLOOKUP('Job Control'!$B$3, INPUT_JobSettings!$A:$A, INPUT_JobSettings!$B:$B, ""), Constants!$A:$A, Constants!$D:$D, 0),0) + $M193*IFERROR(XLOOKUP(XLOOKUP('Job Control'!$B$3, INPUT_JobSettings!$A:$A, INPUT_JobSettings!$E:$E, ""), Constants!$A:$A, Constants!$D:$D, 0),0))))</f>
        <v/>
      </c>
      <c r="O193">
        <f>IF($A193="","", SUM($H193:$K193))</f>
        <v/>
      </c>
      <c r="P193">
        <f>IF($A193="","", $O193/60)</f>
        <v/>
      </c>
      <c r="Q193">
        <f>IF($A193="","", $P193*IFERROR(IF(XLOOKUP('Job Control'!$B$3, INPUT_JobSettings!$A:$A, INPUT_JobSettings!$F:$F, "")&lt;&gt;"", XLOOKUP('Job Control'!$B$3, INPUT_JobSettings!$A:$A, INPUT_JobSettings!$F:$F, ""), $B$6), $B$6))</f>
        <v/>
      </c>
      <c r="R193">
        <f>IF($A193="","", ($Q193+$N193)*IFERROR(IF(XLOOKUP('Job Control'!$B$3, INPUT_JobSettings!$A:$A, INPUT_JobSettings!$G:$G, "")&lt;&gt;"", XLOOKUP('Job Control'!$B$3, INPUT_JobSettings!$A:$A, INPUT_JobSettings!$G:$G, ""), $B$7), $B$7))</f>
        <v/>
      </c>
      <c r="S193">
        <f>IF($A193="","", XLOOKUP($A193, INPUT_Rooms!$B:$B, INPUT_Rooms!$AH:$AH, ""))</f>
        <v/>
      </c>
    </row>
    <row r="194">
      <c r="L194">
        <f>IF($A194="","",IF($D194="", "", CEILING( ($D194*$F194) / IFERROR(XLOOKUP(XLOOKUP('Job Control'!$B$3, INPUT_JobSettings!$A:$A, INPUT_JobSettings!$B:$B, ""), Constants!$A:$A, Constants!$E:$E, ""),""), 0.25))))</f>
        <v/>
      </c>
      <c r="M194">
        <f>IF($A194="","",IF($E194="None",0,IF($D194="", "", CEILING( ($D194*IF($E194="Full",1, XLOOKUP("PrimerSpotFactor",Constants!$A$20:$A$40,Constants!$B$20:$B$40))) / IFERROR(XLOOKUP(XLOOKUP('Job Control'!$B$3, INPUT_JobSettings!$A:$A, INPUT_JobSettings!$E:$E, ""), Constants!$A:$A, Constants!$E:$E, ""),""), 0.25)))))</f>
        <v/>
      </c>
      <c r="N194">
        <f>IF($A194="","",IF($D194="", "", $L194*IFERROR(XLOOKUP(XLOOKUP('Job Control'!$B$3, INPUT_JobSettings!$A:$A, INPUT_JobSettings!$B:$B, ""), Constants!$A:$A, Constants!$D:$D, 0),0) + $M194*IFERROR(XLOOKUP(XLOOKUP('Job Control'!$B$3, INPUT_JobSettings!$A:$A, INPUT_JobSettings!$E:$E, ""), Constants!$A:$A, Constants!$D:$D, 0),0))))</f>
        <v/>
      </c>
      <c r="O194">
        <f>IF($A194="","", SUM($H194:$K194))</f>
        <v/>
      </c>
      <c r="P194">
        <f>IF($A194="","", $O194/60)</f>
        <v/>
      </c>
      <c r="Q194">
        <f>IF($A194="","", $P194*IFERROR(IF(XLOOKUP('Job Control'!$B$3, INPUT_JobSettings!$A:$A, INPUT_JobSettings!$F:$F, "")&lt;&gt;"", XLOOKUP('Job Control'!$B$3, INPUT_JobSettings!$A:$A, INPUT_JobSettings!$F:$F, ""), $B$6), $B$6))</f>
        <v/>
      </c>
      <c r="R194">
        <f>IF($A194="","", ($Q194+$N194)*IFERROR(IF(XLOOKUP('Job Control'!$B$3, INPUT_JobSettings!$A:$A, INPUT_JobSettings!$G:$G, "")&lt;&gt;"", XLOOKUP('Job Control'!$B$3, INPUT_JobSettings!$A:$A, INPUT_JobSettings!$G:$G, ""), $B$7), $B$7))</f>
        <v/>
      </c>
      <c r="S194">
        <f>IF($A194="","", XLOOKUP($A194, INPUT_Rooms!$B:$B, INPUT_Rooms!$AH:$AH, ""))</f>
        <v/>
      </c>
    </row>
    <row r="195">
      <c r="L195">
        <f>IF($A195="","",IF($D195="", "", CEILING( ($D195*$F195) / IFERROR(XLOOKUP(XLOOKUP('Job Control'!$B$3, INPUT_JobSettings!$A:$A, INPUT_JobSettings!$B:$B, ""), Constants!$A:$A, Constants!$E:$E, ""),""), 0.25))))</f>
        <v/>
      </c>
      <c r="M195">
        <f>IF($A195="","",IF($E195="None",0,IF($D195="", "", CEILING( ($D195*IF($E195="Full",1, XLOOKUP("PrimerSpotFactor",Constants!$A$20:$A$40,Constants!$B$20:$B$40))) / IFERROR(XLOOKUP(XLOOKUP('Job Control'!$B$3, INPUT_JobSettings!$A:$A, INPUT_JobSettings!$E:$E, ""), Constants!$A:$A, Constants!$E:$E, ""),""), 0.25)))))</f>
        <v/>
      </c>
      <c r="N195">
        <f>IF($A195="","",IF($D195="", "", $L195*IFERROR(XLOOKUP(XLOOKUP('Job Control'!$B$3, INPUT_JobSettings!$A:$A, INPUT_JobSettings!$B:$B, ""), Constants!$A:$A, Constants!$D:$D, 0),0) + $M195*IFERROR(XLOOKUP(XLOOKUP('Job Control'!$B$3, INPUT_JobSettings!$A:$A, INPUT_JobSettings!$E:$E, ""), Constants!$A:$A, Constants!$D:$D, 0),0))))</f>
        <v/>
      </c>
      <c r="O195">
        <f>IF($A195="","", SUM($H195:$K195))</f>
        <v/>
      </c>
      <c r="P195">
        <f>IF($A195="","", $O195/60)</f>
        <v/>
      </c>
      <c r="Q195">
        <f>IF($A195="","", $P195*IFERROR(IF(XLOOKUP('Job Control'!$B$3, INPUT_JobSettings!$A:$A, INPUT_JobSettings!$F:$F, "")&lt;&gt;"", XLOOKUP('Job Control'!$B$3, INPUT_JobSettings!$A:$A, INPUT_JobSettings!$F:$F, ""), $B$6), $B$6))</f>
        <v/>
      </c>
      <c r="R195">
        <f>IF($A195="","", ($Q195+$N195)*IFERROR(IF(XLOOKUP('Job Control'!$B$3, INPUT_JobSettings!$A:$A, INPUT_JobSettings!$G:$G, "")&lt;&gt;"", XLOOKUP('Job Control'!$B$3, INPUT_JobSettings!$A:$A, INPUT_JobSettings!$G:$G, ""), $B$7), $B$7))</f>
        <v/>
      </c>
      <c r="S195">
        <f>IF($A195="","", XLOOKUP($A195, INPUT_Rooms!$B:$B, INPUT_Rooms!$AH:$AH, ""))</f>
        <v/>
      </c>
    </row>
    <row r="196">
      <c r="L196">
        <f>IF($A196="","",IF($D196="", "", CEILING( ($D196*$F196) / IFERROR(XLOOKUP(XLOOKUP('Job Control'!$B$3, INPUT_JobSettings!$A:$A, INPUT_JobSettings!$B:$B, ""), Constants!$A:$A, Constants!$E:$E, ""),""), 0.25))))</f>
        <v/>
      </c>
      <c r="M196">
        <f>IF($A196="","",IF($E196="None",0,IF($D196="", "", CEILING( ($D196*IF($E196="Full",1, XLOOKUP("PrimerSpotFactor",Constants!$A$20:$A$40,Constants!$B$20:$B$40))) / IFERROR(XLOOKUP(XLOOKUP('Job Control'!$B$3, INPUT_JobSettings!$A:$A, INPUT_JobSettings!$E:$E, ""), Constants!$A:$A, Constants!$E:$E, ""),""), 0.25)))))</f>
        <v/>
      </c>
      <c r="N196">
        <f>IF($A196="","",IF($D196="", "", $L196*IFERROR(XLOOKUP(XLOOKUP('Job Control'!$B$3, INPUT_JobSettings!$A:$A, INPUT_JobSettings!$B:$B, ""), Constants!$A:$A, Constants!$D:$D, 0),0) + $M196*IFERROR(XLOOKUP(XLOOKUP('Job Control'!$B$3, INPUT_JobSettings!$A:$A, INPUT_JobSettings!$E:$E, ""), Constants!$A:$A, Constants!$D:$D, 0),0))))</f>
        <v/>
      </c>
      <c r="O196">
        <f>IF($A196="","", SUM($H196:$K196))</f>
        <v/>
      </c>
      <c r="P196">
        <f>IF($A196="","", $O196/60)</f>
        <v/>
      </c>
      <c r="Q196">
        <f>IF($A196="","", $P196*IFERROR(IF(XLOOKUP('Job Control'!$B$3, INPUT_JobSettings!$A:$A, INPUT_JobSettings!$F:$F, "")&lt;&gt;"", XLOOKUP('Job Control'!$B$3, INPUT_JobSettings!$A:$A, INPUT_JobSettings!$F:$F, ""), $B$6), $B$6))</f>
        <v/>
      </c>
      <c r="R196">
        <f>IF($A196="","", ($Q196+$N196)*IFERROR(IF(XLOOKUP('Job Control'!$B$3, INPUT_JobSettings!$A:$A, INPUT_JobSettings!$G:$G, "")&lt;&gt;"", XLOOKUP('Job Control'!$B$3, INPUT_JobSettings!$A:$A, INPUT_JobSettings!$G:$G, ""), $B$7), $B$7))</f>
        <v/>
      </c>
      <c r="S196">
        <f>IF($A196="","", XLOOKUP($A196, INPUT_Rooms!$B:$B, INPUT_Rooms!$AH:$AH, ""))</f>
        <v/>
      </c>
    </row>
    <row r="197">
      <c r="L197">
        <f>IF($A197="","",IF($D197="", "", CEILING( ($D197*$F197) / IFERROR(XLOOKUP(XLOOKUP('Job Control'!$B$3, INPUT_JobSettings!$A:$A, INPUT_JobSettings!$B:$B, ""), Constants!$A:$A, Constants!$E:$E, ""),""), 0.25))))</f>
        <v/>
      </c>
      <c r="M197">
        <f>IF($A197="","",IF($E197="None",0,IF($D197="", "", CEILING( ($D197*IF($E197="Full",1, XLOOKUP("PrimerSpotFactor",Constants!$A$20:$A$40,Constants!$B$20:$B$40))) / IFERROR(XLOOKUP(XLOOKUP('Job Control'!$B$3, INPUT_JobSettings!$A:$A, INPUT_JobSettings!$E:$E, ""), Constants!$A:$A, Constants!$E:$E, ""),""), 0.25)))))</f>
        <v/>
      </c>
      <c r="N197">
        <f>IF($A197="","",IF($D197="", "", $L197*IFERROR(XLOOKUP(XLOOKUP('Job Control'!$B$3, INPUT_JobSettings!$A:$A, INPUT_JobSettings!$B:$B, ""), Constants!$A:$A, Constants!$D:$D, 0),0) + $M197*IFERROR(XLOOKUP(XLOOKUP('Job Control'!$B$3, INPUT_JobSettings!$A:$A, INPUT_JobSettings!$E:$E, ""), Constants!$A:$A, Constants!$D:$D, 0),0))))</f>
        <v/>
      </c>
      <c r="O197">
        <f>IF($A197="","", SUM($H197:$K197))</f>
        <v/>
      </c>
      <c r="P197">
        <f>IF($A197="","", $O197/60)</f>
        <v/>
      </c>
      <c r="Q197">
        <f>IF($A197="","", $P197*IFERROR(IF(XLOOKUP('Job Control'!$B$3, INPUT_JobSettings!$A:$A, INPUT_JobSettings!$F:$F, "")&lt;&gt;"", XLOOKUP('Job Control'!$B$3, INPUT_JobSettings!$A:$A, INPUT_JobSettings!$F:$F, ""), $B$6), $B$6))</f>
        <v/>
      </c>
      <c r="R197">
        <f>IF($A197="","", ($Q197+$N197)*IFERROR(IF(XLOOKUP('Job Control'!$B$3, INPUT_JobSettings!$A:$A, INPUT_JobSettings!$G:$G, "")&lt;&gt;"", XLOOKUP('Job Control'!$B$3, INPUT_JobSettings!$A:$A, INPUT_JobSettings!$G:$G, ""), $B$7), $B$7))</f>
        <v/>
      </c>
      <c r="S197">
        <f>IF($A197="","", XLOOKUP($A197, INPUT_Rooms!$B:$B, INPUT_Rooms!$AH:$AH, ""))</f>
        <v/>
      </c>
    </row>
    <row r="198">
      <c r="L198">
        <f>IF($A198="","",IF($D198="", "", CEILING( ($D198*$F198) / IFERROR(XLOOKUP(XLOOKUP('Job Control'!$B$3, INPUT_JobSettings!$A:$A, INPUT_JobSettings!$B:$B, ""), Constants!$A:$A, Constants!$E:$E, ""),""), 0.25))))</f>
        <v/>
      </c>
      <c r="M198">
        <f>IF($A198="","",IF($E198="None",0,IF($D198="", "", CEILING( ($D198*IF($E198="Full",1, XLOOKUP("PrimerSpotFactor",Constants!$A$20:$A$40,Constants!$B$20:$B$40))) / IFERROR(XLOOKUP(XLOOKUP('Job Control'!$B$3, INPUT_JobSettings!$A:$A, INPUT_JobSettings!$E:$E, ""), Constants!$A:$A, Constants!$E:$E, ""),""), 0.25)))))</f>
        <v/>
      </c>
      <c r="N198">
        <f>IF($A198="","",IF($D198="", "", $L198*IFERROR(XLOOKUP(XLOOKUP('Job Control'!$B$3, INPUT_JobSettings!$A:$A, INPUT_JobSettings!$B:$B, ""), Constants!$A:$A, Constants!$D:$D, 0),0) + $M198*IFERROR(XLOOKUP(XLOOKUP('Job Control'!$B$3, INPUT_JobSettings!$A:$A, INPUT_JobSettings!$E:$E, ""), Constants!$A:$A, Constants!$D:$D, 0),0))))</f>
        <v/>
      </c>
      <c r="O198">
        <f>IF($A198="","", SUM($H198:$K198))</f>
        <v/>
      </c>
      <c r="P198">
        <f>IF($A198="","", $O198/60)</f>
        <v/>
      </c>
      <c r="Q198">
        <f>IF($A198="","", $P198*IFERROR(IF(XLOOKUP('Job Control'!$B$3, INPUT_JobSettings!$A:$A, INPUT_JobSettings!$F:$F, "")&lt;&gt;"", XLOOKUP('Job Control'!$B$3, INPUT_JobSettings!$A:$A, INPUT_JobSettings!$F:$F, ""), $B$6), $B$6))</f>
        <v/>
      </c>
      <c r="R198">
        <f>IF($A198="","", ($Q198+$N198)*IFERROR(IF(XLOOKUP('Job Control'!$B$3, INPUT_JobSettings!$A:$A, INPUT_JobSettings!$G:$G, "")&lt;&gt;"", XLOOKUP('Job Control'!$B$3, INPUT_JobSettings!$A:$A, INPUT_JobSettings!$G:$G, ""), $B$7), $B$7))</f>
        <v/>
      </c>
      <c r="S198">
        <f>IF($A198="","", XLOOKUP($A198, INPUT_Rooms!$B:$B, INPUT_Rooms!$AH:$AH, ""))</f>
        <v/>
      </c>
    </row>
    <row r="199">
      <c r="L199">
        <f>IF($A199="","",IF($D199="", "", CEILING( ($D199*$F199) / IFERROR(XLOOKUP(XLOOKUP('Job Control'!$B$3, INPUT_JobSettings!$A:$A, INPUT_JobSettings!$B:$B, ""), Constants!$A:$A, Constants!$E:$E, ""),""), 0.25))))</f>
        <v/>
      </c>
      <c r="M199">
        <f>IF($A199="","",IF($E199="None",0,IF($D199="", "", CEILING( ($D199*IF($E199="Full",1, XLOOKUP("PrimerSpotFactor",Constants!$A$20:$A$40,Constants!$B$20:$B$40))) / IFERROR(XLOOKUP(XLOOKUP('Job Control'!$B$3, INPUT_JobSettings!$A:$A, INPUT_JobSettings!$E:$E, ""), Constants!$A:$A, Constants!$E:$E, ""),""), 0.25)))))</f>
        <v/>
      </c>
      <c r="N199">
        <f>IF($A199="","",IF($D199="", "", $L199*IFERROR(XLOOKUP(XLOOKUP('Job Control'!$B$3, INPUT_JobSettings!$A:$A, INPUT_JobSettings!$B:$B, ""), Constants!$A:$A, Constants!$D:$D, 0),0) + $M199*IFERROR(XLOOKUP(XLOOKUP('Job Control'!$B$3, INPUT_JobSettings!$A:$A, INPUT_JobSettings!$E:$E, ""), Constants!$A:$A, Constants!$D:$D, 0),0))))</f>
        <v/>
      </c>
      <c r="O199">
        <f>IF($A199="","", SUM($H199:$K199))</f>
        <v/>
      </c>
      <c r="P199">
        <f>IF($A199="","", $O199/60)</f>
        <v/>
      </c>
      <c r="Q199">
        <f>IF($A199="","", $P199*IFERROR(IF(XLOOKUP('Job Control'!$B$3, INPUT_JobSettings!$A:$A, INPUT_JobSettings!$F:$F, "")&lt;&gt;"", XLOOKUP('Job Control'!$B$3, INPUT_JobSettings!$A:$A, INPUT_JobSettings!$F:$F, ""), $B$6), $B$6))</f>
        <v/>
      </c>
      <c r="R199">
        <f>IF($A199="","", ($Q199+$N199)*IFERROR(IF(XLOOKUP('Job Control'!$B$3, INPUT_JobSettings!$A:$A, INPUT_JobSettings!$G:$G, "")&lt;&gt;"", XLOOKUP('Job Control'!$B$3, INPUT_JobSettings!$A:$A, INPUT_JobSettings!$G:$G, ""), $B$7), $B$7))</f>
        <v/>
      </c>
      <c r="S199">
        <f>IF($A199="","", XLOOKUP($A199, INPUT_Rooms!$B:$B, INPUT_Rooms!$AH:$AH, ""))</f>
        <v/>
      </c>
    </row>
    <row r="200">
      <c r="L200">
        <f>IF($A200="","",IF($D200="", "", CEILING( ($D200*$F200) / IFERROR(XLOOKUP(XLOOKUP('Job Control'!$B$3, INPUT_JobSettings!$A:$A, INPUT_JobSettings!$B:$B, ""), Constants!$A:$A, Constants!$E:$E, ""),""), 0.25))))</f>
        <v/>
      </c>
      <c r="M200">
        <f>IF($A200="","",IF($E200="None",0,IF($D200="", "", CEILING( ($D200*IF($E200="Full",1, XLOOKUP("PrimerSpotFactor",Constants!$A$20:$A$40,Constants!$B$20:$B$40))) / IFERROR(XLOOKUP(XLOOKUP('Job Control'!$B$3, INPUT_JobSettings!$A:$A, INPUT_JobSettings!$E:$E, ""), Constants!$A:$A, Constants!$E:$E, ""),""), 0.25)))))</f>
        <v/>
      </c>
      <c r="N200">
        <f>IF($A200="","",IF($D200="", "", $L200*IFERROR(XLOOKUP(XLOOKUP('Job Control'!$B$3, INPUT_JobSettings!$A:$A, INPUT_JobSettings!$B:$B, ""), Constants!$A:$A, Constants!$D:$D, 0),0) + $M200*IFERROR(XLOOKUP(XLOOKUP('Job Control'!$B$3, INPUT_JobSettings!$A:$A, INPUT_JobSettings!$E:$E, ""), Constants!$A:$A, Constants!$D:$D, 0),0))))</f>
        <v/>
      </c>
      <c r="O200">
        <f>IF($A200="","", SUM($H200:$K200))</f>
        <v/>
      </c>
      <c r="P200">
        <f>IF($A200="","", $O200/60)</f>
        <v/>
      </c>
      <c r="Q200">
        <f>IF($A200="","", $P200*IFERROR(IF(XLOOKUP('Job Control'!$B$3, INPUT_JobSettings!$A:$A, INPUT_JobSettings!$F:$F, "")&lt;&gt;"", XLOOKUP('Job Control'!$B$3, INPUT_JobSettings!$A:$A, INPUT_JobSettings!$F:$F, ""), $B$6), $B$6))</f>
        <v/>
      </c>
      <c r="R200">
        <f>IF($A200="","", ($Q200+$N200)*IFERROR(IF(XLOOKUP('Job Control'!$B$3, INPUT_JobSettings!$A:$A, INPUT_JobSettings!$G:$G, "")&lt;&gt;"", XLOOKUP('Job Control'!$B$3, INPUT_JobSettings!$A:$A, INPUT_JobSettings!$G:$G, ""), $B$7), $B$7))</f>
        <v/>
      </c>
    </row>
  </sheetData>
  <mergeCells count="1">
    <mergeCell ref="A1:P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H200"/>
  <sheetViews>
    <sheetView workbookViewId="0">
      <selection activeCell="A1" sqref="A1"/>
    </sheetView>
  </sheetViews>
  <sheetFormatPr baseColWidth="8" defaultRowHeight="15"/>
  <cols>
    <col width="10" customWidth="1" min="1" max="1"/>
    <col width="22" customWidth="1" min="2" max="2"/>
    <col width="8" customWidth="1" min="3" max="3"/>
    <col width="12" customWidth="1" min="4" max="4"/>
    <col width="12" customWidth="1" min="5" max="5"/>
    <col width="10" customWidth="1" min="6" max="6"/>
    <col width="10" customWidth="1" min="7" max="7"/>
    <col width="10" customWidth="1" min="8" max="8"/>
    <col width="14" customWidth="1" min="9" max="9"/>
    <col width="10" customWidth="1" min="10" max="10"/>
    <col width="10" customWidth="1" min="11" max="11"/>
    <col width="10" customWidth="1" min="12" max="12"/>
    <col width="12" customWidth="1" min="13" max="13"/>
    <col width="10" customWidth="1" min="14" max="14"/>
    <col width="10" customWidth="1" min="15" max="15"/>
    <col width="12" customWidth="1" min="16" max="16"/>
    <col width="14" customWidth="1" min="17" max="17"/>
  </cols>
  <sheetData>
    <row r="1">
      <c r="A1" s="1" t="inlineStr">
        <is>
          <t>CEILINGS ENGINE (reads INPUT_* tables)</t>
        </is>
      </c>
    </row>
    <row r="3">
      <c r="A3" s="4" t="inlineStr">
        <is>
          <t>Scope Settings</t>
        </is>
      </c>
    </row>
    <row r="4">
      <c r="A4" s="9" t="inlineStr">
        <is>
          <t>JobID (filter)</t>
        </is>
      </c>
      <c r="B4" s="8">
        <f>'Job Control'!$B$3</f>
        <v/>
      </c>
    </row>
    <row r="5">
      <c r="A5" s="9" t="inlineStr">
        <is>
          <t>Default Prep Level</t>
        </is>
      </c>
      <c r="B5" s="8" t="inlineStr">
        <is>
          <t>Light</t>
        </is>
      </c>
    </row>
    <row r="6">
      <c r="A6" s="9" t="inlineStr">
        <is>
          <t>Labor Rate ($/hr)</t>
        </is>
      </c>
      <c r="B6" s="6">
        <f>XLOOKUP("LaborRate",Constants!$A$10:$A$60,Constants!$B$10:$B$60)</f>
        <v/>
      </c>
    </row>
    <row r="7">
      <c r="A7" s="9" t="inlineStr">
        <is>
          <t>Markup</t>
        </is>
      </c>
      <c r="B7" s="6">
        <f>XLOOKUP("Markup",Constants!$A$10:$A$60,Constants!$B$10:$B$60)</f>
        <v/>
      </c>
    </row>
    <row r="10">
      <c r="A10" s="5" t="inlineStr">
        <is>
          <t>RoomID</t>
        </is>
      </c>
      <c r="B10" s="5" t="inlineStr">
        <is>
          <t>Room Name</t>
        </is>
      </c>
      <c r="C10" s="5" t="inlineStr">
        <is>
          <t>Include</t>
        </is>
      </c>
      <c r="D10" s="5" t="inlineStr">
        <is>
          <t>CeilingSqft</t>
        </is>
      </c>
      <c r="E10" s="5" t="inlineStr">
        <is>
          <t>CeilHeight_ft</t>
        </is>
      </c>
      <c r="F10" s="5" t="inlineStr">
        <is>
          <t>HeightMult</t>
        </is>
      </c>
      <c r="G10" s="5" t="inlineStr">
        <is>
          <t>Primer</t>
        </is>
      </c>
      <c r="H10" s="5" t="inlineStr">
        <is>
          <t>Topcoats</t>
        </is>
      </c>
      <c r="I10" s="5" t="inlineStr">
        <is>
          <t>PrepLevelUsed</t>
        </is>
      </c>
      <c r="J10" s="5" t="inlineStr">
        <is>
          <t>PrepMins</t>
        </is>
      </c>
      <c r="K10" s="5" t="inlineStr">
        <is>
          <t>PaintMins</t>
        </is>
      </c>
      <c r="L10" s="5" t="inlineStr">
        <is>
          <t>PrimerMins</t>
        </is>
      </c>
      <c r="M10" s="5" t="inlineStr">
        <is>
          <t>Surcharge$</t>
        </is>
      </c>
      <c r="N10" s="5" t="inlineStr">
        <is>
          <t>Paint_gal (calc)</t>
        </is>
      </c>
      <c r="O10" s="5" t="inlineStr">
        <is>
          <t>Primer_gal (calc)</t>
        </is>
      </c>
      <c r="P10" s="5" t="inlineStr">
        <is>
          <t>Material$ (calc)</t>
        </is>
      </c>
      <c r="Q10" s="5" t="inlineStr">
        <is>
          <t>TotalMins</t>
        </is>
      </c>
      <c r="R10" s="5" t="inlineStr">
        <is>
          <t>LaborHours</t>
        </is>
      </c>
      <c r="S10" s="5" t="inlineStr">
        <is>
          <t>Labor$</t>
        </is>
      </c>
      <c r="T10" s="5" t="inlineStr">
        <is>
          <t>Total$ w/Markup</t>
        </is>
      </c>
      <c r="U10" s="5" t="inlineStr">
        <is>
          <t>CeilingTypeID</t>
        </is>
      </c>
      <c r="V10" s="5" t="inlineStr">
        <is>
          <t>TypeLaborMult</t>
        </is>
      </c>
      <c r="W10" s="5" t="inlineStr">
        <is>
          <t>TypeSurcharge$</t>
        </is>
      </c>
    </row>
    <row r="11">
      <c r="A11" s="6">
        <f>IFERROR(INDEX(FILTER(INPUT_Rooms!$B$4:$B$83, INPUT_Rooms!$A$4:$A$83=$B$4, INPUT_Rooms!$O$4:$O$83="Y"), 1), "")</f>
        <v/>
      </c>
      <c r="B11" s="6">
        <f>IF(A11="","", XLOOKUP(A11, FILTER(INPUT_Rooms!$B$4:$B$83, INPUT_Rooms!$A$4:$A$83=$B$4), FILTER(INPUT_Rooms!$C$4:$C$83, INPUT_Rooms!$A$4:$A$83=$B$4), ""))</f>
        <v/>
      </c>
      <c r="C11" s="6">
        <f>IF(A11="","", "Y")</f>
        <v/>
      </c>
      <c r="D11" s="6">
        <f>IF(A11="","", XLOOKUP(A11, INPUT_Rooms!$B:$B, INPUT_Rooms!$AE:$AE, ""))</f>
        <v/>
      </c>
      <c r="E11" s="6">
        <f>IF(A11="","", XLOOKUP(A11, INPUT_Rooms!$B:$B, INPUT_Rooms!$H:$H, "")/12)</f>
        <v/>
      </c>
      <c r="F11" s="6">
        <f>IF(A11="","", LOOKUP(E11, Constants!$H$10:$H$40, Constants!$I$10:$I$40))</f>
        <v/>
      </c>
      <c r="G11" s="6">
        <f>IF(A11="","", XLOOKUP(A11, INPUT_Rooms!$B:$B, INPUT_Rooms!$P:$P, ""))</f>
        <v/>
      </c>
      <c r="H11" s="6">
        <f>IF(A11="","", XLOOKUP(A11, INPUT_Rooms!$B:$B, INPUT_Rooms!$Q:$Q, ""))</f>
        <v/>
      </c>
      <c r="I11" s="6">
        <f>IF(A11="","", IF(XLOOKUP(A11, INPUT_Rooms!$B:$B, INPUT_Rooms!$R:$R, "")="", $B$5, XLOOKUP(A11, INPUT_Rooms!$B:$B, INPUT_Rooms!$R:$R, "")))</f>
        <v/>
      </c>
      <c r="J11" s="6">
        <f>IF(A11="","", D11*XLOOKUP("PrepMinsPerSqft",Constants!$F$20:$F$40,Constants!$G$20:$G$40)*XLOOKUP(I11,Constants!$E$10:$E$30,Constants!$F$10:$F$30)*F11)</f>
        <v/>
      </c>
      <c r="K11" s="6">
        <f>IF(A11="","", D11*XLOOKUP("PaintMinsPerSqftPerCoat",Constants!$F$20:$F$40,Constants!$G$20:$G$40)*H11*F11)</f>
        <v/>
      </c>
      <c r="L11" s="6">
        <f>IF(A11="","", IF(G11="Full", D11*XLOOKUP("PrimerFullMinsPerSqft",Constants!$F$20:$F$40,Constants!$G$20:$G$40)*F11, IF(G11="Spot", D11*XLOOKUP("PrimerFullMinsPerSqft",Constants!$F$20:$F$40,Constants!$G$20:$G$40)*XLOOKUP("PrimerSpotFactor",Constants!$F$20:$F$40,Constants!$G$20:$G$40)*F11, 0)))</f>
        <v/>
      </c>
      <c r="M11" s="6">
        <f>IF($A11="","", IFERROR(XLOOKUP($A11, INPUT_Rooms!$B:$B, INPUT_Rooms!$S:$S, 0),0) + $W11)</f>
        <v/>
      </c>
      <c r="N11">
        <f>IF($A11="","",IF($C11&lt;&gt;"Y","",IF($D11="", "",IFERROR(CEILING( ($D11*$H11) / IFERROR(XLOOKUP(XLOOKUP('Job Control'!$B$3, INPUT_JobSettings!$A:$A, INPUT_JobSettings!$C:$C, ""), Constants!$A:$A, Constants!$D:$D, ""), ""), 0.25), ""))))</f>
        <v/>
      </c>
      <c r="O11">
        <f>IF($A11="","",IF($C11&lt;&gt;"Y",0,IF($G11="None",0,IF($D11="",0,CEILING(($D11*IF($G11="Full",1, XLOOKUP("PrimerSpotFactor",Constants!$A:$A,Constants!$B:$B,0.35))) / IFERROR(XLOOKUP(XLOOKUP('Job Control'!$B$3, INPUT_JobSettings!$A:$A, INPUT_JobSettings!$E:$E, ""),Constants!$A:$A,Constants!$D:$D),350),0.25)))))</f>
        <v/>
      </c>
      <c r="P11">
        <f>IF($A11="","",IFERROR($N11*IFERROR(XLOOKUP(XLOOKUP('Job Control'!$B$3, INPUT_JobSettings!$A:$A, INPUT_JobSettings!$C:$C, ""), Constants!$A:$A, Constants!$C:$C, 0), 0) + $O11*IFERROR(XLOOKUP(XLOOKUP('Job Control'!$B$3, INPUT_JobSettings!$A:$A, INPUT_JobSettings!$E:$E, ""), Constants!$A:$A, Constants!$C:$C, 0), 0) + $M11,0))</f>
        <v/>
      </c>
      <c r="Q11" s="6">
        <f>IF($A11="","", ($J11+$K11+$L11)*$V11 )</f>
        <v/>
      </c>
      <c r="R11" s="6">
        <f>IF($A11="","", $Q11/60)</f>
        <v/>
      </c>
      <c r="S11" s="6">
        <f>IF($A11="","", $R11*IFERROR(IF(XLOOKUP('Job Control'!$B$3, INPUT_JobSettings!$A:$A, INPUT_JobSettings!$F:$F, "")&lt;&gt;"", XLOOKUP('Job Control'!$B$3, INPUT_JobSettings!$A:$A, INPUT_JobSettings!$F:$F, ""), $B$6), $B$6) + $M11)</f>
        <v/>
      </c>
      <c r="T11" s="6">
        <f>IF($A11="","", ($S11+$P11)*IFERROR(IF(XLOOKUP('Job Control'!$B$3, INPUT_JobSettings!$A:$A, INPUT_JobSettings!$G:$G, "")&lt;&gt;"", XLOOKUP('Job Control'!$B$3, INPUT_JobSettings!$A:$A, INPUT_JobSettings!$G:$G, ""), $B$7), $B$7))</f>
        <v/>
      </c>
      <c r="U11" s="6">
        <f>IF($A11="","", IFERROR(XLOOKUP($A11, INPUT_Rooms!$B:$B, INPUT_Rooms!$AI:$AI, ""), ""))</f>
        <v/>
      </c>
      <c r="V11" s="6">
        <f>IF($C11&lt;&gt;"Y",0,IF($A11="","", IF($U11="", 1, IFERROR(XLOOKUP($U11, Constants!$A$160:$A$190, Constants!$C$160:$C$190, 1), 1))))</f>
        <v/>
      </c>
      <c r="W11" s="6">
        <f>IF($C11&lt;&gt;"Y",0,IF($A11="","", ($D11*IF($U11="",0,IFERROR(XLOOKUP($U11, Constants!$A$160:$A$190, Constants!$D$160:$D$190, 0),0))) ))</f>
        <v/>
      </c>
    </row>
    <row r="12">
      <c r="A12" s="6">
        <f>IFERROR(INDEX(FILTER(INPUT_Rooms!$B$4:$B$83, INPUT_Rooms!$A$4:$A$83=$B$4, INPUT_Rooms!$O$4:$O$83="Y"), 2), "")</f>
        <v/>
      </c>
      <c r="B12" s="6">
        <f>IF(A12="","", XLOOKUP(A12, FILTER(INPUT_Rooms!$B$4:$B$83, INPUT_Rooms!$A$4:$A$83=$B$4), FILTER(INPUT_Rooms!$C$4:$C$83, INPUT_Rooms!$A$4:$A$83=$B$4), ""))</f>
        <v/>
      </c>
      <c r="C12" s="6">
        <f>IF(A12="","", "Y")</f>
        <v/>
      </c>
      <c r="D12" s="6">
        <f>IF(A12="","", XLOOKUP(A12, INPUT_Rooms!$B:$B, INPUT_Rooms!$AE:$AE, ""))</f>
        <v/>
      </c>
      <c r="E12" s="6">
        <f>IF(A12="","", XLOOKUP(A12, INPUT_Rooms!$B:$B, INPUT_Rooms!$H:$H, "")/12)</f>
        <v/>
      </c>
      <c r="F12" s="6">
        <f>IF(A12="","", LOOKUP(E12, Constants!$H$10:$H$40, Constants!$I$10:$I$40))</f>
        <v/>
      </c>
      <c r="G12" s="6">
        <f>IF(A12="","", XLOOKUP(A12, INPUT_Rooms!$B:$B, INPUT_Rooms!$P:$P, ""))</f>
        <v/>
      </c>
      <c r="H12" s="6">
        <f>IF(A12="","", XLOOKUP(A12, INPUT_Rooms!$B:$B, INPUT_Rooms!$Q:$Q, ""))</f>
        <v/>
      </c>
      <c r="I12" s="6">
        <f>IF(A12="","", IF(XLOOKUP(A12, INPUT_Rooms!$B:$B, INPUT_Rooms!$R:$R, "")="", $B$5, XLOOKUP(A12, INPUT_Rooms!$B:$B, INPUT_Rooms!$R:$R, "")))</f>
        <v/>
      </c>
      <c r="J12" s="6">
        <f>IF(A12="","", D12*XLOOKUP("PrepMinsPerSqft",Constants!$F$20:$F$40,Constants!$G$20:$G$40)*XLOOKUP(I12,Constants!$E$10:$E$30,Constants!$F$10:$F$30)*F12)</f>
        <v/>
      </c>
      <c r="K12" s="6">
        <f>IF(A12="","", D12*XLOOKUP("PaintMinsPerSqftPerCoat",Constants!$F$20:$F$40,Constants!$G$20:$G$40)*H12*F12)</f>
        <v/>
      </c>
      <c r="L12" s="6">
        <f>IF(A12="","", IF(G12="Full", D12*XLOOKUP("PrimerFullMinsPerSqft",Constants!$F$20:$F$40,Constants!$G$20:$G$40)*F12, IF(G12="Spot", D12*XLOOKUP("PrimerFullMinsPerSqft",Constants!$F$20:$F$40,Constants!$G$20:$G$40)*XLOOKUP("PrimerSpotFactor",Constants!$F$20:$F$40,Constants!$G$20:$G$40)*F12, 0)))</f>
        <v/>
      </c>
      <c r="M12" s="6">
        <f>IF($A12="","", IFERROR(XLOOKUP($A12, INPUT_Rooms!$B:$B, INPUT_Rooms!$S:$S, 0),0) + $W12)</f>
        <v/>
      </c>
      <c r="N12">
        <f>IF($A12="","",IF($C12&lt;&gt;"Y","",IF($D12="", "",IFERROR(CEILING( ($D12*$H12) / IFERROR(XLOOKUP(XLOOKUP('Job Control'!$B$3, INPUT_JobSettings!$A:$A, INPUT_JobSettings!$C:$C, ""), Constants!$A:$A, Constants!$D:$D, ""), ""), 0.25), ""))))</f>
        <v/>
      </c>
      <c r="O12">
        <f>IF($A12="","",IF($C12&lt;&gt;"Y",0,IF($G12="None",0,IF($D12="",0,CEILING(($D12*IF($G12="Full",1, XLOOKUP("PrimerSpotFactor",Constants!$A:$A,Constants!$B:$B,0.35))) / IFERROR(XLOOKUP(XLOOKUP('Job Control'!$B$3, INPUT_JobSettings!$A:$A, INPUT_JobSettings!$E:$E, ""),Constants!$A:$A,Constants!$D:$D),350),0.25)))))</f>
        <v/>
      </c>
      <c r="P12">
        <f>IF($A12="","",IFERROR($N12*IFERROR(XLOOKUP(XLOOKUP('Job Control'!$B$3, INPUT_JobSettings!$A:$A, INPUT_JobSettings!$C:$C, ""), Constants!$A:$A, Constants!$C:$C, 0), 0) + $O12*IFERROR(XLOOKUP(XLOOKUP('Job Control'!$B$3, INPUT_JobSettings!$A:$A, INPUT_JobSettings!$E:$E, ""), Constants!$A:$A, Constants!$C:$C, 0), 0) + $M12,0))</f>
        <v/>
      </c>
      <c r="Q12" s="6">
        <f>IF($A12="","", ($J12+$K12+$L12)*$V12 )</f>
        <v/>
      </c>
      <c r="R12" s="6">
        <f>IF($A12="","", $Q12/60)</f>
        <v/>
      </c>
      <c r="S12" s="6">
        <f>IF($A12="","", $R12*IFERROR(IF(XLOOKUP('Job Control'!$B$3, INPUT_JobSettings!$A:$A, INPUT_JobSettings!$F:$F, "")&lt;&gt;"", XLOOKUP('Job Control'!$B$3, INPUT_JobSettings!$A:$A, INPUT_JobSettings!$F:$F, ""), $B$6), $B$6) + $M12)</f>
        <v/>
      </c>
      <c r="T12" s="6">
        <f>IF($A12="","", ($S12+$P12)*IFERROR(IF(XLOOKUP('Job Control'!$B$3, INPUT_JobSettings!$A:$A, INPUT_JobSettings!$G:$G, "")&lt;&gt;"", XLOOKUP('Job Control'!$B$3, INPUT_JobSettings!$A:$A, INPUT_JobSettings!$G:$G, ""), $B$7), $B$7))</f>
        <v/>
      </c>
      <c r="U12" s="6">
        <f>IF($A12="","", IFERROR(XLOOKUP($A12, INPUT_Rooms!$B:$B, INPUT_Rooms!$AI:$AI, ""), ""))</f>
        <v/>
      </c>
      <c r="V12" s="6">
        <f>IF($C12&lt;&gt;"Y",0,IF($A12="","", IF($U12="", 1, IFERROR(XLOOKUP($U12, Constants!$A$160:$A$190, Constants!$C$160:$C$190, 1), 1))))</f>
        <v/>
      </c>
      <c r="W12" s="6">
        <f>IF($C12&lt;&gt;"Y",0,IF($A12="","", ($D12*IF($U12="",0,IFERROR(XLOOKUP($U12, Constants!$A$160:$A$190, Constants!$D$160:$D$190, 0),0))) ))</f>
        <v/>
      </c>
    </row>
    <row r="13">
      <c r="A13" s="6">
        <f>IFERROR(INDEX(FILTER(INPUT_Rooms!$B$4:$B$83, INPUT_Rooms!$A$4:$A$83=$B$4, INPUT_Rooms!$O$4:$O$83="Y"), 3), "")</f>
        <v/>
      </c>
      <c r="B13" s="6">
        <f>IF(A13="","", XLOOKUP(A13, FILTER(INPUT_Rooms!$B$4:$B$83, INPUT_Rooms!$A$4:$A$83=$B$4), FILTER(INPUT_Rooms!$C$4:$C$83, INPUT_Rooms!$A$4:$A$83=$B$4), ""))</f>
        <v/>
      </c>
      <c r="C13" s="6">
        <f>IF(A13="","", "Y")</f>
        <v/>
      </c>
      <c r="D13" s="6">
        <f>IF(A13="","", XLOOKUP(A13, INPUT_Rooms!$B:$B, INPUT_Rooms!$AE:$AE, ""))</f>
        <v/>
      </c>
      <c r="E13" s="6">
        <f>IF(A13="","", XLOOKUP(A13, INPUT_Rooms!$B:$B, INPUT_Rooms!$H:$H, "")/12)</f>
        <v/>
      </c>
      <c r="F13" s="6">
        <f>IF(A13="","", LOOKUP(E13, Constants!$H$10:$H$40, Constants!$I$10:$I$40))</f>
        <v/>
      </c>
      <c r="G13" s="6">
        <f>IF(A13="","", XLOOKUP(A13, INPUT_Rooms!$B:$B, INPUT_Rooms!$P:$P, ""))</f>
        <v/>
      </c>
      <c r="H13" s="6">
        <f>IF(A13="","", XLOOKUP(A13, INPUT_Rooms!$B:$B, INPUT_Rooms!$Q:$Q, ""))</f>
        <v/>
      </c>
      <c r="I13" s="6">
        <f>IF(A13="","", IF(XLOOKUP(A13, INPUT_Rooms!$B:$B, INPUT_Rooms!$R:$R, "")="", $B$5, XLOOKUP(A13, INPUT_Rooms!$B:$B, INPUT_Rooms!$R:$R, "")))</f>
        <v/>
      </c>
      <c r="J13" s="6">
        <f>IF(A13="","", D13*XLOOKUP("PrepMinsPerSqft",Constants!$F$20:$F$40,Constants!$G$20:$G$40)*XLOOKUP(I13,Constants!$E$10:$E$30,Constants!$F$10:$F$30)*F13)</f>
        <v/>
      </c>
      <c r="K13" s="6">
        <f>IF(A13="","", D13*XLOOKUP("PaintMinsPerSqftPerCoat",Constants!$F$20:$F$40,Constants!$G$20:$G$40)*H13*F13)</f>
        <v/>
      </c>
      <c r="L13" s="6">
        <f>IF(A13="","", IF(G13="Full", D13*XLOOKUP("PrimerFullMinsPerSqft",Constants!$F$20:$F$40,Constants!$G$20:$G$40)*F13, IF(G13="Spot", D13*XLOOKUP("PrimerFullMinsPerSqft",Constants!$F$20:$F$40,Constants!$G$20:$G$40)*XLOOKUP("PrimerSpotFactor",Constants!$F$20:$F$40,Constants!$G$20:$G$40)*F13, 0)))</f>
        <v/>
      </c>
      <c r="M13" s="6">
        <f>IF($A13="","", IFERROR(XLOOKUP($A13, INPUT_Rooms!$B:$B, INPUT_Rooms!$S:$S, 0),0) + $W13)</f>
        <v/>
      </c>
      <c r="N13">
        <f>IF($A13="","",IF($C13&lt;&gt;"Y","",IF($D13="", "",IFERROR(CEILING( ($D13*$H13) / IFERROR(XLOOKUP(XLOOKUP('Job Control'!$B$3, INPUT_JobSettings!$A:$A, INPUT_JobSettings!$C:$C, ""), Constants!$A:$A, Constants!$D:$D, ""), ""), 0.25), ""))))</f>
        <v/>
      </c>
      <c r="O13">
        <f>IF($A13="","",IF($C13&lt;&gt;"Y",0,IF($G13="None",0,IF($D13="",0,CEILING(($D13*IF($G13="Full",1, XLOOKUP("PrimerSpotFactor",Constants!$A:$A,Constants!$B:$B,0.35))) / IFERROR(XLOOKUP(XLOOKUP('Job Control'!$B$3, INPUT_JobSettings!$A:$A, INPUT_JobSettings!$E:$E, ""),Constants!$A:$A,Constants!$D:$D),350),0.25)))))</f>
        <v/>
      </c>
      <c r="P13">
        <f>IF($A13="","",IFERROR($N13*IFERROR(XLOOKUP(XLOOKUP('Job Control'!$B$3, INPUT_JobSettings!$A:$A, INPUT_JobSettings!$C:$C, ""), Constants!$A:$A, Constants!$C:$C, 0), 0) + $O13*IFERROR(XLOOKUP(XLOOKUP('Job Control'!$B$3, INPUT_JobSettings!$A:$A, INPUT_JobSettings!$E:$E, ""), Constants!$A:$A, Constants!$C:$C, 0), 0) + $M13,0))</f>
        <v/>
      </c>
      <c r="Q13" s="6">
        <f>IF($A13="","", ($J13+$K13+$L13)*$V13 )</f>
        <v/>
      </c>
      <c r="R13" s="6">
        <f>IF($A13="","", $Q13/60)</f>
        <v/>
      </c>
      <c r="S13" s="6">
        <f>IF($A13="","", $R13*IFERROR(IF(XLOOKUP('Job Control'!$B$3, INPUT_JobSettings!$A:$A, INPUT_JobSettings!$F:$F, "")&lt;&gt;"", XLOOKUP('Job Control'!$B$3, INPUT_JobSettings!$A:$A, INPUT_JobSettings!$F:$F, ""), $B$6), $B$6) + $M13)</f>
        <v/>
      </c>
      <c r="T13" s="6">
        <f>IF($A13="","", ($S13+$P13)*IFERROR(IF(XLOOKUP('Job Control'!$B$3, INPUT_JobSettings!$A:$A, INPUT_JobSettings!$G:$G, "")&lt;&gt;"", XLOOKUP('Job Control'!$B$3, INPUT_JobSettings!$A:$A, INPUT_JobSettings!$G:$G, ""), $B$7), $B$7))</f>
        <v/>
      </c>
      <c r="U13" s="6">
        <f>IF($A13="","", IFERROR(XLOOKUP($A13, INPUT_Rooms!$B:$B, INPUT_Rooms!$AI:$AI, ""), ""))</f>
        <v/>
      </c>
      <c r="V13" s="6">
        <f>IF($C13&lt;&gt;"Y",0,IF($A13="","", IF($U13="", 1, IFERROR(XLOOKUP($U13, Constants!$A$160:$A$190, Constants!$C$160:$C$190, 1), 1))))</f>
        <v/>
      </c>
      <c r="W13" s="6">
        <f>IF($C13&lt;&gt;"Y",0,IF($A13="","", ($D13*IF($U13="",0,IFERROR(XLOOKUP($U13, Constants!$A$160:$A$190, Constants!$D$160:$D$190, 0),0))) ))</f>
        <v/>
      </c>
    </row>
    <row r="14">
      <c r="A14" s="6">
        <f>IFERROR(INDEX(FILTER(INPUT_Rooms!$B$4:$B$83, INPUT_Rooms!$A$4:$A$83=$B$4, INPUT_Rooms!$O$4:$O$83="Y"), 4), "")</f>
        <v/>
      </c>
      <c r="B14" s="6">
        <f>IF(A14="","", XLOOKUP(A14, FILTER(INPUT_Rooms!$B$4:$B$83, INPUT_Rooms!$A$4:$A$83=$B$4), FILTER(INPUT_Rooms!$C$4:$C$83, INPUT_Rooms!$A$4:$A$83=$B$4), ""))</f>
        <v/>
      </c>
      <c r="C14" s="6">
        <f>IF(A14="","", "Y")</f>
        <v/>
      </c>
      <c r="D14" s="6">
        <f>IF(A14="","", XLOOKUP(A14, INPUT_Rooms!$B:$B, INPUT_Rooms!$AE:$AE, ""))</f>
        <v/>
      </c>
      <c r="E14" s="6">
        <f>IF(A14="","", XLOOKUP(A14, INPUT_Rooms!$B:$B, INPUT_Rooms!$H:$H, "")/12)</f>
        <v/>
      </c>
      <c r="F14" s="6">
        <f>IF(A14="","", LOOKUP(E14, Constants!$H$10:$H$40, Constants!$I$10:$I$40))</f>
        <v/>
      </c>
      <c r="G14" s="6">
        <f>IF(A14="","", XLOOKUP(A14, INPUT_Rooms!$B:$B, INPUT_Rooms!$P:$P, ""))</f>
        <v/>
      </c>
      <c r="H14" s="6">
        <f>IF(A14="","", XLOOKUP(A14, INPUT_Rooms!$B:$B, INPUT_Rooms!$Q:$Q, ""))</f>
        <v/>
      </c>
      <c r="I14" s="6">
        <f>IF(A14="","", IF(XLOOKUP(A14, INPUT_Rooms!$B:$B, INPUT_Rooms!$R:$R, "")="", $B$5, XLOOKUP(A14, INPUT_Rooms!$B:$B, INPUT_Rooms!$R:$R, "")))</f>
        <v/>
      </c>
      <c r="J14" s="6">
        <f>IF(A14="","", D14*XLOOKUP("PrepMinsPerSqft",Constants!$F$20:$F$40,Constants!$G$20:$G$40)*XLOOKUP(I14,Constants!$E$10:$E$30,Constants!$F$10:$F$30)*F14)</f>
        <v/>
      </c>
      <c r="K14" s="6">
        <f>IF(A14="","", D14*XLOOKUP("PaintMinsPerSqftPerCoat",Constants!$F$20:$F$40,Constants!$G$20:$G$40)*H14*F14)</f>
        <v/>
      </c>
      <c r="L14" s="6">
        <f>IF(A14="","", IF(G14="Full", D14*XLOOKUP("PrimerFullMinsPerSqft",Constants!$F$20:$F$40,Constants!$G$20:$G$40)*F14, IF(G14="Spot", D14*XLOOKUP("PrimerFullMinsPerSqft",Constants!$F$20:$F$40,Constants!$G$20:$G$40)*XLOOKUP("PrimerSpotFactor",Constants!$F$20:$F$40,Constants!$G$20:$G$40)*F14, 0)))</f>
        <v/>
      </c>
      <c r="M14" s="6">
        <f>IF($A14="","", IFERROR(XLOOKUP($A14, INPUT_Rooms!$B:$B, INPUT_Rooms!$S:$S, 0),0) + $W14)</f>
        <v/>
      </c>
      <c r="N14">
        <f>IF($A14="","",IF($C14&lt;&gt;"Y","",IF($D14="", "",IFERROR(CEILING( ($D14*$H14) / IFERROR(XLOOKUP(XLOOKUP('Job Control'!$B$3, INPUT_JobSettings!$A:$A, INPUT_JobSettings!$C:$C, ""), Constants!$A:$A, Constants!$D:$D, ""), ""), 0.25), ""))))</f>
        <v/>
      </c>
      <c r="O14">
        <f>IF($A14="","",IF($C14&lt;&gt;"Y",0,IF($G14="None",0,IF($D14="",0,CEILING(($D14*IF($G14="Full",1, XLOOKUP("PrimerSpotFactor",Constants!$A:$A,Constants!$B:$B,0.35))) / IFERROR(XLOOKUP(XLOOKUP('Job Control'!$B$3, INPUT_JobSettings!$A:$A, INPUT_JobSettings!$E:$E, ""),Constants!$A:$A,Constants!$D:$D),350),0.25)))))</f>
        <v/>
      </c>
      <c r="P14">
        <f>IF($A14="","",IFERROR($N14*IFERROR(XLOOKUP(XLOOKUP('Job Control'!$B$3, INPUT_JobSettings!$A:$A, INPUT_JobSettings!$C:$C, ""), Constants!$A:$A, Constants!$C:$C, 0), 0) + $O14*IFERROR(XLOOKUP(XLOOKUP('Job Control'!$B$3, INPUT_JobSettings!$A:$A, INPUT_JobSettings!$E:$E, ""), Constants!$A:$A, Constants!$C:$C, 0), 0) + $M14,0))</f>
        <v/>
      </c>
      <c r="Q14" s="6">
        <f>IF($A14="","", ($J14+$K14+$L14)*$V14 )</f>
        <v/>
      </c>
      <c r="R14" s="6">
        <f>IF($A14="","", $Q14/60)</f>
        <v/>
      </c>
      <c r="S14" s="6">
        <f>IF($A14="","", $R14*IFERROR(IF(XLOOKUP('Job Control'!$B$3, INPUT_JobSettings!$A:$A, INPUT_JobSettings!$F:$F, "")&lt;&gt;"", XLOOKUP('Job Control'!$B$3, INPUT_JobSettings!$A:$A, INPUT_JobSettings!$F:$F, ""), $B$6), $B$6) + $M14)</f>
        <v/>
      </c>
      <c r="T14" s="6">
        <f>IF($A14="","", ($S14+$P14)*IFERROR(IF(XLOOKUP('Job Control'!$B$3, INPUT_JobSettings!$A:$A, INPUT_JobSettings!$G:$G, "")&lt;&gt;"", XLOOKUP('Job Control'!$B$3, INPUT_JobSettings!$A:$A, INPUT_JobSettings!$G:$G, ""), $B$7), $B$7))</f>
        <v/>
      </c>
      <c r="U14" s="6">
        <f>IF($A14="","", IFERROR(XLOOKUP($A14, INPUT_Rooms!$B:$B, INPUT_Rooms!$AI:$AI, ""), ""))</f>
        <v/>
      </c>
      <c r="V14" s="6">
        <f>IF($C14&lt;&gt;"Y",0,IF($A14="","", IF($U14="", 1, IFERROR(XLOOKUP($U14, Constants!$A$160:$A$190, Constants!$C$160:$C$190, 1), 1))))</f>
        <v/>
      </c>
      <c r="W14" s="6">
        <f>IF($C14&lt;&gt;"Y",0,IF($A14="","", ($D14*IF($U14="",0,IFERROR(XLOOKUP($U14, Constants!$A$160:$A$190, Constants!$D$160:$D$190, 0),0))) ))</f>
        <v/>
      </c>
    </row>
    <row r="15">
      <c r="A15" s="6">
        <f>IFERROR(INDEX(FILTER(INPUT_Rooms!$B$4:$B$83, INPUT_Rooms!$A$4:$A$83=$B$4, INPUT_Rooms!$O$4:$O$83="Y"), 5), "")</f>
        <v/>
      </c>
      <c r="B15" s="6">
        <f>IF(A15="","", XLOOKUP(A15, FILTER(INPUT_Rooms!$B$4:$B$83, INPUT_Rooms!$A$4:$A$83=$B$4), FILTER(INPUT_Rooms!$C$4:$C$83, INPUT_Rooms!$A$4:$A$83=$B$4), ""))</f>
        <v/>
      </c>
      <c r="C15" s="6">
        <f>IF(A15="","", "Y")</f>
        <v/>
      </c>
      <c r="D15" s="6">
        <f>IF(A15="","", XLOOKUP(A15, INPUT_Rooms!$B:$B, INPUT_Rooms!$AE:$AE, ""))</f>
        <v/>
      </c>
      <c r="E15" s="6">
        <f>IF(A15="","", XLOOKUP(A15, INPUT_Rooms!$B:$B, INPUT_Rooms!$H:$H, "")/12)</f>
        <v/>
      </c>
      <c r="F15" s="6">
        <f>IF(A15="","", LOOKUP(E15, Constants!$H$10:$H$40, Constants!$I$10:$I$40))</f>
        <v/>
      </c>
      <c r="G15" s="6">
        <f>IF(A15="","", XLOOKUP(A15, INPUT_Rooms!$B:$B, INPUT_Rooms!$P:$P, ""))</f>
        <v/>
      </c>
      <c r="H15" s="6">
        <f>IF(A15="","", XLOOKUP(A15, INPUT_Rooms!$B:$B, INPUT_Rooms!$Q:$Q, ""))</f>
        <v/>
      </c>
      <c r="I15" s="6">
        <f>IF(A15="","", IF(XLOOKUP(A15, INPUT_Rooms!$B:$B, INPUT_Rooms!$R:$R, "")="", $B$5, XLOOKUP(A15, INPUT_Rooms!$B:$B, INPUT_Rooms!$R:$R, "")))</f>
        <v/>
      </c>
      <c r="J15" s="6">
        <f>IF(A15="","", D15*XLOOKUP("PrepMinsPerSqft",Constants!$F$20:$F$40,Constants!$G$20:$G$40)*XLOOKUP(I15,Constants!$E$10:$E$30,Constants!$F$10:$F$30)*F15)</f>
        <v/>
      </c>
      <c r="K15" s="6">
        <f>IF(A15="","", D15*XLOOKUP("PaintMinsPerSqftPerCoat",Constants!$F$20:$F$40,Constants!$G$20:$G$40)*H15*F15)</f>
        <v/>
      </c>
      <c r="L15" s="6">
        <f>IF(A15="","", IF(G15="Full", D15*XLOOKUP("PrimerFullMinsPerSqft",Constants!$F$20:$F$40,Constants!$G$20:$G$40)*F15, IF(G15="Spot", D15*XLOOKUP("PrimerFullMinsPerSqft",Constants!$F$20:$F$40,Constants!$G$20:$G$40)*XLOOKUP("PrimerSpotFactor",Constants!$F$20:$F$40,Constants!$G$20:$G$40)*F15, 0)))</f>
        <v/>
      </c>
      <c r="M15" s="6">
        <f>IF($A15="","", IFERROR(XLOOKUP($A15, INPUT_Rooms!$B:$B, INPUT_Rooms!$S:$S, 0),0) + $W15)</f>
        <v/>
      </c>
      <c r="N15">
        <f>IF($A15="","",IF($C15&lt;&gt;"Y","",IF($D15="", "",IFERROR(CEILING( ($D15*$H15) / IFERROR(XLOOKUP(XLOOKUP('Job Control'!$B$3, INPUT_JobSettings!$A:$A, INPUT_JobSettings!$C:$C, ""), Constants!$A:$A, Constants!$D:$D, ""), ""), 0.25), ""))))</f>
        <v/>
      </c>
      <c r="O15">
        <f>IF($A15="","",IF($C15&lt;&gt;"Y",0,IF($G15="None",0,IF($D15="",0,CEILING(($D15*IF($G15="Full",1, XLOOKUP("PrimerSpotFactor",Constants!$A:$A,Constants!$B:$B,0.35))) / IFERROR(XLOOKUP(XLOOKUP('Job Control'!$B$3, INPUT_JobSettings!$A:$A, INPUT_JobSettings!$E:$E, ""),Constants!$A:$A,Constants!$D:$D),350),0.25)))))</f>
        <v/>
      </c>
      <c r="P15">
        <f>IF($A15="","",IFERROR($N15*IFERROR(XLOOKUP(XLOOKUP('Job Control'!$B$3, INPUT_JobSettings!$A:$A, INPUT_JobSettings!$C:$C, ""), Constants!$A:$A, Constants!$C:$C, 0), 0) + $O15*IFERROR(XLOOKUP(XLOOKUP('Job Control'!$B$3, INPUT_JobSettings!$A:$A, INPUT_JobSettings!$E:$E, ""), Constants!$A:$A, Constants!$C:$C, 0), 0) + $M15,0))</f>
        <v/>
      </c>
      <c r="Q15" s="6">
        <f>IF($A15="","", ($J15+$K15+$L15)*$V15 )</f>
        <v/>
      </c>
      <c r="R15" s="6">
        <f>IF($A15="","", $Q15/60)</f>
        <v/>
      </c>
      <c r="S15" s="6">
        <f>IF($A15="","", $R15*IFERROR(IF(XLOOKUP('Job Control'!$B$3, INPUT_JobSettings!$A:$A, INPUT_JobSettings!$F:$F, "")&lt;&gt;"", XLOOKUP('Job Control'!$B$3, INPUT_JobSettings!$A:$A, INPUT_JobSettings!$F:$F, ""), $B$6), $B$6) + $M15)</f>
        <v/>
      </c>
      <c r="T15" s="6">
        <f>IF($A15="","", ($S15+$P15)*IFERROR(IF(XLOOKUP('Job Control'!$B$3, INPUT_JobSettings!$A:$A, INPUT_JobSettings!$G:$G, "")&lt;&gt;"", XLOOKUP('Job Control'!$B$3, INPUT_JobSettings!$A:$A, INPUT_JobSettings!$G:$G, ""), $B$7), $B$7))</f>
        <v/>
      </c>
      <c r="U15" s="6">
        <f>IF($A15="","", IFERROR(XLOOKUP($A15, INPUT_Rooms!$B:$B, INPUT_Rooms!$AI:$AI, ""), ""))</f>
        <v/>
      </c>
      <c r="V15" s="6">
        <f>IF($C15&lt;&gt;"Y",0,IF($A15="","", IF($U15="", 1, IFERROR(XLOOKUP($U15, Constants!$A$160:$A$190, Constants!$C$160:$C$190, 1), 1))))</f>
        <v/>
      </c>
      <c r="W15" s="6">
        <f>IF($C15&lt;&gt;"Y",0,IF($A15="","", ($D15*IF($U15="",0,IFERROR(XLOOKUP($U15, Constants!$A$160:$A$190, Constants!$D$160:$D$190, 0),0))) ))</f>
        <v/>
      </c>
    </row>
    <row r="16">
      <c r="A16" s="6">
        <f>IFERROR(INDEX(FILTER(INPUT_Rooms!$B$4:$B$83, INPUT_Rooms!$A$4:$A$83=$B$4, INPUT_Rooms!$O$4:$O$83="Y"), 6), "")</f>
        <v/>
      </c>
      <c r="B16" s="6">
        <f>IF(A16="","", XLOOKUP(A16, FILTER(INPUT_Rooms!$B$4:$B$83, INPUT_Rooms!$A$4:$A$83=$B$4), FILTER(INPUT_Rooms!$C$4:$C$83, INPUT_Rooms!$A$4:$A$83=$B$4), ""))</f>
        <v/>
      </c>
      <c r="C16" s="6">
        <f>IF(A16="","", "Y")</f>
        <v/>
      </c>
      <c r="D16" s="6">
        <f>IF(A16="","", XLOOKUP(A16, INPUT_Rooms!$B:$B, INPUT_Rooms!$AE:$AE, ""))</f>
        <v/>
      </c>
      <c r="E16" s="6">
        <f>IF(A16="","", XLOOKUP(A16, INPUT_Rooms!$B:$B, INPUT_Rooms!$H:$H, "")/12)</f>
        <v/>
      </c>
      <c r="F16" s="6">
        <f>IF(A16="","", LOOKUP(E16, Constants!$H$10:$H$40, Constants!$I$10:$I$40))</f>
        <v/>
      </c>
      <c r="G16" s="6">
        <f>IF(A16="","", XLOOKUP(A16, INPUT_Rooms!$B:$B, INPUT_Rooms!$P:$P, ""))</f>
        <v/>
      </c>
      <c r="H16" s="6">
        <f>IF(A16="","", XLOOKUP(A16, INPUT_Rooms!$B:$B, INPUT_Rooms!$Q:$Q, ""))</f>
        <v/>
      </c>
      <c r="I16" s="6">
        <f>IF(A16="","", IF(XLOOKUP(A16, INPUT_Rooms!$B:$B, INPUT_Rooms!$R:$R, "")="", $B$5, XLOOKUP(A16, INPUT_Rooms!$B:$B, INPUT_Rooms!$R:$R, "")))</f>
        <v/>
      </c>
      <c r="J16" s="6">
        <f>IF(A16="","", D16*XLOOKUP("PrepMinsPerSqft",Constants!$F$20:$F$40,Constants!$G$20:$G$40)*XLOOKUP(I16,Constants!$E$10:$E$30,Constants!$F$10:$F$30)*F16)</f>
        <v/>
      </c>
      <c r="K16" s="6">
        <f>IF(A16="","", D16*XLOOKUP("PaintMinsPerSqftPerCoat",Constants!$F$20:$F$40,Constants!$G$20:$G$40)*H16*F16)</f>
        <v/>
      </c>
      <c r="L16" s="6">
        <f>IF(A16="","", IF(G16="Full", D16*XLOOKUP("PrimerFullMinsPerSqft",Constants!$F$20:$F$40,Constants!$G$20:$G$40)*F16, IF(G16="Spot", D16*XLOOKUP("PrimerFullMinsPerSqft",Constants!$F$20:$F$40,Constants!$G$20:$G$40)*XLOOKUP("PrimerSpotFactor",Constants!$F$20:$F$40,Constants!$G$20:$G$40)*F16, 0)))</f>
        <v/>
      </c>
      <c r="M16" s="6">
        <f>IF($A16="","", IFERROR(XLOOKUP($A16, INPUT_Rooms!$B:$B, INPUT_Rooms!$S:$S, 0),0) + $W16)</f>
        <v/>
      </c>
      <c r="N16">
        <f>IF($A16="","",IF($C16&lt;&gt;"Y","",IF($D16="", "",IFERROR(CEILING( ($D16*$H16) / IFERROR(XLOOKUP(XLOOKUP('Job Control'!$B$3, INPUT_JobSettings!$A:$A, INPUT_JobSettings!$C:$C, ""), Constants!$A:$A, Constants!$D:$D, ""), ""), 0.25), ""))))</f>
        <v/>
      </c>
      <c r="O16">
        <f>IF($A16="","",IF($C16&lt;&gt;"Y",0,IF($G16="None",0,IF($D16="",0,CEILING(($D16*IF($G16="Full",1, XLOOKUP("PrimerSpotFactor",Constants!$A:$A,Constants!$B:$B,0.35))) / IFERROR(XLOOKUP(XLOOKUP('Job Control'!$B$3, INPUT_JobSettings!$A:$A, INPUT_JobSettings!$E:$E, ""),Constants!$A:$A,Constants!$D:$D),350),0.25)))))</f>
        <v/>
      </c>
      <c r="P16">
        <f>IF($A16="","",IFERROR($N16*IFERROR(XLOOKUP(XLOOKUP('Job Control'!$B$3, INPUT_JobSettings!$A:$A, INPUT_JobSettings!$C:$C, ""), Constants!$A:$A, Constants!$C:$C, 0), 0) + $O16*IFERROR(XLOOKUP(XLOOKUP('Job Control'!$B$3, INPUT_JobSettings!$A:$A, INPUT_JobSettings!$E:$E, ""), Constants!$A:$A, Constants!$C:$C, 0), 0) + $M16,0))</f>
        <v/>
      </c>
      <c r="Q16" s="6">
        <f>IF($A16="","", ($J16+$K16+$L16)*$V16 )</f>
        <v/>
      </c>
      <c r="R16" s="6">
        <f>IF($A16="","", $Q16/60)</f>
        <v/>
      </c>
      <c r="S16" s="6">
        <f>IF($A16="","", $R16*IFERROR(IF(XLOOKUP('Job Control'!$B$3, INPUT_JobSettings!$A:$A, INPUT_JobSettings!$F:$F, "")&lt;&gt;"", XLOOKUP('Job Control'!$B$3, INPUT_JobSettings!$A:$A, INPUT_JobSettings!$F:$F, ""), $B$6), $B$6) + $M16)</f>
        <v/>
      </c>
      <c r="T16" s="6">
        <f>IF($A16="","", ($S16+$P16)*IFERROR(IF(XLOOKUP('Job Control'!$B$3, INPUT_JobSettings!$A:$A, INPUT_JobSettings!$G:$G, "")&lt;&gt;"", XLOOKUP('Job Control'!$B$3, INPUT_JobSettings!$A:$A, INPUT_JobSettings!$G:$G, ""), $B$7), $B$7))</f>
        <v/>
      </c>
      <c r="U16" s="6">
        <f>IF($A16="","", IFERROR(XLOOKUP($A16, INPUT_Rooms!$B:$B, INPUT_Rooms!$AI:$AI, ""), ""))</f>
        <v/>
      </c>
      <c r="V16" s="6">
        <f>IF($C16&lt;&gt;"Y",0,IF($A16="","", IF($U16="", 1, IFERROR(XLOOKUP($U16, Constants!$A$160:$A$190, Constants!$C$160:$C$190, 1), 1))))</f>
        <v/>
      </c>
      <c r="W16" s="6">
        <f>IF($C16&lt;&gt;"Y",0,IF($A16="","", ($D16*IF($U16="",0,IFERROR(XLOOKUP($U16, Constants!$A$160:$A$190, Constants!$D$160:$D$190, 0),0))) ))</f>
        <v/>
      </c>
    </row>
    <row r="17">
      <c r="A17" s="6">
        <f>IFERROR(INDEX(FILTER(INPUT_Rooms!$B$4:$B$83, INPUT_Rooms!$A$4:$A$83=$B$4, INPUT_Rooms!$O$4:$O$83="Y"), 7), "")</f>
        <v/>
      </c>
      <c r="B17" s="6">
        <f>IF(A17="","", XLOOKUP(A17, FILTER(INPUT_Rooms!$B$4:$B$83, INPUT_Rooms!$A$4:$A$83=$B$4), FILTER(INPUT_Rooms!$C$4:$C$83, INPUT_Rooms!$A$4:$A$83=$B$4), ""))</f>
        <v/>
      </c>
      <c r="C17" s="6">
        <f>IF(A17="","", "Y")</f>
        <v/>
      </c>
      <c r="D17" s="6">
        <f>IF(A17="","", XLOOKUP(A17, INPUT_Rooms!$B:$B, INPUT_Rooms!$AE:$AE, ""))</f>
        <v/>
      </c>
      <c r="E17" s="6">
        <f>IF(A17="","", XLOOKUP(A17, INPUT_Rooms!$B:$B, INPUT_Rooms!$H:$H, "")/12)</f>
        <v/>
      </c>
      <c r="F17" s="6">
        <f>IF(A17="","", LOOKUP(E17, Constants!$H$10:$H$40, Constants!$I$10:$I$40))</f>
        <v/>
      </c>
      <c r="G17" s="6">
        <f>IF(A17="","", XLOOKUP(A17, INPUT_Rooms!$B:$B, INPUT_Rooms!$P:$P, ""))</f>
        <v/>
      </c>
      <c r="H17" s="6">
        <f>IF(A17="","", XLOOKUP(A17, INPUT_Rooms!$B:$B, INPUT_Rooms!$Q:$Q, ""))</f>
        <v/>
      </c>
      <c r="I17" s="6">
        <f>IF(A17="","", IF(XLOOKUP(A17, INPUT_Rooms!$B:$B, INPUT_Rooms!$R:$R, "")="", $B$5, XLOOKUP(A17, INPUT_Rooms!$B:$B, INPUT_Rooms!$R:$R, "")))</f>
        <v/>
      </c>
      <c r="J17" s="6">
        <f>IF(A17="","", D17*XLOOKUP("PrepMinsPerSqft",Constants!$F$20:$F$40,Constants!$G$20:$G$40)*XLOOKUP(I17,Constants!$E$10:$E$30,Constants!$F$10:$F$30)*F17)</f>
        <v/>
      </c>
      <c r="K17" s="6">
        <f>IF(A17="","", D17*XLOOKUP("PaintMinsPerSqftPerCoat",Constants!$F$20:$F$40,Constants!$G$20:$G$40)*H17*F17)</f>
        <v/>
      </c>
      <c r="L17" s="6">
        <f>IF(A17="","", IF(G17="Full", D17*XLOOKUP("PrimerFullMinsPerSqft",Constants!$F$20:$F$40,Constants!$G$20:$G$40)*F17, IF(G17="Spot", D17*XLOOKUP("PrimerFullMinsPerSqft",Constants!$F$20:$F$40,Constants!$G$20:$G$40)*XLOOKUP("PrimerSpotFactor",Constants!$F$20:$F$40,Constants!$G$20:$G$40)*F17, 0)))</f>
        <v/>
      </c>
      <c r="M17" s="6">
        <f>IF($A17="","", IFERROR(XLOOKUP($A17, INPUT_Rooms!$B:$B, INPUT_Rooms!$S:$S, 0),0) + $W17)</f>
        <v/>
      </c>
      <c r="N17">
        <f>IF($A17="","",IF($C17&lt;&gt;"Y","",IF($D17="", "",IFERROR(CEILING( ($D17*$H17) / IFERROR(XLOOKUP(XLOOKUP('Job Control'!$B$3, INPUT_JobSettings!$A:$A, INPUT_JobSettings!$C:$C, ""), Constants!$A:$A, Constants!$D:$D, ""), ""), 0.25), ""))))</f>
        <v/>
      </c>
      <c r="O17">
        <f>IF($A17="","",IF($C17&lt;&gt;"Y",0,IF($G17="None",0,IF($D17="",0,CEILING(($D17*IF($G17="Full",1, XLOOKUP("PrimerSpotFactor",Constants!$A:$A,Constants!$B:$B,0.35))) / IFERROR(XLOOKUP(XLOOKUP('Job Control'!$B$3, INPUT_JobSettings!$A:$A, INPUT_JobSettings!$E:$E, ""),Constants!$A:$A,Constants!$D:$D),350),0.25)))))</f>
        <v/>
      </c>
      <c r="P17">
        <f>IF($A17="","",IFERROR($N17*IFERROR(XLOOKUP(XLOOKUP('Job Control'!$B$3, INPUT_JobSettings!$A:$A, INPUT_JobSettings!$C:$C, ""), Constants!$A:$A, Constants!$C:$C, 0), 0) + $O17*IFERROR(XLOOKUP(XLOOKUP('Job Control'!$B$3, INPUT_JobSettings!$A:$A, INPUT_JobSettings!$E:$E, ""), Constants!$A:$A, Constants!$C:$C, 0), 0) + $M17,0))</f>
        <v/>
      </c>
      <c r="Q17" s="6">
        <f>IF($A17="","", ($J17+$K17+$L17)*$V17 )</f>
        <v/>
      </c>
      <c r="R17" s="6">
        <f>IF($A17="","", $Q17/60)</f>
        <v/>
      </c>
      <c r="S17" s="6">
        <f>IF($A17="","", $R17*IFERROR(IF(XLOOKUP('Job Control'!$B$3, INPUT_JobSettings!$A:$A, INPUT_JobSettings!$F:$F, "")&lt;&gt;"", XLOOKUP('Job Control'!$B$3, INPUT_JobSettings!$A:$A, INPUT_JobSettings!$F:$F, ""), $B$6), $B$6) + $M17)</f>
        <v/>
      </c>
      <c r="T17" s="6">
        <f>IF($A17="","", ($S17+$P17)*IFERROR(IF(XLOOKUP('Job Control'!$B$3, INPUT_JobSettings!$A:$A, INPUT_JobSettings!$G:$G, "")&lt;&gt;"", XLOOKUP('Job Control'!$B$3, INPUT_JobSettings!$A:$A, INPUT_JobSettings!$G:$G, ""), $B$7), $B$7))</f>
        <v/>
      </c>
      <c r="U17" s="6">
        <f>IF($A17="","", IFERROR(XLOOKUP($A17, INPUT_Rooms!$B:$B, INPUT_Rooms!$AI:$AI, ""), ""))</f>
        <v/>
      </c>
      <c r="V17" s="6">
        <f>IF($C17&lt;&gt;"Y",0,IF($A17="","", IF($U17="", 1, IFERROR(XLOOKUP($U17, Constants!$A$160:$A$190, Constants!$C$160:$C$190, 1), 1))))</f>
        <v/>
      </c>
      <c r="W17" s="6">
        <f>IF($C17&lt;&gt;"Y",0,IF($A17="","", ($D17*IF($U17="",0,IFERROR(XLOOKUP($U17, Constants!$A$160:$A$190, Constants!$D$160:$D$190, 0),0))) ))</f>
        <v/>
      </c>
    </row>
    <row r="18">
      <c r="A18" s="6">
        <f>IFERROR(INDEX(FILTER(INPUT_Rooms!$B$4:$B$83, INPUT_Rooms!$A$4:$A$83=$B$4, INPUT_Rooms!$O$4:$O$83="Y"), 8), "")</f>
        <v/>
      </c>
      <c r="B18" s="6">
        <f>IF(A18="","", XLOOKUP(A18, FILTER(INPUT_Rooms!$B$4:$B$83, INPUT_Rooms!$A$4:$A$83=$B$4), FILTER(INPUT_Rooms!$C$4:$C$83, INPUT_Rooms!$A$4:$A$83=$B$4), ""))</f>
        <v/>
      </c>
      <c r="C18" s="6">
        <f>IF(A18="","", "Y")</f>
        <v/>
      </c>
      <c r="D18" s="6">
        <f>IF(A18="","", XLOOKUP(A18, INPUT_Rooms!$B:$B, INPUT_Rooms!$AE:$AE, ""))</f>
        <v/>
      </c>
      <c r="E18" s="6">
        <f>IF(A18="","", XLOOKUP(A18, INPUT_Rooms!$B:$B, INPUT_Rooms!$H:$H, "")/12)</f>
        <v/>
      </c>
      <c r="F18" s="6">
        <f>IF(A18="","", LOOKUP(E18, Constants!$H$10:$H$40, Constants!$I$10:$I$40))</f>
        <v/>
      </c>
      <c r="G18" s="6">
        <f>IF(A18="","", XLOOKUP(A18, INPUT_Rooms!$B:$B, INPUT_Rooms!$P:$P, ""))</f>
        <v/>
      </c>
      <c r="H18" s="6">
        <f>IF(A18="","", XLOOKUP(A18, INPUT_Rooms!$B:$B, INPUT_Rooms!$Q:$Q, ""))</f>
        <v/>
      </c>
      <c r="I18" s="6">
        <f>IF(A18="","", IF(XLOOKUP(A18, INPUT_Rooms!$B:$B, INPUT_Rooms!$R:$R, "")="", $B$5, XLOOKUP(A18, INPUT_Rooms!$B:$B, INPUT_Rooms!$R:$R, "")))</f>
        <v/>
      </c>
      <c r="J18" s="6">
        <f>IF(A18="","", D18*XLOOKUP("PrepMinsPerSqft",Constants!$F$20:$F$40,Constants!$G$20:$G$40)*XLOOKUP(I18,Constants!$E$10:$E$30,Constants!$F$10:$F$30)*F18)</f>
        <v/>
      </c>
      <c r="K18" s="6">
        <f>IF(A18="","", D18*XLOOKUP("PaintMinsPerSqftPerCoat",Constants!$F$20:$F$40,Constants!$G$20:$G$40)*H18*F18)</f>
        <v/>
      </c>
      <c r="L18" s="6">
        <f>IF(A18="","", IF(G18="Full", D18*XLOOKUP("PrimerFullMinsPerSqft",Constants!$F$20:$F$40,Constants!$G$20:$G$40)*F18, IF(G18="Spot", D18*XLOOKUP("PrimerFullMinsPerSqft",Constants!$F$20:$F$40,Constants!$G$20:$G$40)*XLOOKUP("PrimerSpotFactor",Constants!$F$20:$F$40,Constants!$G$20:$G$40)*F18, 0)))</f>
        <v/>
      </c>
      <c r="M18" s="6">
        <f>IF($A18="","", IFERROR(XLOOKUP($A18, INPUT_Rooms!$B:$B, INPUT_Rooms!$S:$S, 0),0) + $W18)</f>
        <v/>
      </c>
      <c r="N18">
        <f>IF($A18="","",IF($C18&lt;&gt;"Y","",IF($D18="", "",IFERROR(CEILING( ($D18*$H18) / IFERROR(XLOOKUP(XLOOKUP('Job Control'!$B$3, INPUT_JobSettings!$A:$A, INPUT_JobSettings!$C:$C, ""), Constants!$A:$A, Constants!$D:$D, ""), ""), 0.25), ""))))</f>
        <v/>
      </c>
      <c r="O18">
        <f>IF($A18="","",IF($C18&lt;&gt;"Y",0,IF($G18="None",0,IF($D18="",0,CEILING(($D18*IF($G18="Full",1, XLOOKUP("PrimerSpotFactor",Constants!$A:$A,Constants!$B:$B,0.35))) / IFERROR(XLOOKUP(XLOOKUP('Job Control'!$B$3, INPUT_JobSettings!$A:$A, INPUT_JobSettings!$E:$E, ""),Constants!$A:$A,Constants!$D:$D),350),0.25)))))</f>
        <v/>
      </c>
      <c r="P18">
        <f>IF($A18="","",IFERROR($N18*IFERROR(XLOOKUP(XLOOKUP('Job Control'!$B$3, INPUT_JobSettings!$A:$A, INPUT_JobSettings!$C:$C, ""), Constants!$A:$A, Constants!$C:$C, 0), 0) + $O18*IFERROR(XLOOKUP(XLOOKUP('Job Control'!$B$3, INPUT_JobSettings!$A:$A, INPUT_JobSettings!$E:$E, ""), Constants!$A:$A, Constants!$C:$C, 0), 0) + $M18,0))</f>
        <v/>
      </c>
      <c r="Q18" s="6">
        <f>IF($A18="","", ($J18+$K18+$L18)*$V18 )</f>
        <v/>
      </c>
      <c r="R18" s="6">
        <f>IF($A18="","", $Q18/60)</f>
        <v/>
      </c>
      <c r="S18" s="6">
        <f>IF($A18="","", $R18*IFERROR(IF(XLOOKUP('Job Control'!$B$3, INPUT_JobSettings!$A:$A, INPUT_JobSettings!$F:$F, "")&lt;&gt;"", XLOOKUP('Job Control'!$B$3, INPUT_JobSettings!$A:$A, INPUT_JobSettings!$F:$F, ""), $B$6), $B$6) + $M18)</f>
        <v/>
      </c>
      <c r="T18" s="6">
        <f>IF($A18="","", ($S18+$P18)*IFERROR(IF(XLOOKUP('Job Control'!$B$3, INPUT_JobSettings!$A:$A, INPUT_JobSettings!$G:$G, "")&lt;&gt;"", XLOOKUP('Job Control'!$B$3, INPUT_JobSettings!$A:$A, INPUT_JobSettings!$G:$G, ""), $B$7), $B$7))</f>
        <v/>
      </c>
      <c r="U18" s="6">
        <f>IF($A18="","", IFERROR(XLOOKUP($A18, INPUT_Rooms!$B:$B, INPUT_Rooms!$AI:$AI, ""), ""))</f>
        <v/>
      </c>
      <c r="V18" s="6">
        <f>IF($C18&lt;&gt;"Y",0,IF($A18="","", IF($U18="", 1, IFERROR(XLOOKUP($U18, Constants!$A$160:$A$190, Constants!$C$160:$C$190, 1), 1))))</f>
        <v/>
      </c>
      <c r="W18" s="6">
        <f>IF($C18&lt;&gt;"Y",0,IF($A18="","", ($D18*IF($U18="",0,IFERROR(XLOOKUP($U18, Constants!$A$160:$A$190, Constants!$D$160:$D$190, 0),0))) ))</f>
        <v/>
      </c>
    </row>
    <row r="19">
      <c r="A19" s="6">
        <f>IFERROR(INDEX(FILTER(INPUT_Rooms!$B$4:$B$83, INPUT_Rooms!$A$4:$A$83=$B$4, INPUT_Rooms!$O$4:$O$83="Y"), 9), "")</f>
        <v/>
      </c>
      <c r="B19" s="6">
        <f>IF(A19="","", XLOOKUP(A19, FILTER(INPUT_Rooms!$B$4:$B$83, INPUT_Rooms!$A$4:$A$83=$B$4), FILTER(INPUT_Rooms!$C$4:$C$83, INPUT_Rooms!$A$4:$A$83=$B$4), ""))</f>
        <v/>
      </c>
      <c r="C19" s="6">
        <f>IF(A19="","", "Y")</f>
        <v/>
      </c>
      <c r="D19" s="6">
        <f>IF(A19="","", XLOOKUP(A19, INPUT_Rooms!$B:$B, INPUT_Rooms!$AE:$AE, ""))</f>
        <v/>
      </c>
      <c r="E19" s="6">
        <f>IF(A19="","", XLOOKUP(A19, INPUT_Rooms!$B:$B, INPUT_Rooms!$H:$H, "")/12)</f>
        <v/>
      </c>
      <c r="F19" s="6">
        <f>IF(A19="","", LOOKUP(E19, Constants!$H$10:$H$40, Constants!$I$10:$I$40))</f>
        <v/>
      </c>
      <c r="G19" s="6">
        <f>IF(A19="","", XLOOKUP(A19, INPUT_Rooms!$B:$B, INPUT_Rooms!$P:$P, ""))</f>
        <v/>
      </c>
      <c r="H19" s="6">
        <f>IF(A19="","", XLOOKUP(A19, INPUT_Rooms!$B:$B, INPUT_Rooms!$Q:$Q, ""))</f>
        <v/>
      </c>
      <c r="I19" s="6">
        <f>IF(A19="","", IF(XLOOKUP(A19, INPUT_Rooms!$B:$B, INPUT_Rooms!$R:$R, "")="", $B$5, XLOOKUP(A19, INPUT_Rooms!$B:$B, INPUT_Rooms!$R:$R, "")))</f>
        <v/>
      </c>
      <c r="J19" s="6">
        <f>IF(A19="","", D19*XLOOKUP("PrepMinsPerSqft",Constants!$F$20:$F$40,Constants!$G$20:$G$40)*XLOOKUP(I19,Constants!$E$10:$E$30,Constants!$F$10:$F$30)*F19)</f>
        <v/>
      </c>
      <c r="K19" s="6">
        <f>IF(A19="","", D19*XLOOKUP("PaintMinsPerSqftPerCoat",Constants!$F$20:$F$40,Constants!$G$20:$G$40)*H19*F19)</f>
        <v/>
      </c>
      <c r="L19" s="6">
        <f>IF(A19="","", IF(G19="Full", D19*XLOOKUP("PrimerFullMinsPerSqft",Constants!$F$20:$F$40,Constants!$G$20:$G$40)*F19, IF(G19="Spot", D19*XLOOKUP("PrimerFullMinsPerSqft",Constants!$F$20:$F$40,Constants!$G$20:$G$40)*XLOOKUP("PrimerSpotFactor",Constants!$F$20:$F$40,Constants!$G$20:$G$40)*F19, 0)))</f>
        <v/>
      </c>
      <c r="M19" s="6">
        <f>IF($A19="","", IFERROR(XLOOKUP($A19, INPUT_Rooms!$B:$B, INPUT_Rooms!$S:$S, 0),0) + $W19)</f>
        <v/>
      </c>
      <c r="N19">
        <f>IF($A19="","",IF($C19&lt;&gt;"Y","",IF($D19="", "",IFERROR(CEILING( ($D19*$H19) / IFERROR(XLOOKUP(XLOOKUP('Job Control'!$B$3, INPUT_JobSettings!$A:$A, INPUT_JobSettings!$C:$C, ""), Constants!$A:$A, Constants!$D:$D, ""), ""), 0.25), ""))))</f>
        <v/>
      </c>
      <c r="O19">
        <f>IF($A19="","",IF($C19&lt;&gt;"Y",0,IF($G19="None",0,IF($D19="",0,CEILING(($D19*IF($G19="Full",1, XLOOKUP("PrimerSpotFactor",Constants!$A:$A,Constants!$B:$B,0.35))) / IFERROR(XLOOKUP(XLOOKUP('Job Control'!$B$3, INPUT_JobSettings!$A:$A, INPUT_JobSettings!$E:$E, ""),Constants!$A:$A,Constants!$D:$D),350),0.25)))))</f>
        <v/>
      </c>
      <c r="P19">
        <f>IF($A19="","",IFERROR($N19*IFERROR(XLOOKUP(XLOOKUP('Job Control'!$B$3, INPUT_JobSettings!$A:$A, INPUT_JobSettings!$C:$C, ""), Constants!$A:$A, Constants!$C:$C, 0), 0) + $O19*IFERROR(XLOOKUP(XLOOKUP('Job Control'!$B$3, INPUT_JobSettings!$A:$A, INPUT_JobSettings!$E:$E, ""), Constants!$A:$A, Constants!$C:$C, 0), 0) + $M19,0))</f>
        <v/>
      </c>
      <c r="Q19" s="6">
        <f>IF($A19="","", ($J19+$K19+$L19)*$V19 )</f>
        <v/>
      </c>
      <c r="R19" s="6">
        <f>IF($A19="","", $Q19/60)</f>
        <v/>
      </c>
      <c r="S19" s="6">
        <f>IF($A19="","", $R19*IFERROR(IF(XLOOKUP('Job Control'!$B$3, INPUT_JobSettings!$A:$A, INPUT_JobSettings!$F:$F, "")&lt;&gt;"", XLOOKUP('Job Control'!$B$3, INPUT_JobSettings!$A:$A, INPUT_JobSettings!$F:$F, ""), $B$6), $B$6) + $M19)</f>
        <v/>
      </c>
      <c r="T19" s="6">
        <f>IF($A19="","", ($S19+$P19)*IFERROR(IF(XLOOKUP('Job Control'!$B$3, INPUT_JobSettings!$A:$A, INPUT_JobSettings!$G:$G, "")&lt;&gt;"", XLOOKUP('Job Control'!$B$3, INPUT_JobSettings!$A:$A, INPUT_JobSettings!$G:$G, ""), $B$7), $B$7))</f>
        <v/>
      </c>
      <c r="U19" s="6">
        <f>IF($A19="","", IFERROR(XLOOKUP($A19, INPUT_Rooms!$B:$B, INPUT_Rooms!$AI:$AI, ""), ""))</f>
        <v/>
      </c>
      <c r="V19" s="6">
        <f>IF($C19&lt;&gt;"Y",0,IF($A19="","", IF($U19="", 1, IFERROR(XLOOKUP($U19, Constants!$A$160:$A$190, Constants!$C$160:$C$190, 1), 1))))</f>
        <v/>
      </c>
      <c r="W19" s="6">
        <f>IF($C19&lt;&gt;"Y",0,IF($A19="","", ($D19*IF($U19="",0,IFERROR(XLOOKUP($U19, Constants!$A$160:$A$190, Constants!$D$160:$D$190, 0),0))) ))</f>
        <v/>
      </c>
    </row>
    <row r="20">
      <c r="A20" s="6">
        <f>IFERROR(INDEX(FILTER(INPUT_Rooms!$B$4:$B$83, INPUT_Rooms!$A$4:$A$83=$B$4, INPUT_Rooms!$O$4:$O$83="Y"), 10), "")</f>
        <v/>
      </c>
      <c r="B20" s="6">
        <f>IF(A20="","", XLOOKUP(A20, FILTER(INPUT_Rooms!$B$4:$B$83, INPUT_Rooms!$A$4:$A$83=$B$4), FILTER(INPUT_Rooms!$C$4:$C$83, INPUT_Rooms!$A$4:$A$83=$B$4), ""))</f>
        <v/>
      </c>
      <c r="C20" s="6">
        <f>IF(A20="","", "Y")</f>
        <v/>
      </c>
      <c r="D20" s="6">
        <f>IF(A20="","", XLOOKUP(A20, INPUT_Rooms!$B:$B, INPUT_Rooms!$AE:$AE, ""))</f>
        <v/>
      </c>
      <c r="E20" s="6">
        <f>IF(A20="","", XLOOKUP(A20, INPUT_Rooms!$B:$B, INPUT_Rooms!$H:$H, "")/12)</f>
        <v/>
      </c>
      <c r="F20" s="6">
        <f>IF(A20="","", LOOKUP(E20, Constants!$H$10:$H$40, Constants!$I$10:$I$40))</f>
        <v/>
      </c>
      <c r="G20" s="6">
        <f>IF(A20="","", XLOOKUP(A20, INPUT_Rooms!$B:$B, INPUT_Rooms!$P:$P, ""))</f>
        <v/>
      </c>
      <c r="H20" s="6">
        <f>IF(A20="","", XLOOKUP(A20, INPUT_Rooms!$B:$B, INPUT_Rooms!$Q:$Q, ""))</f>
        <v/>
      </c>
      <c r="I20" s="6">
        <f>IF(A20="","", IF(XLOOKUP(A20, INPUT_Rooms!$B:$B, INPUT_Rooms!$R:$R, "")="", $B$5, XLOOKUP(A20, INPUT_Rooms!$B:$B, INPUT_Rooms!$R:$R, "")))</f>
        <v/>
      </c>
      <c r="J20" s="6">
        <f>IF(A20="","", D20*XLOOKUP("PrepMinsPerSqft",Constants!$F$20:$F$40,Constants!$G$20:$G$40)*XLOOKUP(I20,Constants!$E$10:$E$30,Constants!$F$10:$F$30)*F20)</f>
        <v/>
      </c>
      <c r="K20" s="6">
        <f>IF(A20="","", D20*XLOOKUP("PaintMinsPerSqftPerCoat",Constants!$F$20:$F$40,Constants!$G$20:$G$40)*H20*F20)</f>
        <v/>
      </c>
      <c r="L20" s="6">
        <f>IF(A20="","", IF(G20="Full", D20*XLOOKUP("PrimerFullMinsPerSqft",Constants!$F$20:$F$40,Constants!$G$20:$G$40)*F20, IF(G20="Spot", D20*XLOOKUP("PrimerFullMinsPerSqft",Constants!$F$20:$F$40,Constants!$G$20:$G$40)*XLOOKUP("PrimerSpotFactor",Constants!$F$20:$F$40,Constants!$G$20:$G$40)*F20, 0)))</f>
        <v/>
      </c>
      <c r="M20" s="6">
        <f>IF($A20="","", IFERROR(XLOOKUP($A20, INPUT_Rooms!$B:$B, INPUT_Rooms!$S:$S, 0),0) + $W20)</f>
        <v/>
      </c>
      <c r="N20">
        <f>IF($A20="","",IF($C20&lt;&gt;"Y","",IF($D20="", "",IFERROR(CEILING( ($D20*$H20) / IFERROR(XLOOKUP(XLOOKUP('Job Control'!$B$3, INPUT_JobSettings!$A:$A, INPUT_JobSettings!$C:$C, ""), Constants!$A:$A, Constants!$D:$D, ""), ""), 0.25), ""))))</f>
        <v/>
      </c>
      <c r="O20">
        <f>IF($A20="","",IF($C20&lt;&gt;"Y",0,IF($G20="None",0,IF($D20="",0,CEILING(($D20*IF($G20="Full",1, XLOOKUP("PrimerSpotFactor",Constants!$A:$A,Constants!$B:$B,0.35))) / IFERROR(XLOOKUP(XLOOKUP('Job Control'!$B$3, INPUT_JobSettings!$A:$A, INPUT_JobSettings!$E:$E, ""),Constants!$A:$A,Constants!$D:$D),350),0.25)))))</f>
        <v/>
      </c>
      <c r="P20">
        <f>IF($A20="","",IFERROR($N20*IFERROR(XLOOKUP(XLOOKUP('Job Control'!$B$3, INPUT_JobSettings!$A:$A, INPUT_JobSettings!$C:$C, ""), Constants!$A:$A, Constants!$C:$C, 0), 0) + $O20*IFERROR(XLOOKUP(XLOOKUP('Job Control'!$B$3, INPUT_JobSettings!$A:$A, INPUT_JobSettings!$E:$E, ""), Constants!$A:$A, Constants!$C:$C, 0), 0) + $M20,0))</f>
        <v/>
      </c>
      <c r="Q20" s="6">
        <f>IF($A20="","", ($J20+$K20+$L20)*$V20 )</f>
        <v/>
      </c>
      <c r="R20" s="6">
        <f>IF($A20="","", $Q20/60)</f>
        <v/>
      </c>
      <c r="S20" s="6">
        <f>IF($A20="","", $R20*IFERROR(IF(XLOOKUP('Job Control'!$B$3, INPUT_JobSettings!$A:$A, INPUT_JobSettings!$F:$F, "")&lt;&gt;"", XLOOKUP('Job Control'!$B$3, INPUT_JobSettings!$A:$A, INPUT_JobSettings!$F:$F, ""), $B$6), $B$6) + $M20)</f>
        <v/>
      </c>
      <c r="T20" s="6">
        <f>IF($A20="","", ($S20+$P20)*IFERROR(IF(XLOOKUP('Job Control'!$B$3, INPUT_JobSettings!$A:$A, INPUT_JobSettings!$G:$G, "")&lt;&gt;"", XLOOKUP('Job Control'!$B$3, INPUT_JobSettings!$A:$A, INPUT_JobSettings!$G:$G, ""), $B$7), $B$7))</f>
        <v/>
      </c>
      <c r="U20" s="6">
        <f>IF($A20="","", IFERROR(XLOOKUP($A20, INPUT_Rooms!$B:$B, INPUT_Rooms!$AI:$AI, ""), ""))</f>
        <v/>
      </c>
      <c r="V20" s="6">
        <f>IF($C20&lt;&gt;"Y",0,IF($A20="","", IF($U20="", 1, IFERROR(XLOOKUP($U20, Constants!$A$160:$A$190, Constants!$C$160:$C$190, 1), 1))))</f>
        <v/>
      </c>
      <c r="W20" s="6">
        <f>IF($C20&lt;&gt;"Y",0,IF($A20="","", ($D20*IF($U20="",0,IFERROR(XLOOKUP($U20, Constants!$A$160:$A$190, Constants!$D$160:$D$190, 0),0))) ))</f>
        <v/>
      </c>
    </row>
    <row r="21">
      <c r="A21" s="6">
        <f>IFERROR(INDEX(FILTER(INPUT_Rooms!$B$4:$B$83, INPUT_Rooms!$A$4:$A$83=$B$4, INPUT_Rooms!$O$4:$O$83="Y"), 11), "")</f>
        <v/>
      </c>
      <c r="B21" s="6">
        <f>IF(A21="","", XLOOKUP(A21, FILTER(INPUT_Rooms!$B$4:$B$83, INPUT_Rooms!$A$4:$A$83=$B$4), FILTER(INPUT_Rooms!$C$4:$C$83, INPUT_Rooms!$A$4:$A$83=$B$4), ""))</f>
        <v/>
      </c>
      <c r="C21" s="6">
        <f>IF(A21="","", "Y")</f>
        <v/>
      </c>
      <c r="D21" s="6">
        <f>IF(A21="","", XLOOKUP(A21, INPUT_Rooms!$B:$B, INPUT_Rooms!$AE:$AE, ""))</f>
        <v/>
      </c>
      <c r="E21" s="6">
        <f>IF(A21="","", XLOOKUP(A21, INPUT_Rooms!$B:$B, INPUT_Rooms!$H:$H, "")/12)</f>
        <v/>
      </c>
      <c r="F21" s="6">
        <f>IF(A21="","", LOOKUP(E21, Constants!$H$10:$H$40, Constants!$I$10:$I$40))</f>
        <v/>
      </c>
      <c r="G21" s="6">
        <f>IF(A21="","", XLOOKUP(A21, INPUT_Rooms!$B:$B, INPUT_Rooms!$P:$P, ""))</f>
        <v/>
      </c>
      <c r="H21" s="6">
        <f>IF(A21="","", XLOOKUP(A21, INPUT_Rooms!$B:$B, INPUT_Rooms!$Q:$Q, ""))</f>
        <v/>
      </c>
      <c r="I21" s="6">
        <f>IF(A21="","", IF(XLOOKUP(A21, INPUT_Rooms!$B:$B, INPUT_Rooms!$R:$R, "")="", $B$5, XLOOKUP(A21, INPUT_Rooms!$B:$B, INPUT_Rooms!$R:$R, "")))</f>
        <v/>
      </c>
      <c r="J21" s="6">
        <f>IF(A21="","", D21*XLOOKUP("PrepMinsPerSqft",Constants!$F$20:$F$40,Constants!$G$20:$G$40)*XLOOKUP(I21,Constants!$E$10:$E$30,Constants!$F$10:$F$30)*F21)</f>
        <v/>
      </c>
      <c r="K21" s="6">
        <f>IF(A21="","", D21*XLOOKUP("PaintMinsPerSqftPerCoat",Constants!$F$20:$F$40,Constants!$G$20:$G$40)*H21*F21)</f>
        <v/>
      </c>
      <c r="L21" s="6">
        <f>IF(A21="","", IF(G21="Full", D21*XLOOKUP("PrimerFullMinsPerSqft",Constants!$F$20:$F$40,Constants!$G$20:$G$40)*F21, IF(G21="Spot", D21*XLOOKUP("PrimerFullMinsPerSqft",Constants!$F$20:$F$40,Constants!$G$20:$G$40)*XLOOKUP("PrimerSpotFactor",Constants!$F$20:$F$40,Constants!$G$20:$G$40)*F21, 0)))</f>
        <v/>
      </c>
      <c r="M21" s="6">
        <f>IF($A21="","", IFERROR(XLOOKUP($A21, INPUT_Rooms!$B:$B, INPUT_Rooms!$S:$S, 0),0) + $W21)</f>
        <v/>
      </c>
      <c r="N21">
        <f>IF($A21="","",IF($C21&lt;&gt;"Y","",IF($D21="", "",IFERROR(CEILING( ($D21*$H21) / IFERROR(XLOOKUP(XLOOKUP('Job Control'!$B$3, INPUT_JobSettings!$A:$A, INPUT_JobSettings!$C:$C, ""), Constants!$A:$A, Constants!$D:$D, ""), ""), 0.25), ""))))</f>
        <v/>
      </c>
      <c r="O21">
        <f>IF($A21="","",IF($C21&lt;&gt;"Y",0,IF($G21="None",0,IF($D21="",0,CEILING(($D21*IF($G21="Full",1, XLOOKUP("PrimerSpotFactor",Constants!$A:$A,Constants!$B:$B,0.35))) / IFERROR(XLOOKUP(XLOOKUP('Job Control'!$B$3, INPUT_JobSettings!$A:$A, INPUT_JobSettings!$E:$E, ""),Constants!$A:$A,Constants!$D:$D),350),0.25)))))</f>
        <v/>
      </c>
      <c r="P21">
        <f>IF($A21="","",IFERROR($N21*IFERROR(XLOOKUP(XLOOKUP('Job Control'!$B$3, INPUT_JobSettings!$A:$A, INPUT_JobSettings!$C:$C, ""), Constants!$A:$A, Constants!$C:$C, 0), 0) + $O21*IFERROR(XLOOKUP(XLOOKUP('Job Control'!$B$3, INPUT_JobSettings!$A:$A, INPUT_JobSettings!$E:$E, ""), Constants!$A:$A, Constants!$C:$C, 0), 0) + $M21,0))</f>
        <v/>
      </c>
      <c r="Q21" s="6">
        <f>IF($A21="","", ($J21+$K21+$L21)*$V21 )</f>
        <v/>
      </c>
      <c r="R21" s="6">
        <f>IF($A21="","", $Q21/60)</f>
        <v/>
      </c>
      <c r="S21" s="6">
        <f>IF($A21="","", $R21*IFERROR(IF(XLOOKUP('Job Control'!$B$3, INPUT_JobSettings!$A:$A, INPUT_JobSettings!$F:$F, "")&lt;&gt;"", XLOOKUP('Job Control'!$B$3, INPUT_JobSettings!$A:$A, INPUT_JobSettings!$F:$F, ""), $B$6), $B$6) + $M21)</f>
        <v/>
      </c>
      <c r="T21" s="6">
        <f>IF($A21="","", ($S21+$P21)*IFERROR(IF(XLOOKUP('Job Control'!$B$3, INPUT_JobSettings!$A:$A, INPUT_JobSettings!$G:$G, "")&lt;&gt;"", XLOOKUP('Job Control'!$B$3, INPUT_JobSettings!$A:$A, INPUT_JobSettings!$G:$G, ""), $B$7), $B$7))</f>
        <v/>
      </c>
      <c r="U21" s="6">
        <f>IF($A21="","", IFERROR(XLOOKUP($A21, INPUT_Rooms!$B:$B, INPUT_Rooms!$AI:$AI, ""), ""))</f>
        <v/>
      </c>
      <c r="V21" s="6">
        <f>IF($C21&lt;&gt;"Y",0,IF($A21="","", IF($U21="", 1, IFERROR(XLOOKUP($U21, Constants!$A$160:$A$190, Constants!$C$160:$C$190, 1), 1))))</f>
        <v/>
      </c>
      <c r="W21" s="6">
        <f>IF($C21&lt;&gt;"Y",0,IF($A21="","", ($D21*IF($U21="",0,IFERROR(XLOOKUP($U21, Constants!$A$160:$A$190, Constants!$D$160:$D$190, 0),0))) ))</f>
        <v/>
      </c>
    </row>
    <row r="22">
      <c r="A22" s="6">
        <f>IFERROR(INDEX(FILTER(INPUT_Rooms!$B$4:$B$83, INPUT_Rooms!$A$4:$A$83=$B$4, INPUT_Rooms!$O$4:$O$83="Y"), 12), "")</f>
        <v/>
      </c>
      <c r="B22" s="6">
        <f>IF(A22="","", XLOOKUP(A22, FILTER(INPUT_Rooms!$B$4:$B$83, INPUT_Rooms!$A$4:$A$83=$B$4), FILTER(INPUT_Rooms!$C$4:$C$83, INPUT_Rooms!$A$4:$A$83=$B$4), ""))</f>
        <v/>
      </c>
      <c r="C22" s="6">
        <f>IF(A22="","", "Y")</f>
        <v/>
      </c>
      <c r="D22" s="6">
        <f>IF(A22="","", XLOOKUP(A22, INPUT_Rooms!$B:$B, INPUT_Rooms!$AE:$AE, ""))</f>
        <v/>
      </c>
      <c r="E22" s="6">
        <f>IF(A22="","", XLOOKUP(A22, INPUT_Rooms!$B:$B, INPUT_Rooms!$H:$H, "")/12)</f>
        <v/>
      </c>
      <c r="F22" s="6">
        <f>IF(A22="","", LOOKUP(E22, Constants!$H$10:$H$40, Constants!$I$10:$I$40))</f>
        <v/>
      </c>
      <c r="G22" s="6">
        <f>IF(A22="","", XLOOKUP(A22, INPUT_Rooms!$B:$B, INPUT_Rooms!$P:$P, ""))</f>
        <v/>
      </c>
      <c r="H22" s="6">
        <f>IF(A22="","", XLOOKUP(A22, INPUT_Rooms!$B:$B, INPUT_Rooms!$Q:$Q, ""))</f>
        <v/>
      </c>
      <c r="I22" s="6">
        <f>IF(A22="","", IF(XLOOKUP(A22, INPUT_Rooms!$B:$B, INPUT_Rooms!$R:$R, "")="", $B$5, XLOOKUP(A22, INPUT_Rooms!$B:$B, INPUT_Rooms!$R:$R, "")))</f>
        <v/>
      </c>
      <c r="J22" s="6">
        <f>IF(A22="","", D22*XLOOKUP("PrepMinsPerSqft",Constants!$F$20:$F$40,Constants!$G$20:$G$40)*XLOOKUP(I22,Constants!$E$10:$E$30,Constants!$F$10:$F$30)*F22)</f>
        <v/>
      </c>
      <c r="K22" s="6">
        <f>IF(A22="","", D22*XLOOKUP("PaintMinsPerSqftPerCoat",Constants!$F$20:$F$40,Constants!$G$20:$G$40)*H22*F22)</f>
        <v/>
      </c>
      <c r="L22" s="6">
        <f>IF(A22="","", IF(G22="Full", D22*XLOOKUP("PrimerFullMinsPerSqft",Constants!$F$20:$F$40,Constants!$G$20:$G$40)*F22, IF(G22="Spot", D22*XLOOKUP("PrimerFullMinsPerSqft",Constants!$F$20:$F$40,Constants!$G$20:$G$40)*XLOOKUP("PrimerSpotFactor",Constants!$F$20:$F$40,Constants!$G$20:$G$40)*F22, 0)))</f>
        <v/>
      </c>
      <c r="M22" s="6">
        <f>IF($A22="","", IFERROR(XLOOKUP($A22, INPUT_Rooms!$B:$B, INPUT_Rooms!$S:$S, 0),0) + $W22)</f>
        <v/>
      </c>
      <c r="N22">
        <f>IF($A22="","",IF($C22&lt;&gt;"Y","",IF($D22="", "",IFERROR(CEILING( ($D22*$H22) / IFERROR(XLOOKUP(XLOOKUP('Job Control'!$B$3, INPUT_JobSettings!$A:$A, INPUT_JobSettings!$C:$C, ""), Constants!$A:$A, Constants!$D:$D, ""), ""), 0.25), ""))))</f>
        <v/>
      </c>
      <c r="O22">
        <f>IF($A22="","",IF($C22&lt;&gt;"Y",0,IF($G22="None",0,IF($D22="",0,CEILING(($D22*IF($G22="Full",1, XLOOKUP("PrimerSpotFactor",Constants!$A:$A,Constants!$B:$B,0.35))) / IFERROR(XLOOKUP(XLOOKUP('Job Control'!$B$3, INPUT_JobSettings!$A:$A, INPUT_JobSettings!$E:$E, ""),Constants!$A:$A,Constants!$D:$D),350),0.25)))))</f>
        <v/>
      </c>
      <c r="P22">
        <f>IF($A22="","",IFERROR($N22*IFERROR(XLOOKUP(XLOOKUP('Job Control'!$B$3, INPUT_JobSettings!$A:$A, INPUT_JobSettings!$C:$C, ""), Constants!$A:$A, Constants!$C:$C, 0), 0) + $O22*IFERROR(XLOOKUP(XLOOKUP('Job Control'!$B$3, INPUT_JobSettings!$A:$A, INPUT_JobSettings!$E:$E, ""), Constants!$A:$A, Constants!$C:$C, 0), 0) + $M22,0))</f>
        <v/>
      </c>
      <c r="Q22" s="6">
        <f>IF($A22="","", ($J22+$K22+$L22)*$V22 )</f>
        <v/>
      </c>
      <c r="R22" s="6">
        <f>IF($A22="","", $Q22/60)</f>
        <v/>
      </c>
      <c r="S22" s="6">
        <f>IF($A22="","", $R22*IFERROR(IF(XLOOKUP('Job Control'!$B$3, INPUT_JobSettings!$A:$A, INPUT_JobSettings!$F:$F, "")&lt;&gt;"", XLOOKUP('Job Control'!$B$3, INPUT_JobSettings!$A:$A, INPUT_JobSettings!$F:$F, ""), $B$6), $B$6) + $M22)</f>
        <v/>
      </c>
      <c r="T22" s="6">
        <f>IF($A22="","", ($S22+$P22)*IFERROR(IF(XLOOKUP('Job Control'!$B$3, INPUT_JobSettings!$A:$A, INPUT_JobSettings!$G:$G, "")&lt;&gt;"", XLOOKUP('Job Control'!$B$3, INPUT_JobSettings!$A:$A, INPUT_JobSettings!$G:$G, ""), $B$7), $B$7))</f>
        <v/>
      </c>
      <c r="U22" s="6">
        <f>IF($A22="","", IFERROR(XLOOKUP($A22, INPUT_Rooms!$B:$B, INPUT_Rooms!$AI:$AI, ""), ""))</f>
        <v/>
      </c>
      <c r="V22" s="6">
        <f>IF($C22&lt;&gt;"Y",0,IF($A22="","", IF($U22="", 1, IFERROR(XLOOKUP($U22, Constants!$A$160:$A$190, Constants!$C$160:$C$190, 1), 1))))</f>
        <v/>
      </c>
      <c r="W22" s="6">
        <f>IF($C22&lt;&gt;"Y",0,IF($A22="","", ($D22*IF($U22="",0,IFERROR(XLOOKUP($U22, Constants!$A$160:$A$190, Constants!$D$160:$D$190, 0),0))) ))</f>
        <v/>
      </c>
    </row>
    <row r="23">
      <c r="A23" s="6">
        <f>IFERROR(INDEX(FILTER(INPUT_Rooms!$B$4:$B$83, INPUT_Rooms!$A$4:$A$83=$B$4, INPUT_Rooms!$O$4:$O$83="Y"), 13), "")</f>
        <v/>
      </c>
      <c r="B23" s="6">
        <f>IF(A23="","", XLOOKUP(A23, FILTER(INPUT_Rooms!$B$4:$B$83, INPUT_Rooms!$A$4:$A$83=$B$4), FILTER(INPUT_Rooms!$C$4:$C$83, INPUT_Rooms!$A$4:$A$83=$B$4), ""))</f>
        <v/>
      </c>
      <c r="C23" s="6">
        <f>IF(A23="","", "Y")</f>
        <v/>
      </c>
      <c r="D23" s="6">
        <f>IF(A23="","", XLOOKUP(A23, INPUT_Rooms!$B:$B, INPUT_Rooms!$AE:$AE, ""))</f>
        <v/>
      </c>
      <c r="E23" s="6">
        <f>IF(A23="","", XLOOKUP(A23, INPUT_Rooms!$B:$B, INPUT_Rooms!$H:$H, "")/12)</f>
        <v/>
      </c>
      <c r="F23" s="6">
        <f>IF(A23="","", LOOKUP(E23, Constants!$H$10:$H$40, Constants!$I$10:$I$40))</f>
        <v/>
      </c>
      <c r="G23" s="6">
        <f>IF(A23="","", XLOOKUP(A23, INPUT_Rooms!$B:$B, INPUT_Rooms!$P:$P, ""))</f>
        <v/>
      </c>
      <c r="H23" s="6">
        <f>IF(A23="","", XLOOKUP(A23, INPUT_Rooms!$B:$B, INPUT_Rooms!$Q:$Q, ""))</f>
        <v/>
      </c>
      <c r="I23" s="6">
        <f>IF(A23="","", IF(XLOOKUP(A23, INPUT_Rooms!$B:$B, INPUT_Rooms!$R:$R, "")="", $B$5, XLOOKUP(A23, INPUT_Rooms!$B:$B, INPUT_Rooms!$R:$R, "")))</f>
        <v/>
      </c>
      <c r="J23" s="6">
        <f>IF(A23="","", D23*XLOOKUP("PrepMinsPerSqft",Constants!$F$20:$F$40,Constants!$G$20:$G$40)*XLOOKUP(I23,Constants!$E$10:$E$30,Constants!$F$10:$F$30)*F23)</f>
        <v/>
      </c>
      <c r="K23" s="6">
        <f>IF(A23="","", D23*XLOOKUP("PaintMinsPerSqftPerCoat",Constants!$F$20:$F$40,Constants!$G$20:$G$40)*H23*F23)</f>
        <v/>
      </c>
      <c r="L23" s="6">
        <f>IF(A23="","", IF(G23="Full", D23*XLOOKUP("PrimerFullMinsPerSqft",Constants!$F$20:$F$40,Constants!$G$20:$G$40)*F23, IF(G23="Spot", D23*XLOOKUP("PrimerFullMinsPerSqft",Constants!$F$20:$F$40,Constants!$G$20:$G$40)*XLOOKUP("PrimerSpotFactor",Constants!$F$20:$F$40,Constants!$G$20:$G$40)*F23, 0)))</f>
        <v/>
      </c>
      <c r="M23" s="6">
        <f>IF($A23="","", IFERROR(XLOOKUP($A23, INPUT_Rooms!$B:$B, INPUT_Rooms!$S:$S, 0),0) + $W23)</f>
        <v/>
      </c>
      <c r="N23">
        <f>IF($A23="","",IF($C23&lt;&gt;"Y","",IF($D23="", "",IFERROR(CEILING( ($D23*$H23) / IFERROR(XLOOKUP(XLOOKUP('Job Control'!$B$3, INPUT_JobSettings!$A:$A, INPUT_JobSettings!$C:$C, ""), Constants!$A:$A, Constants!$D:$D, ""), ""), 0.25), ""))))</f>
        <v/>
      </c>
      <c r="O23">
        <f>IF($A23="","",IF($C23&lt;&gt;"Y",0,IF($G23="None",0,IF($D23="",0,CEILING(($D23*IF($G23="Full",1, XLOOKUP("PrimerSpotFactor",Constants!$A:$A,Constants!$B:$B,0.35))) / IFERROR(XLOOKUP(XLOOKUP('Job Control'!$B$3, INPUT_JobSettings!$A:$A, INPUT_JobSettings!$E:$E, ""),Constants!$A:$A,Constants!$D:$D),350),0.25)))))</f>
        <v/>
      </c>
      <c r="P23">
        <f>IF($A23="","",IFERROR($N23*IFERROR(XLOOKUP(XLOOKUP('Job Control'!$B$3, INPUT_JobSettings!$A:$A, INPUT_JobSettings!$C:$C, ""), Constants!$A:$A, Constants!$C:$C, 0), 0) + $O23*IFERROR(XLOOKUP(XLOOKUP('Job Control'!$B$3, INPUT_JobSettings!$A:$A, INPUT_JobSettings!$E:$E, ""), Constants!$A:$A, Constants!$C:$C, 0), 0) + $M23,0))</f>
        <v/>
      </c>
      <c r="Q23" s="6">
        <f>IF($A23="","", ($J23+$K23+$L23)*$V23 )</f>
        <v/>
      </c>
      <c r="R23" s="6">
        <f>IF($A23="","", $Q23/60)</f>
        <v/>
      </c>
      <c r="S23" s="6">
        <f>IF($A23="","", $R23*IFERROR(IF(XLOOKUP('Job Control'!$B$3, INPUT_JobSettings!$A:$A, INPUT_JobSettings!$F:$F, "")&lt;&gt;"", XLOOKUP('Job Control'!$B$3, INPUT_JobSettings!$A:$A, INPUT_JobSettings!$F:$F, ""), $B$6), $B$6) + $M23)</f>
        <v/>
      </c>
      <c r="T23" s="6">
        <f>IF($A23="","", ($S23+$P23)*IFERROR(IF(XLOOKUP('Job Control'!$B$3, INPUT_JobSettings!$A:$A, INPUT_JobSettings!$G:$G, "")&lt;&gt;"", XLOOKUP('Job Control'!$B$3, INPUT_JobSettings!$A:$A, INPUT_JobSettings!$G:$G, ""), $B$7), $B$7))</f>
        <v/>
      </c>
      <c r="U23" s="6">
        <f>IF($A23="","", IFERROR(XLOOKUP($A23, INPUT_Rooms!$B:$B, INPUT_Rooms!$AI:$AI, ""), ""))</f>
        <v/>
      </c>
      <c r="V23" s="6">
        <f>IF($C23&lt;&gt;"Y",0,IF($A23="","", IF($U23="", 1, IFERROR(XLOOKUP($U23, Constants!$A$160:$A$190, Constants!$C$160:$C$190, 1), 1))))</f>
        <v/>
      </c>
      <c r="W23" s="6">
        <f>IF($C23&lt;&gt;"Y",0,IF($A23="","", ($D23*IF($U23="",0,IFERROR(XLOOKUP($U23, Constants!$A$160:$A$190, Constants!$D$160:$D$190, 0),0))) ))</f>
        <v/>
      </c>
    </row>
    <row r="24">
      <c r="A24" s="6">
        <f>IFERROR(INDEX(FILTER(INPUT_Rooms!$B$4:$B$83, INPUT_Rooms!$A$4:$A$83=$B$4, INPUT_Rooms!$O$4:$O$83="Y"), 14), "")</f>
        <v/>
      </c>
      <c r="B24" s="6">
        <f>IF(A24="","", XLOOKUP(A24, FILTER(INPUT_Rooms!$B$4:$B$83, INPUT_Rooms!$A$4:$A$83=$B$4), FILTER(INPUT_Rooms!$C$4:$C$83, INPUT_Rooms!$A$4:$A$83=$B$4), ""))</f>
        <v/>
      </c>
      <c r="C24" s="6">
        <f>IF(A24="","", "Y")</f>
        <v/>
      </c>
      <c r="D24" s="6">
        <f>IF(A24="","", XLOOKUP(A24, INPUT_Rooms!$B:$B, INPUT_Rooms!$AE:$AE, ""))</f>
        <v/>
      </c>
      <c r="E24" s="6">
        <f>IF(A24="","", XLOOKUP(A24, INPUT_Rooms!$B:$B, INPUT_Rooms!$H:$H, "")/12)</f>
        <v/>
      </c>
      <c r="F24" s="6">
        <f>IF(A24="","", LOOKUP(E24, Constants!$H$10:$H$40, Constants!$I$10:$I$40))</f>
        <v/>
      </c>
      <c r="G24" s="6">
        <f>IF(A24="","", XLOOKUP(A24, INPUT_Rooms!$B:$B, INPUT_Rooms!$P:$P, ""))</f>
        <v/>
      </c>
      <c r="H24" s="6">
        <f>IF(A24="","", XLOOKUP(A24, INPUT_Rooms!$B:$B, INPUT_Rooms!$Q:$Q, ""))</f>
        <v/>
      </c>
      <c r="I24" s="6">
        <f>IF(A24="","", IF(XLOOKUP(A24, INPUT_Rooms!$B:$B, INPUT_Rooms!$R:$R, "")="", $B$5, XLOOKUP(A24, INPUT_Rooms!$B:$B, INPUT_Rooms!$R:$R, "")))</f>
        <v/>
      </c>
      <c r="J24" s="6">
        <f>IF(A24="","", D24*XLOOKUP("PrepMinsPerSqft",Constants!$F$20:$F$40,Constants!$G$20:$G$40)*XLOOKUP(I24,Constants!$E$10:$E$30,Constants!$F$10:$F$30)*F24)</f>
        <v/>
      </c>
      <c r="K24" s="6">
        <f>IF(A24="","", D24*XLOOKUP("PaintMinsPerSqftPerCoat",Constants!$F$20:$F$40,Constants!$G$20:$G$40)*H24*F24)</f>
        <v/>
      </c>
      <c r="L24" s="6">
        <f>IF(A24="","", IF(G24="Full", D24*XLOOKUP("PrimerFullMinsPerSqft",Constants!$F$20:$F$40,Constants!$G$20:$G$40)*F24, IF(G24="Spot", D24*XLOOKUP("PrimerFullMinsPerSqft",Constants!$F$20:$F$40,Constants!$G$20:$G$40)*XLOOKUP("PrimerSpotFactor",Constants!$F$20:$F$40,Constants!$G$20:$G$40)*F24, 0)))</f>
        <v/>
      </c>
      <c r="M24" s="6">
        <f>IF($A24="","", IFERROR(XLOOKUP($A24, INPUT_Rooms!$B:$B, INPUT_Rooms!$S:$S, 0),0) + $W24)</f>
        <v/>
      </c>
      <c r="N24">
        <f>IF($A24="","",IF($C24&lt;&gt;"Y","",IF($D24="", "",IFERROR(CEILING( ($D24*$H24) / IFERROR(XLOOKUP(XLOOKUP('Job Control'!$B$3, INPUT_JobSettings!$A:$A, INPUT_JobSettings!$C:$C, ""), Constants!$A:$A, Constants!$D:$D, ""), ""), 0.25), ""))))</f>
        <v/>
      </c>
      <c r="O24">
        <f>IF($A24="","",IF($C24&lt;&gt;"Y",0,IF($G24="None",0,IF($D24="",0,CEILING(($D24*IF($G24="Full",1, XLOOKUP("PrimerSpotFactor",Constants!$A:$A,Constants!$B:$B,0.35))) / IFERROR(XLOOKUP(XLOOKUP('Job Control'!$B$3, INPUT_JobSettings!$A:$A, INPUT_JobSettings!$E:$E, ""),Constants!$A:$A,Constants!$D:$D),350),0.25)))))</f>
        <v/>
      </c>
      <c r="P24">
        <f>IF($A24="","",IFERROR($N24*IFERROR(XLOOKUP(XLOOKUP('Job Control'!$B$3, INPUT_JobSettings!$A:$A, INPUT_JobSettings!$C:$C, ""), Constants!$A:$A, Constants!$C:$C, 0), 0) + $O24*IFERROR(XLOOKUP(XLOOKUP('Job Control'!$B$3, INPUT_JobSettings!$A:$A, INPUT_JobSettings!$E:$E, ""), Constants!$A:$A, Constants!$C:$C, 0), 0) + $M24,0))</f>
        <v/>
      </c>
      <c r="Q24" s="6">
        <f>IF($A24="","", ($J24+$K24+$L24)*$V24 )</f>
        <v/>
      </c>
      <c r="R24" s="6">
        <f>IF($A24="","", $Q24/60)</f>
        <v/>
      </c>
      <c r="S24" s="6">
        <f>IF($A24="","", $R24*IFERROR(IF(XLOOKUP('Job Control'!$B$3, INPUT_JobSettings!$A:$A, INPUT_JobSettings!$F:$F, "")&lt;&gt;"", XLOOKUP('Job Control'!$B$3, INPUT_JobSettings!$A:$A, INPUT_JobSettings!$F:$F, ""), $B$6), $B$6) + $M24)</f>
        <v/>
      </c>
      <c r="T24" s="6">
        <f>IF($A24="","", ($S24+$P24)*IFERROR(IF(XLOOKUP('Job Control'!$B$3, INPUT_JobSettings!$A:$A, INPUT_JobSettings!$G:$G, "")&lt;&gt;"", XLOOKUP('Job Control'!$B$3, INPUT_JobSettings!$A:$A, INPUT_JobSettings!$G:$G, ""), $B$7), $B$7))</f>
        <v/>
      </c>
      <c r="U24" s="6">
        <f>IF($A24="","", IFERROR(XLOOKUP($A24, INPUT_Rooms!$B:$B, INPUT_Rooms!$AI:$AI, ""), ""))</f>
        <v/>
      </c>
      <c r="V24" s="6">
        <f>IF($C24&lt;&gt;"Y",0,IF($A24="","", IF($U24="", 1, IFERROR(XLOOKUP($U24, Constants!$A$160:$A$190, Constants!$C$160:$C$190, 1), 1))))</f>
        <v/>
      </c>
      <c r="W24" s="6">
        <f>IF($C24&lt;&gt;"Y",0,IF($A24="","", ($D24*IF($U24="",0,IFERROR(XLOOKUP($U24, Constants!$A$160:$A$190, Constants!$D$160:$D$190, 0),0))) ))</f>
        <v/>
      </c>
    </row>
    <row r="25">
      <c r="A25" s="6">
        <f>IFERROR(INDEX(FILTER(INPUT_Rooms!$B$4:$B$83, INPUT_Rooms!$A$4:$A$83=$B$4, INPUT_Rooms!$O$4:$O$83="Y"), 15), "")</f>
        <v/>
      </c>
      <c r="B25" s="6">
        <f>IF(A25="","", XLOOKUP(A25, FILTER(INPUT_Rooms!$B$4:$B$83, INPUT_Rooms!$A$4:$A$83=$B$4), FILTER(INPUT_Rooms!$C$4:$C$83, INPUT_Rooms!$A$4:$A$83=$B$4), ""))</f>
        <v/>
      </c>
      <c r="C25" s="6">
        <f>IF(A25="","", "Y")</f>
        <v/>
      </c>
      <c r="D25" s="6">
        <f>IF(A25="","", XLOOKUP(A25, INPUT_Rooms!$B:$B, INPUT_Rooms!$AE:$AE, ""))</f>
        <v/>
      </c>
      <c r="E25" s="6">
        <f>IF(A25="","", XLOOKUP(A25, INPUT_Rooms!$B:$B, INPUT_Rooms!$H:$H, "")/12)</f>
        <v/>
      </c>
      <c r="F25" s="6">
        <f>IF(A25="","", LOOKUP(E25, Constants!$H$10:$H$40, Constants!$I$10:$I$40))</f>
        <v/>
      </c>
      <c r="G25" s="6">
        <f>IF(A25="","", XLOOKUP(A25, INPUT_Rooms!$B:$B, INPUT_Rooms!$P:$P, ""))</f>
        <v/>
      </c>
      <c r="H25" s="6">
        <f>IF(A25="","", XLOOKUP(A25, INPUT_Rooms!$B:$B, INPUT_Rooms!$Q:$Q, ""))</f>
        <v/>
      </c>
      <c r="I25" s="6">
        <f>IF(A25="","", IF(XLOOKUP(A25, INPUT_Rooms!$B:$B, INPUT_Rooms!$R:$R, "")="", $B$5, XLOOKUP(A25, INPUT_Rooms!$B:$B, INPUT_Rooms!$R:$R, "")))</f>
        <v/>
      </c>
      <c r="J25" s="6">
        <f>IF(A25="","", D25*XLOOKUP("PrepMinsPerSqft",Constants!$F$20:$F$40,Constants!$G$20:$G$40)*XLOOKUP(I25,Constants!$E$10:$E$30,Constants!$F$10:$F$30)*F25)</f>
        <v/>
      </c>
      <c r="K25" s="6">
        <f>IF(A25="","", D25*XLOOKUP("PaintMinsPerSqftPerCoat",Constants!$F$20:$F$40,Constants!$G$20:$G$40)*H25*F25)</f>
        <v/>
      </c>
      <c r="L25" s="6">
        <f>IF(A25="","", IF(G25="Full", D25*XLOOKUP("PrimerFullMinsPerSqft",Constants!$F$20:$F$40,Constants!$G$20:$G$40)*F25, IF(G25="Spot", D25*XLOOKUP("PrimerFullMinsPerSqft",Constants!$F$20:$F$40,Constants!$G$20:$G$40)*XLOOKUP("PrimerSpotFactor",Constants!$F$20:$F$40,Constants!$G$20:$G$40)*F25, 0)))</f>
        <v/>
      </c>
      <c r="M25" s="6">
        <f>IF($A25="","", IFERROR(XLOOKUP($A25, INPUT_Rooms!$B:$B, INPUT_Rooms!$S:$S, 0),0) + $W25)</f>
        <v/>
      </c>
      <c r="N25">
        <f>IF($A25="","",IF($C25&lt;&gt;"Y","",IF($D25="", "",IFERROR(CEILING( ($D25*$H25) / IFERROR(XLOOKUP(XLOOKUP('Job Control'!$B$3, INPUT_JobSettings!$A:$A, INPUT_JobSettings!$C:$C, ""), Constants!$A:$A, Constants!$D:$D, ""), ""), 0.25), ""))))</f>
        <v/>
      </c>
      <c r="O25">
        <f>IF($A25="","",IF($C25&lt;&gt;"Y",0,IF($G25="None",0,IF($D25="",0,CEILING(($D25*IF($G25="Full",1, XLOOKUP("PrimerSpotFactor",Constants!$A:$A,Constants!$B:$B,0.35))) / IFERROR(XLOOKUP(XLOOKUP('Job Control'!$B$3, INPUT_JobSettings!$A:$A, INPUT_JobSettings!$E:$E, ""),Constants!$A:$A,Constants!$D:$D),350),0.25)))))</f>
        <v/>
      </c>
      <c r="P25">
        <f>IF($A25="","",IFERROR($N25*IFERROR(XLOOKUP(XLOOKUP('Job Control'!$B$3, INPUT_JobSettings!$A:$A, INPUT_JobSettings!$C:$C, ""), Constants!$A:$A, Constants!$C:$C, 0), 0) + $O25*IFERROR(XLOOKUP(XLOOKUP('Job Control'!$B$3, INPUT_JobSettings!$A:$A, INPUT_JobSettings!$E:$E, ""), Constants!$A:$A, Constants!$C:$C, 0), 0) + $M25,0))</f>
        <v/>
      </c>
      <c r="Q25" s="6">
        <f>IF($A25="","", ($J25+$K25+$L25)*$V25 )</f>
        <v/>
      </c>
      <c r="R25" s="6">
        <f>IF($A25="","", $Q25/60)</f>
        <v/>
      </c>
      <c r="S25" s="6">
        <f>IF($A25="","", $R25*IFERROR(IF(XLOOKUP('Job Control'!$B$3, INPUT_JobSettings!$A:$A, INPUT_JobSettings!$F:$F, "")&lt;&gt;"", XLOOKUP('Job Control'!$B$3, INPUT_JobSettings!$A:$A, INPUT_JobSettings!$F:$F, ""), $B$6), $B$6) + $M25)</f>
        <v/>
      </c>
      <c r="T25" s="6">
        <f>IF($A25="","", ($S25+$P25)*IFERROR(IF(XLOOKUP('Job Control'!$B$3, INPUT_JobSettings!$A:$A, INPUT_JobSettings!$G:$G, "")&lt;&gt;"", XLOOKUP('Job Control'!$B$3, INPUT_JobSettings!$A:$A, INPUT_JobSettings!$G:$G, ""), $B$7), $B$7))</f>
        <v/>
      </c>
      <c r="U25" s="6">
        <f>IF($A25="","", IFERROR(XLOOKUP($A25, INPUT_Rooms!$B:$B, INPUT_Rooms!$AI:$AI, ""), ""))</f>
        <v/>
      </c>
      <c r="V25" s="6">
        <f>IF($C25&lt;&gt;"Y",0,IF($A25="","", IF($U25="", 1, IFERROR(XLOOKUP($U25, Constants!$A$160:$A$190, Constants!$C$160:$C$190, 1), 1))))</f>
        <v/>
      </c>
      <c r="W25" s="6">
        <f>IF($C25&lt;&gt;"Y",0,IF($A25="","", ($D25*IF($U25="",0,IFERROR(XLOOKUP($U25, Constants!$A$160:$A$190, Constants!$D$160:$D$190, 0),0))) ))</f>
        <v/>
      </c>
    </row>
    <row r="26">
      <c r="A26" s="6">
        <f>IFERROR(INDEX(FILTER(INPUT_Rooms!$B$4:$B$83, INPUT_Rooms!$A$4:$A$83=$B$4, INPUT_Rooms!$O$4:$O$83="Y"), 16), "")</f>
        <v/>
      </c>
      <c r="B26" s="6">
        <f>IF(A26="","", XLOOKUP(A26, FILTER(INPUT_Rooms!$B$4:$B$83, INPUT_Rooms!$A$4:$A$83=$B$4), FILTER(INPUT_Rooms!$C$4:$C$83, INPUT_Rooms!$A$4:$A$83=$B$4), ""))</f>
        <v/>
      </c>
      <c r="C26" s="6">
        <f>IF(A26="","", "Y")</f>
        <v/>
      </c>
      <c r="D26" s="6">
        <f>IF(A26="","", XLOOKUP(A26, INPUT_Rooms!$B:$B, INPUT_Rooms!$AE:$AE, ""))</f>
        <v/>
      </c>
      <c r="E26" s="6">
        <f>IF(A26="","", XLOOKUP(A26, INPUT_Rooms!$B:$B, INPUT_Rooms!$H:$H, "")/12)</f>
        <v/>
      </c>
      <c r="F26" s="6">
        <f>IF(A26="","", LOOKUP(E26, Constants!$H$10:$H$40, Constants!$I$10:$I$40))</f>
        <v/>
      </c>
      <c r="G26" s="6">
        <f>IF(A26="","", XLOOKUP(A26, INPUT_Rooms!$B:$B, INPUT_Rooms!$P:$P, ""))</f>
        <v/>
      </c>
      <c r="H26" s="6">
        <f>IF(A26="","", XLOOKUP(A26, INPUT_Rooms!$B:$B, INPUT_Rooms!$Q:$Q, ""))</f>
        <v/>
      </c>
      <c r="I26" s="6">
        <f>IF(A26="","", IF(XLOOKUP(A26, INPUT_Rooms!$B:$B, INPUT_Rooms!$R:$R, "")="", $B$5, XLOOKUP(A26, INPUT_Rooms!$B:$B, INPUT_Rooms!$R:$R, "")))</f>
        <v/>
      </c>
      <c r="J26" s="6">
        <f>IF(A26="","", D26*XLOOKUP("PrepMinsPerSqft",Constants!$F$20:$F$40,Constants!$G$20:$G$40)*XLOOKUP(I26,Constants!$E$10:$E$30,Constants!$F$10:$F$30)*F26)</f>
        <v/>
      </c>
      <c r="K26" s="6">
        <f>IF(A26="","", D26*XLOOKUP("PaintMinsPerSqftPerCoat",Constants!$F$20:$F$40,Constants!$G$20:$G$40)*H26*F26)</f>
        <v/>
      </c>
      <c r="L26" s="6">
        <f>IF(A26="","", IF(G26="Full", D26*XLOOKUP("PrimerFullMinsPerSqft",Constants!$F$20:$F$40,Constants!$G$20:$G$40)*F26, IF(G26="Spot", D26*XLOOKUP("PrimerFullMinsPerSqft",Constants!$F$20:$F$40,Constants!$G$20:$G$40)*XLOOKUP("PrimerSpotFactor",Constants!$F$20:$F$40,Constants!$G$20:$G$40)*F26, 0)))</f>
        <v/>
      </c>
      <c r="M26" s="6">
        <f>IF($A26="","", IFERROR(XLOOKUP($A26, INPUT_Rooms!$B:$B, INPUT_Rooms!$S:$S, 0),0) + $W26)</f>
        <v/>
      </c>
      <c r="N26">
        <f>IF($A26="","",IF($C26&lt;&gt;"Y","",IF($D26="", "",IFERROR(CEILING( ($D26*$H26) / IFERROR(XLOOKUP(XLOOKUP('Job Control'!$B$3, INPUT_JobSettings!$A:$A, INPUT_JobSettings!$C:$C, ""), Constants!$A:$A, Constants!$D:$D, ""), ""), 0.25), ""))))</f>
        <v/>
      </c>
      <c r="O26">
        <f>IF($A26="","",IF($C26&lt;&gt;"Y",0,IF($G26="None",0,IF($D26="",0,CEILING(($D26*IF($G26="Full",1, XLOOKUP("PrimerSpotFactor",Constants!$A:$A,Constants!$B:$B,0.35))) / IFERROR(XLOOKUP(XLOOKUP('Job Control'!$B$3, INPUT_JobSettings!$A:$A, INPUT_JobSettings!$E:$E, ""),Constants!$A:$A,Constants!$D:$D),350),0.25)))))</f>
        <v/>
      </c>
      <c r="P26">
        <f>IF($A26="","",IFERROR($N26*IFERROR(XLOOKUP(XLOOKUP('Job Control'!$B$3, INPUT_JobSettings!$A:$A, INPUT_JobSettings!$C:$C, ""), Constants!$A:$A, Constants!$C:$C, 0), 0) + $O26*IFERROR(XLOOKUP(XLOOKUP('Job Control'!$B$3, INPUT_JobSettings!$A:$A, INPUT_JobSettings!$E:$E, ""), Constants!$A:$A, Constants!$C:$C, 0), 0) + $M26,0))</f>
        <v/>
      </c>
      <c r="Q26" s="6">
        <f>IF($A26="","", ($J26+$K26+$L26)*$V26 )</f>
        <v/>
      </c>
      <c r="R26" s="6">
        <f>IF($A26="","", $Q26/60)</f>
        <v/>
      </c>
      <c r="S26" s="6">
        <f>IF($A26="","", $R26*IFERROR(IF(XLOOKUP('Job Control'!$B$3, INPUT_JobSettings!$A:$A, INPUT_JobSettings!$F:$F, "")&lt;&gt;"", XLOOKUP('Job Control'!$B$3, INPUT_JobSettings!$A:$A, INPUT_JobSettings!$F:$F, ""), $B$6), $B$6) + $M26)</f>
        <v/>
      </c>
      <c r="T26" s="6">
        <f>IF($A26="","", ($S26+$P26)*IFERROR(IF(XLOOKUP('Job Control'!$B$3, INPUT_JobSettings!$A:$A, INPUT_JobSettings!$G:$G, "")&lt;&gt;"", XLOOKUP('Job Control'!$B$3, INPUT_JobSettings!$A:$A, INPUT_JobSettings!$G:$G, ""), $B$7), $B$7))</f>
        <v/>
      </c>
      <c r="U26" s="6">
        <f>IF($A26="","", IFERROR(XLOOKUP($A26, INPUT_Rooms!$B:$B, INPUT_Rooms!$AI:$AI, ""), ""))</f>
        <v/>
      </c>
      <c r="V26" s="6">
        <f>IF($C26&lt;&gt;"Y",0,IF($A26="","", IF($U26="", 1, IFERROR(XLOOKUP($U26, Constants!$A$160:$A$190, Constants!$C$160:$C$190, 1), 1))))</f>
        <v/>
      </c>
      <c r="W26" s="6">
        <f>IF($C26&lt;&gt;"Y",0,IF($A26="","", ($D26*IF($U26="",0,IFERROR(XLOOKUP($U26, Constants!$A$160:$A$190, Constants!$D$160:$D$190, 0),0))) ))</f>
        <v/>
      </c>
    </row>
    <row r="27">
      <c r="A27" s="6">
        <f>IFERROR(INDEX(FILTER(INPUT_Rooms!$B$4:$B$83, INPUT_Rooms!$A$4:$A$83=$B$4, INPUT_Rooms!$O$4:$O$83="Y"), 17), "")</f>
        <v/>
      </c>
      <c r="B27" s="6">
        <f>IF(A27="","", XLOOKUP(A27, FILTER(INPUT_Rooms!$B$4:$B$83, INPUT_Rooms!$A$4:$A$83=$B$4), FILTER(INPUT_Rooms!$C$4:$C$83, INPUT_Rooms!$A$4:$A$83=$B$4), ""))</f>
        <v/>
      </c>
      <c r="C27" s="6">
        <f>IF(A27="","", "Y")</f>
        <v/>
      </c>
      <c r="D27" s="6">
        <f>IF(A27="","", XLOOKUP(A27, INPUT_Rooms!$B:$B, INPUT_Rooms!$AE:$AE, ""))</f>
        <v/>
      </c>
      <c r="E27" s="6">
        <f>IF(A27="","", XLOOKUP(A27, INPUT_Rooms!$B:$B, INPUT_Rooms!$H:$H, "")/12)</f>
        <v/>
      </c>
      <c r="F27" s="6">
        <f>IF(A27="","", LOOKUP(E27, Constants!$H$10:$H$40, Constants!$I$10:$I$40))</f>
        <v/>
      </c>
      <c r="G27" s="6">
        <f>IF(A27="","", XLOOKUP(A27, INPUT_Rooms!$B:$B, INPUT_Rooms!$P:$P, ""))</f>
        <v/>
      </c>
      <c r="H27" s="6">
        <f>IF(A27="","", XLOOKUP(A27, INPUT_Rooms!$B:$B, INPUT_Rooms!$Q:$Q, ""))</f>
        <v/>
      </c>
      <c r="I27" s="6">
        <f>IF(A27="","", IF(XLOOKUP(A27, INPUT_Rooms!$B:$B, INPUT_Rooms!$R:$R, "")="", $B$5, XLOOKUP(A27, INPUT_Rooms!$B:$B, INPUT_Rooms!$R:$R, "")))</f>
        <v/>
      </c>
      <c r="J27" s="6">
        <f>IF(A27="","", D27*XLOOKUP("PrepMinsPerSqft",Constants!$F$20:$F$40,Constants!$G$20:$G$40)*XLOOKUP(I27,Constants!$E$10:$E$30,Constants!$F$10:$F$30)*F27)</f>
        <v/>
      </c>
      <c r="K27" s="6">
        <f>IF(A27="","", D27*XLOOKUP("PaintMinsPerSqftPerCoat",Constants!$F$20:$F$40,Constants!$G$20:$G$40)*H27*F27)</f>
        <v/>
      </c>
      <c r="L27" s="6">
        <f>IF(A27="","", IF(G27="Full", D27*XLOOKUP("PrimerFullMinsPerSqft",Constants!$F$20:$F$40,Constants!$G$20:$G$40)*F27, IF(G27="Spot", D27*XLOOKUP("PrimerFullMinsPerSqft",Constants!$F$20:$F$40,Constants!$G$20:$G$40)*XLOOKUP("PrimerSpotFactor",Constants!$F$20:$F$40,Constants!$G$20:$G$40)*F27, 0)))</f>
        <v/>
      </c>
      <c r="M27" s="6">
        <f>IF($A27="","", IFERROR(XLOOKUP($A27, INPUT_Rooms!$B:$B, INPUT_Rooms!$S:$S, 0),0) + $W27)</f>
        <v/>
      </c>
      <c r="N27">
        <f>IF($A27="","",IF($C27&lt;&gt;"Y","",IF($D27="", "",IFERROR(CEILING( ($D27*$H27) / IFERROR(XLOOKUP(XLOOKUP('Job Control'!$B$3, INPUT_JobSettings!$A:$A, INPUT_JobSettings!$C:$C, ""), Constants!$A:$A, Constants!$D:$D, ""), ""), 0.25), ""))))</f>
        <v/>
      </c>
      <c r="O27">
        <f>IF($A27="","",IF($C27&lt;&gt;"Y",0,IF($G27="None",0,IF($D27="",0,CEILING(($D27*IF($G27="Full",1, XLOOKUP("PrimerSpotFactor",Constants!$A:$A,Constants!$B:$B,0.35))) / IFERROR(XLOOKUP(XLOOKUP('Job Control'!$B$3, INPUT_JobSettings!$A:$A, INPUT_JobSettings!$E:$E, ""),Constants!$A:$A,Constants!$D:$D),350),0.25)))))</f>
        <v/>
      </c>
      <c r="P27">
        <f>IF($A27="","",IFERROR($N27*IFERROR(XLOOKUP(XLOOKUP('Job Control'!$B$3, INPUT_JobSettings!$A:$A, INPUT_JobSettings!$C:$C, ""), Constants!$A:$A, Constants!$C:$C, 0), 0) + $O27*IFERROR(XLOOKUP(XLOOKUP('Job Control'!$B$3, INPUT_JobSettings!$A:$A, INPUT_JobSettings!$E:$E, ""), Constants!$A:$A, Constants!$C:$C, 0), 0) + $M27,0))</f>
        <v/>
      </c>
      <c r="Q27" s="6">
        <f>IF($A27="","", ($J27+$K27+$L27)*$V27 )</f>
        <v/>
      </c>
      <c r="R27" s="6">
        <f>IF($A27="","", $Q27/60)</f>
        <v/>
      </c>
      <c r="S27" s="6">
        <f>IF($A27="","", $R27*IFERROR(IF(XLOOKUP('Job Control'!$B$3, INPUT_JobSettings!$A:$A, INPUT_JobSettings!$F:$F, "")&lt;&gt;"", XLOOKUP('Job Control'!$B$3, INPUT_JobSettings!$A:$A, INPUT_JobSettings!$F:$F, ""), $B$6), $B$6) + $M27)</f>
        <v/>
      </c>
      <c r="T27" s="6">
        <f>IF($A27="","", ($S27+$P27)*IFERROR(IF(XLOOKUP('Job Control'!$B$3, INPUT_JobSettings!$A:$A, INPUT_JobSettings!$G:$G, "")&lt;&gt;"", XLOOKUP('Job Control'!$B$3, INPUT_JobSettings!$A:$A, INPUT_JobSettings!$G:$G, ""), $B$7), $B$7))</f>
        <v/>
      </c>
      <c r="U27" s="6">
        <f>IF($A27="","", IFERROR(XLOOKUP($A27, INPUT_Rooms!$B:$B, INPUT_Rooms!$AI:$AI, ""), ""))</f>
        <v/>
      </c>
      <c r="V27" s="6">
        <f>IF($C27&lt;&gt;"Y",0,IF($A27="","", IF($U27="", 1, IFERROR(XLOOKUP($U27, Constants!$A$160:$A$190, Constants!$C$160:$C$190, 1), 1))))</f>
        <v/>
      </c>
      <c r="W27" s="6">
        <f>IF($C27&lt;&gt;"Y",0,IF($A27="","", ($D27*IF($U27="",0,IFERROR(XLOOKUP($U27, Constants!$A$160:$A$190, Constants!$D$160:$D$190, 0),0))) ))</f>
        <v/>
      </c>
    </row>
    <row r="28">
      <c r="A28" s="6">
        <f>IFERROR(INDEX(FILTER(INPUT_Rooms!$B$4:$B$83, INPUT_Rooms!$A$4:$A$83=$B$4, INPUT_Rooms!$O$4:$O$83="Y"), 18), "")</f>
        <v/>
      </c>
      <c r="B28" s="6">
        <f>IF(A28="","", XLOOKUP(A28, FILTER(INPUT_Rooms!$B$4:$B$83, INPUT_Rooms!$A$4:$A$83=$B$4), FILTER(INPUT_Rooms!$C$4:$C$83, INPUT_Rooms!$A$4:$A$83=$B$4), ""))</f>
        <v/>
      </c>
      <c r="C28" s="6">
        <f>IF(A28="","", "Y")</f>
        <v/>
      </c>
      <c r="D28" s="6">
        <f>IF(A28="","", XLOOKUP(A28, INPUT_Rooms!$B:$B, INPUT_Rooms!$AE:$AE, ""))</f>
        <v/>
      </c>
      <c r="E28" s="6">
        <f>IF(A28="","", XLOOKUP(A28, INPUT_Rooms!$B:$B, INPUT_Rooms!$H:$H, "")/12)</f>
        <v/>
      </c>
      <c r="F28" s="6">
        <f>IF(A28="","", LOOKUP(E28, Constants!$H$10:$H$40, Constants!$I$10:$I$40))</f>
        <v/>
      </c>
      <c r="G28" s="6">
        <f>IF(A28="","", XLOOKUP(A28, INPUT_Rooms!$B:$B, INPUT_Rooms!$P:$P, ""))</f>
        <v/>
      </c>
      <c r="H28" s="6">
        <f>IF(A28="","", XLOOKUP(A28, INPUT_Rooms!$B:$B, INPUT_Rooms!$Q:$Q, ""))</f>
        <v/>
      </c>
      <c r="I28" s="6">
        <f>IF(A28="","", IF(XLOOKUP(A28, INPUT_Rooms!$B:$B, INPUT_Rooms!$R:$R, "")="", $B$5, XLOOKUP(A28, INPUT_Rooms!$B:$B, INPUT_Rooms!$R:$R, "")))</f>
        <v/>
      </c>
      <c r="J28" s="6">
        <f>IF(A28="","", D28*XLOOKUP("PrepMinsPerSqft",Constants!$F$20:$F$40,Constants!$G$20:$G$40)*XLOOKUP(I28,Constants!$E$10:$E$30,Constants!$F$10:$F$30)*F28)</f>
        <v/>
      </c>
      <c r="K28" s="6">
        <f>IF(A28="","", D28*XLOOKUP("PaintMinsPerSqftPerCoat",Constants!$F$20:$F$40,Constants!$G$20:$G$40)*H28*F28)</f>
        <v/>
      </c>
      <c r="L28" s="6">
        <f>IF(A28="","", IF(G28="Full", D28*XLOOKUP("PrimerFullMinsPerSqft",Constants!$F$20:$F$40,Constants!$G$20:$G$40)*F28, IF(G28="Spot", D28*XLOOKUP("PrimerFullMinsPerSqft",Constants!$F$20:$F$40,Constants!$G$20:$G$40)*XLOOKUP("PrimerSpotFactor",Constants!$F$20:$F$40,Constants!$G$20:$G$40)*F28, 0)))</f>
        <v/>
      </c>
      <c r="M28" s="6">
        <f>IF($A28="","", IFERROR(XLOOKUP($A28, INPUT_Rooms!$B:$B, INPUT_Rooms!$S:$S, 0),0) + $W28)</f>
        <v/>
      </c>
      <c r="N28">
        <f>IF($A28="","",IF($C28&lt;&gt;"Y","",IF($D28="", "",IFERROR(CEILING( ($D28*$H28) / IFERROR(XLOOKUP(XLOOKUP('Job Control'!$B$3, INPUT_JobSettings!$A:$A, INPUT_JobSettings!$C:$C, ""), Constants!$A:$A, Constants!$D:$D, ""), ""), 0.25), ""))))</f>
        <v/>
      </c>
      <c r="O28">
        <f>IF($A28="","",IF($C28&lt;&gt;"Y",0,IF($G28="None",0,IF($D28="",0,CEILING(($D28*IF($G28="Full",1, XLOOKUP("PrimerSpotFactor",Constants!$A:$A,Constants!$B:$B,0.35))) / IFERROR(XLOOKUP(XLOOKUP('Job Control'!$B$3, INPUT_JobSettings!$A:$A, INPUT_JobSettings!$E:$E, ""),Constants!$A:$A,Constants!$D:$D),350),0.25)))))</f>
        <v/>
      </c>
      <c r="P28">
        <f>IF($A28="","",IFERROR($N28*IFERROR(XLOOKUP(XLOOKUP('Job Control'!$B$3, INPUT_JobSettings!$A:$A, INPUT_JobSettings!$C:$C, ""), Constants!$A:$A, Constants!$C:$C, 0), 0) + $O28*IFERROR(XLOOKUP(XLOOKUP('Job Control'!$B$3, INPUT_JobSettings!$A:$A, INPUT_JobSettings!$E:$E, ""), Constants!$A:$A, Constants!$C:$C, 0), 0) + $M28,0))</f>
        <v/>
      </c>
      <c r="Q28" s="6">
        <f>IF($A28="","", ($J28+$K28+$L28)*$V28 )</f>
        <v/>
      </c>
      <c r="R28" s="6">
        <f>IF($A28="","", $Q28/60)</f>
        <v/>
      </c>
      <c r="S28" s="6">
        <f>IF($A28="","", $R28*IFERROR(IF(XLOOKUP('Job Control'!$B$3, INPUT_JobSettings!$A:$A, INPUT_JobSettings!$F:$F, "")&lt;&gt;"", XLOOKUP('Job Control'!$B$3, INPUT_JobSettings!$A:$A, INPUT_JobSettings!$F:$F, ""), $B$6), $B$6) + $M28)</f>
        <v/>
      </c>
      <c r="T28" s="6">
        <f>IF($A28="","", ($S28+$P28)*IFERROR(IF(XLOOKUP('Job Control'!$B$3, INPUT_JobSettings!$A:$A, INPUT_JobSettings!$G:$G, "")&lt;&gt;"", XLOOKUP('Job Control'!$B$3, INPUT_JobSettings!$A:$A, INPUT_JobSettings!$G:$G, ""), $B$7), $B$7))</f>
        <v/>
      </c>
      <c r="U28" s="6">
        <f>IF($A28="","", IFERROR(XLOOKUP($A28, INPUT_Rooms!$B:$B, INPUT_Rooms!$AI:$AI, ""), ""))</f>
        <v/>
      </c>
      <c r="V28" s="6">
        <f>IF($C28&lt;&gt;"Y",0,IF($A28="","", IF($U28="", 1, IFERROR(XLOOKUP($U28, Constants!$A$160:$A$190, Constants!$C$160:$C$190, 1), 1))))</f>
        <v/>
      </c>
      <c r="W28" s="6">
        <f>IF($C28&lt;&gt;"Y",0,IF($A28="","", ($D28*IF($U28="",0,IFERROR(XLOOKUP($U28, Constants!$A$160:$A$190, Constants!$D$160:$D$190, 0),0))) ))</f>
        <v/>
      </c>
    </row>
    <row r="29">
      <c r="A29" s="6">
        <f>IFERROR(INDEX(FILTER(INPUT_Rooms!$B$4:$B$83, INPUT_Rooms!$A$4:$A$83=$B$4, INPUT_Rooms!$O$4:$O$83="Y"), 19), "")</f>
        <v/>
      </c>
      <c r="B29" s="6">
        <f>IF(A29="","", XLOOKUP(A29, FILTER(INPUT_Rooms!$B$4:$B$83, INPUT_Rooms!$A$4:$A$83=$B$4), FILTER(INPUT_Rooms!$C$4:$C$83, INPUT_Rooms!$A$4:$A$83=$B$4), ""))</f>
        <v/>
      </c>
      <c r="C29" s="6">
        <f>IF(A29="","", "Y")</f>
        <v/>
      </c>
      <c r="D29" s="6">
        <f>IF(A29="","", XLOOKUP(A29, INPUT_Rooms!$B:$B, INPUT_Rooms!$AE:$AE, ""))</f>
        <v/>
      </c>
      <c r="E29" s="6">
        <f>IF(A29="","", XLOOKUP(A29, INPUT_Rooms!$B:$B, INPUT_Rooms!$H:$H, "")/12)</f>
        <v/>
      </c>
      <c r="F29" s="6">
        <f>IF(A29="","", LOOKUP(E29, Constants!$H$10:$H$40, Constants!$I$10:$I$40))</f>
        <v/>
      </c>
      <c r="G29" s="6">
        <f>IF(A29="","", XLOOKUP(A29, INPUT_Rooms!$B:$B, INPUT_Rooms!$P:$P, ""))</f>
        <v/>
      </c>
      <c r="H29" s="6">
        <f>IF(A29="","", XLOOKUP(A29, INPUT_Rooms!$B:$B, INPUT_Rooms!$Q:$Q, ""))</f>
        <v/>
      </c>
      <c r="I29" s="6">
        <f>IF(A29="","", IF(XLOOKUP(A29, INPUT_Rooms!$B:$B, INPUT_Rooms!$R:$R, "")="", $B$5, XLOOKUP(A29, INPUT_Rooms!$B:$B, INPUT_Rooms!$R:$R, "")))</f>
        <v/>
      </c>
      <c r="J29" s="6">
        <f>IF(A29="","", D29*XLOOKUP("PrepMinsPerSqft",Constants!$F$20:$F$40,Constants!$G$20:$G$40)*XLOOKUP(I29,Constants!$E$10:$E$30,Constants!$F$10:$F$30)*F29)</f>
        <v/>
      </c>
      <c r="K29" s="6">
        <f>IF(A29="","", D29*XLOOKUP("PaintMinsPerSqftPerCoat",Constants!$F$20:$F$40,Constants!$G$20:$G$40)*H29*F29)</f>
        <v/>
      </c>
      <c r="L29" s="6">
        <f>IF(A29="","", IF(G29="Full", D29*XLOOKUP("PrimerFullMinsPerSqft",Constants!$F$20:$F$40,Constants!$G$20:$G$40)*F29, IF(G29="Spot", D29*XLOOKUP("PrimerFullMinsPerSqft",Constants!$F$20:$F$40,Constants!$G$20:$G$40)*XLOOKUP("PrimerSpotFactor",Constants!$F$20:$F$40,Constants!$G$20:$G$40)*F29, 0)))</f>
        <v/>
      </c>
      <c r="M29" s="6">
        <f>IF($A29="","", IFERROR(XLOOKUP($A29, INPUT_Rooms!$B:$B, INPUT_Rooms!$S:$S, 0),0) + $W29)</f>
        <v/>
      </c>
      <c r="N29">
        <f>IF($A29="","",IF($C29&lt;&gt;"Y","",IF($D29="", "",IFERROR(CEILING( ($D29*$H29) / IFERROR(XLOOKUP(XLOOKUP('Job Control'!$B$3, INPUT_JobSettings!$A:$A, INPUT_JobSettings!$C:$C, ""), Constants!$A:$A, Constants!$D:$D, ""), ""), 0.25), ""))))</f>
        <v/>
      </c>
      <c r="O29">
        <f>IF($A29="","",IF($C29&lt;&gt;"Y",0,IF($G29="None",0,IF($D29="",0,CEILING(($D29*IF($G29="Full",1, XLOOKUP("PrimerSpotFactor",Constants!$A:$A,Constants!$B:$B,0.35))) / IFERROR(XLOOKUP(XLOOKUP('Job Control'!$B$3, INPUT_JobSettings!$A:$A, INPUT_JobSettings!$E:$E, ""),Constants!$A:$A,Constants!$D:$D),350),0.25)))))</f>
        <v/>
      </c>
      <c r="P29">
        <f>IF($A29="","",IFERROR($N29*IFERROR(XLOOKUP(XLOOKUP('Job Control'!$B$3, INPUT_JobSettings!$A:$A, INPUT_JobSettings!$C:$C, ""), Constants!$A:$A, Constants!$C:$C, 0), 0) + $O29*IFERROR(XLOOKUP(XLOOKUP('Job Control'!$B$3, INPUT_JobSettings!$A:$A, INPUT_JobSettings!$E:$E, ""), Constants!$A:$A, Constants!$C:$C, 0), 0) + $M29,0))</f>
        <v/>
      </c>
      <c r="Q29" s="6">
        <f>IF($A29="","", ($J29+$K29+$L29)*$V29 )</f>
        <v/>
      </c>
      <c r="R29" s="6">
        <f>IF($A29="","", $Q29/60)</f>
        <v/>
      </c>
      <c r="S29" s="6">
        <f>IF($A29="","", $R29*IFERROR(IF(XLOOKUP('Job Control'!$B$3, INPUT_JobSettings!$A:$A, INPUT_JobSettings!$F:$F, "")&lt;&gt;"", XLOOKUP('Job Control'!$B$3, INPUT_JobSettings!$A:$A, INPUT_JobSettings!$F:$F, ""), $B$6), $B$6) + $M29)</f>
        <v/>
      </c>
      <c r="T29" s="6">
        <f>IF($A29="","", ($S29+$P29)*IFERROR(IF(XLOOKUP('Job Control'!$B$3, INPUT_JobSettings!$A:$A, INPUT_JobSettings!$G:$G, "")&lt;&gt;"", XLOOKUP('Job Control'!$B$3, INPUT_JobSettings!$A:$A, INPUT_JobSettings!$G:$G, ""), $B$7), $B$7))</f>
        <v/>
      </c>
      <c r="U29" s="6">
        <f>IF($A29="","", IFERROR(XLOOKUP($A29, INPUT_Rooms!$B:$B, INPUT_Rooms!$AI:$AI, ""), ""))</f>
        <v/>
      </c>
      <c r="V29" s="6">
        <f>IF($C29&lt;&gt;"Y",0,IF($A29="","", IF($U29="", 1, IFERROR(XLOOKUP($U29, Constants!$A$160:$A$190, Constants!$C$160:$C$190, 1), 1))))</f>
        <v/>
      </c>
      <c r="W29" s="6">
        <f>IF($C29&lt;&gt;"Y",0,IF($A29="","", ($D29*IF($U29="",0,IFERROR(XLOOKUP($U29, Constants!$A$160:$A$190, Constants!$D$160:$D$190, 0),0))) ))</f>
        <v/>
      </c>
    </row>
    <row r="30">
      <c r="A30" s="6">
        <f>IFERROR(INDEX(FILTER(INPUT_Rooms!$B$4:$B$83, INPUT_Rooms!$A$4:$A$83=$B$4, INPUT_Rooms!$O$4:$O$83="Y"), 20), "")</f>
        <v/>
      </c>
      <c r="B30" s="6">
        <f>IF(A30="","", XLOOKUP(A30, FILTER(INPUT_Rooms!$B$4:$B$83, INPUT_Rooms!$A$4:$A$83=$B$4), FILTER(INPUT_Rooms!$C$4:$C$83, INPUT_Rooms!$A$4:$A$83=$B$4), ""))</f>
        <v/>
      </c>
      <c r="C30" s="6">
        <f>IF(A30="","", "Y")</f>
        <v/>
      </c>
      <c r="D30" s="6">
        <f>IF(A30="","", XLOOKUP(A30, INPUT_Rooms!$B:$B, INPUT_Rooms!$AE:$AE, ""))</f>
        <v/>
      </c>
      <c r="E30" s="6">
        <f>IF(A30="","", XLOOKUP(A30, INPUT_Rooms!$B:$B, INPUT_Rooms!$H:$H, "")/12)</f>
        <v/>
      </c>
      <c r="F30" s="6">
        <f>IF(A30="","", LOOKUP(E30, Constants!$H$10:$H$40, Constants!$I$10:$I$40))</f>
        <v/>
      </c>
      <c r="G30" s="6">
        <f>IF(A30="","", XLOOKUP(A30, INPUT_Rooms!$B:$B, INPUT_Rooms!$P:$P, ""))</f>
        <v/>
      </c>
      <c r="H30" s="6">
        <f>IF(A30="","", XLOOKUP(A30, INPUT_Rooms!$B:$B, INPUT_Rooms!$Q:$Q, ""))</f>
        <v/>
      </c>
      <c r="I30" s="6">
        <f>IF(A30="","", IF(XLOOKUP(A30, INPUT_Rooms!$B:$B, INPUT_Rooms!$R:$R, "")="", $B$5, XLOOKUP(A30, INPUT_Rooms!$B:$B, INPUT_Rooms!$R:$R, "")))</f>
        <v/>
      </c>
      <c r="J30" s="6">
        <f>IF(A30="","", D30*XLOOKUP("PrepMinsPerSqft",Constants!$F$20:$F$40,Constants!$G$20:$G$40)*XLOOKUP(I30,Constants!$E$10:$E$30,Constants!$F$10:$F$30)*F30)</f>
        <v/>
      </c>
      <c r="K30" s="6">
        <f>IF(A30="","", D30*XLOOKUP("PaintMinsPerSqftPerCoat",Constants!$F$20:$F$40,Constants!$G$20:$G$40)*H30*F30)</f>
        <v/>
      </c>
      <c r="L30" s="6">
        <f>IF(A30="","", IF(G30="Full", D30*XLOOKUP("PrimerFullMinsPerSqft",Constants!$F$20:$F$40,Constants!$G$20:$G$40)*F30, IF(G30="Spot", D30*XLOOKUP("PrimerFullMinsPerSqft",Constants!$F$20:$F$40,Constants!$G$20:$G$40)*XLOOKUP("PrimerSpotFactor",Constants!$F$20:$F$40,Constants!$G$20:$G$40)*F30, 0)))</f>
        <v/>
      </c>
      <c r="M30" s="6">
        <f>IF($A30="","", IFERROR(XLOOKUP($A30, INPUT_Rooms!$B:$B, INPUT_Rooms!$S:$S, 0),0) + $W30)</f>
        <v/>
      </c>
      <c r="N30">
        <f>IF($A30="","",IF($C30&lt;&gt;"Y","",IF($D30="", "",IFERROR(CEILING( ($D30*$H30) / IFERROR(XLOOKUP(XLOOKUP('Job Control'!$B$3, INPUT_JobSettings!$A:$A, INPUT_JobSettings!$C:$C, ""), Constants!$A:$A, Constants!$D:$D, ""), ""), 0.25), ""))))</f>
        <v/>
      </c>
      <c r="O30">
        <f>IF($A30="","",IF($C30&lt;&gt;"Y",0,IF($G30="None",0,IF($D30="",0,CEILING(($D30*IF($G30="Full",1, XLOOKUP("PrimerSpotFactor",Constants!$A:$A,Constants!$B:$B,0.35))) / IFERROR(XLOOKUP(XLOOKUP('Job Control'!$B$3, INPUT_JobSettings!$A:$A, INPUT_JobSettings!$E:$E, ""),Constants!$A:$A,Constants!$D:$D),350),0.25)))))</f>
        <v/>
      </c>
      <c r="P30">
        <f>IF($A30="","",IFERROR($N30*IFERROR(XLOOKUP(XLOOKUP('Job Control'!$B$3, INPUT_JobSettings!$A:$A, INPUT_JobSettings!$C:$C, ""), Constants!$A:$A, Constants!$C:$C, 0), 0) + $O30*IFERROR(XLOOKUP(XLOOKUP('Job Control'!$B$3, INPUT_JobSettings!$A:$A, INPUT_JobSettings!$E:$E, ""), Constants!$A:$A, Constants!$C:$C, 0), 0) + $M30,0))</f>
        <v/>
      </c>
      <c r="Q30" s="6">
        <f>IF($A30="","", ($J30+$K30+$L30)*$V30 )</f>
        <v/>
      </c>
      <c r="R30" s="6">
        <f>IF($A30="","", $Q30/60)</f>
        <v/>
      </c>
      <c r="S30" s="6">
        <f>IF($A30="","", $R30*IFERROR(IF(XLOOKUP('Job Control'!$B$3, INPUT_JobSettings!$A:$A, INPUT_JobSettings!$F:$F, "")&lt;&gt;"", XLOOKUP('Job Control'!$B$3, INPUT_JobSettings!$A:$A, INPUT_JobSettings!$F:$F, ""), $B$6), $B$6) + $M30)</f>
        <v/>
      </c>
      <c r="T30" s="6">
        <f>IF($A30="","", ($S30+$P30)*IFERROR(IF(XLOOKUP('Job Control'!$B$3, INPUT_JobSettings!$A:$A, INPUT_JobSettings!$G:$G, "")&lt;&gt;"", XLOOKUP('Job Control'!$B$3, INPUT_JobSettings!$A:$A, INPUT_JobSettings!$G:$G, ""), $B$7), $B$7))</f>
        <v/>
      </c>
      <c r="U30" s="6">
        <f>IF($A30="","", IFERROR(XLOOKUP($A30, INPUT_Rooms!$B:$B, INPUT_Rooms!$AI:$AI, ""), ""))</f>
        <v/>
      </c>
      <c r="V30" s="6">
        <f>IF($C30&lt;&gt;"Y",0,IF($A30="","", IF($U30="", 1, IFERROR(XLOOKUP($U30, Constants!$A$160:$A$190, Constants!$C$160:$C$190, 1), 1))))</f>
        <v/>
      </c>
      <c r="W30" s="6">
        <f>IF($C30&lt;&gt;"Y",0,IF($A30="","", ($D30*IF($U30="",0,IFERROR(XLOOKUP($U30, Constants!$A$160:$A$190, Constants!$D$160:$D$190, 0),0))) ))</f>
        <v/>
      </c>
    </row>
    <row r="31">
      <c r="A31" s="6">
        <f>IFERROR(INDEX(FILTER(INPUT_Rooms!$B$4:$B$83, INPUT_Rooms!$A$4:$A$83=$B$4, INPUT_Rooms!$O$4:$O$83="Y"), 21), "")</f>
        <v/>
      </c>
      <c r="B31" s="6">
        <f>IF(A31="","", XLOOKUP(A31, FILTER(INPUT_Rooms!$B$4:$B$83, INPUT_Rooms!$A$4:$A$83=$B$4), FILTER(INPUT_Rooms!$C$4:$C$83, INPUT_Rooms!$A$4:$A$83=$B$4), ""))</f>
        <v/>
      </c>
      <c r="C31" s="6">
        <f>IF(A31="","", "Y")</f>
        <v/>
      </c>
      <c r="D31" s="6">
        <f>IF(A31="","", XLOOKUP(A31, INPUT_Rooms!$B:$B, INPUT_Rooms!$AE:$AE, ""))</f>
        <v/>
      </c>
      <c r="E31" s="6">
        <f>IF(A31="","", XLOOKUP(A31, INPUT_Rooms!$B:$B, INPUT_Rooms!$H:$H, "")/12)</f>
        <v/>
      </c>
      <c r="F31" s="6">
        <f>IF(A31="","", LOOKUP(E31, Constants!$H$10:$H$40, Constants!$I$10:$I$40))</f>
        <v/>
      </c>
      <c r="G31" s="6">
        <f>IF(A31="","", XLOOKUP(A31, INPUT_Rooms!$B:$B, INPUT_Rooms!$P:$P, ""))</f>
        <v/>
      </c>
      <c r="H31" s="6">
        <f>IF(A31="","", XLOOKUP(A31, INPUT_Rooms!$B:$B, INPUT_Rooms!$Q:$Q, ""))</f>
        <v/>
      </c>
      <c r="I31" s="6">
        <f>IF(A31="","", IF(XLOOKUP(A31, INPUT_Rooms!$B:$B, INPUT_Rooms!$R:$R, "")="", $B$5, XLOOKUP(A31, INPUT_Rooms!$B:$B, INPUT_Rooms!$R:$R, "")))</f>
        <v/>
      </c>
      <c r="J31" s="6">
        <f>IF(A31="","", D31*XLOOKUP("PrepMinsPerSqft",Constants!$F$20:$F$40,Constants!$G$20:$G$40)*XLOOKUP(I31,Constants!$E$10:$E$30,Constants!$F$10:$F$30)*F31)</f>
        <v/>
      </c>
      <c r="K31" s="6">
        <f>IF(A31="","", D31*XLOOKUP("PaintMinsPerSqftPerCoat",Constants!$F$20:$F$40,Constants!$G$20:$G$40)*H31*F31)</f>
        <v/>
      </c>
      <c r="L31" s="6">
        <f>IF(A31="","", IF(G31="Full", D31*XLOOKUP("PrimerFullMinsPerSqft",Constants!$F$20:$F$40,Constants!$G$20:$G$40)*F31, IF(G31="Spot", D31*XLOOKUP("PrimerFullMinsPerSqft",Constants!$F$20:$F$40,Constants!$G$20:$G$40)*XLOOKUP("PrimerSpotFactor",Constants!$F$20:$F$40,Constants!$G$20:$G$40)*F31, 0)))</f>
        <v/>
      </c>
      <c r="M31" s="6">
        <f>IF($A31="","", IFERROR(XLOOKUP($A31, INPUT_Rooms!$B:$B, INPUT_Rooms!$S:$S, 0),0) + $W31)</f>
        <v/>
      </c>
      <c r="N31">
        <f>IF($A31="","",IF($C31&lt;&gt;"Y","",IF($D31="", "",IFERROR(CEILING( ($D31*$H31) / IFERROR(XLOOKUP(XLOOKUP('Job Control'!$B$3, INPUT_JobSettings!$A:$A, INPUT_JobSettings!$C:$C, ""), Constants!$A:$A, Constants!$D:$D, ""), ""), 0.25), ""))))</f>
        <v/>
      </c>
      <c r="O31">
        <f>IF($A31="","",IF($C31&lt;&gt;"Y",0,IF($G31="None",0,IF($D31="",0,CEILING(($D31*IF($G31="Full",1, XLOOKUP("PrimerSpotFactor",Constants!$A:$A,Constants!$B:$B,0.35))) / IFERROR(XLOOKUP(XLOOKUP('Job Control'!$B$3, INPUT_JobSettings!$A:$A, INPUT_JobSettings!$E:$E, ""),Constants!$A:$A,Constants!$D:$D),350),0.25)))))</f>
        <v/>
      </c>
      <c r="P31">
        <f>IF($A31="","",IFERROR($N31*IFERROR(XLOOKUP(XLOOKUP('Job Control'!$B$3, INPUT_JobSettings!$A:$A, INPUT_JobSettings!$C:$C, ""), Constants!$A:$A, Constants!$C:$C, 0), 0) + $O31*IFERROR(XLOOKUP(XLOOKUP('Job Control'!$B$3, INPUT_JobSettings!$A:$A, INPUT_JobSettings!$E:$E, ""), Constants!$A:$A, Constants!$C:$C, 0), 0) + $M31,0))</f>
        <v/>
      </c>
      <c r="Q31" s="6">
        <f>IF($A31="","", ($J31+$K31+$L31)*$V31 )</f>
        <v/>
      </c>
      <c r="R31" s="6">
        <f>IF($A31="","", $Q31/60)</f>
        <v/>
      </c>
      <c r="S31" s="6">
        <f>IF($A31="","", $R31*IFERROR(IF(XLOOKUP('Job Control'!$B$3, INPUT_JobSettings!$A:$A, INPUT_JobSettings!$F:$F, "")&lt;&gt;"", XLOOKUP('Job Control'!$B$3, INPUT_JobSettings!$A:$A, INPUT_JobSettings!$F:$F, ""), $B$6), $B$6) + $M31)</f>
        <v/>
      </c>
      <c r="T31" s="6">
        <f>IF($A31="","", ($S31+$P31)*IFERROR(IF(XLOOKUP('Job Control'!$B$3, INPUT_JobSettings!$A:$A, INPUT_JobSettings!$G:$G, "")&lt;&gt;"", XLOOKUP('Job Control'!$B$3, INPUT_JobSettings!$A:$A, INPUT_JobSettings!$G:$G, ""), $B$7), $B$7))</f>
        <v/>
      </c>
      <c r="U31" s="6">
        <f>IF($A31="","", IFERROR(XLOOKUP($A31, INPUT_Rooms!$B:$B, INPUT_Rooms!$AI:$AI, ""), ""))</f>
        <v/>
      </c>
      <c r="V31" s="6">
        <f>IF($C31&lt;&gt;"Y",0,IF($A31="","", IF($U31="", 1, IFERROR(XLOOKUP($U31, Constants!$A$160:$A$190, Constants!$C$160:$C$190, 1), 1))))</f>
        <v/>
      </c>
      <c r="W31" s="6">
        <f>IF($C31&lt;&gt;"Y",0,IF($A31="","", ($D31*IF($U31="",0,IFERROR(XLOOKUP($U31, Constants!$A$160:$A$190, Constants!$D$160:$D$190, 0),0))) ))</f>
        <v/>
      </c>
    </row>
    <row r="32">
      <c r="A32" s="6">
        <f>IFERROR(INDEX(FILTER(INPUT_Rooms!$B$4:$B$83, INPUT_Rooms!$A$4:$A$83=$B$4, INPUT_Rooms!$O$4:$O$83="Y"), 22), "")</f>
        <v/>
      </c>
      <c r="B32" s="6">
        <f>IF(A32="","", XLOOKUP(A32, FILTER(INPUT_Rooms!$B$4:$B$83, INPUT_Rooms!$A$4:$A$83=$B$4), FILTER(INPUT_Rooms!$C$4:$C$83, INPUT_Rooms!$A$4:$A$83=$B$4), ""))</f>
        <v/>
      </c>
      <c r="C32" s="6">
        <f>IF(A32="","", "Y")</f>
        <v/>
      </c>
      <c r="D32" s="6">
        <f>IF(A32="","", XLOOKUP(A32, INPUT_Rooms!$B:$B, INPUT_Rooms!$AE:$AE, ""))</f>
        <v/>
      </c>
      <c r="E32" s="6">
        <f>IF(A32="","", XLOOKUP(A32, INPUT_Rooms!$B:$B, INPUT_Rooms!$H:$H, "")/12)</f>
        <v/>
      </c>
      <c r="F32" s="6">
        <f>IF(A32="","", LOOKUP(E32, Constants!$H$10:$H$40, Constants!$I$10:$I$40))</f>
        <v/>
      </c>
      <c r="G32" s="6">
        <f>IF(A32="","", XLOOKUP(A32, INPUT_Rooms!$B:$B, INPUT_Rooms!$P:$P, ""))</f>
        <v/>
      </c>
      <c r="H32" s="6">
        <f>IF(A32="","", XLOOKUP(A32, INPUT_Rooms!$B:$B, INPUT_Rooms!$Q:$Q, ""))</f>
        <v/>
      </c>
      <c r="I32" s="6">
        <f>IF(A32="","", IF(XLOOKUP(A32, INPUT_Rooms!$B:$B, INPUT_Rooms!$R:$R, "")="", $B$5, XLOOKUP(A32, INPUT_Rooms!$B:$B, INPUT_Rooms!$R:$R, "")))</f>
        <v/>
      </c>
      <c r="J32" s="6">
        <f>IF(A32="","", D32*XLOOKUP("PrepMinsPerSqft",Constants!$F$20:$F$40,Constants!$G$20:$G$40)*XLOOKUP(I32,Constants!$E$10:$E$30,Constants!$F$10:$F$30)*F32)</f>
        <v/>
      </c>
      <c r="K32" s="6">
        <f>IF(A32="","", D32*XLOOKUP("PaintMinsPerSqftPerCoat",Constants!$F$20:$F$40,Constants!$G$20:$G$40)*H32*F32)</f>
        <v/>
      </c>
      <c r="L32" s="6">
        <f>IF(A32="","", IF(G32="Full", D32*XLOOKUP("PrimerFullMinsPerSqft",Constants!$F$20:$F$40,Constants!$G$20:$G$40)*F32, IF(G32="Spot", D32*XLOOKUP("PrimerFullMinsPerSqft",Constants!$F$20:$F$40,Constants!$G$20:$G$40)*XLOOKUP("PrimerSpotFactor",Constants!$F$20:$F$40,Constants!$G$20:$G$40)*F32, 0)))</f>
        <v/>
      </c>
      <c r="M32" s="6">
        <f>IF($A32="","", IFERROR(XLOOKUP($A32, INPUT_Rooms!$B:$B, INPUT_Rooms!$S:$S, 0),0) + $W32)</f>
        <v/>
      </c>
      <c r="N32">
        <f>IF($A32="","",IF($C32&lt;&gt;"Y","",IF($D32="", "",IFERROR(CEILING( ($D32*$H32) / IFERROR(XLOOKUP(XLOOKUP('Job Control'!$B$3, INPUT_JobSettings!$A:$A, INPUT_JobSettings!$C:$C, ""), Constants!$A:$A, Constants!$D:$D, ""), ""), 0.25), ""))))</f>
        <v/>
      </c>
      <c r="O32">
        <f>IF($A32="","",IF($C32&lt;&gt;"Y",0,IF($G32="None",0,IF($D32="",0,CEILING(($D32*IF($G32="Full",1, XLOOKUP("PrimerSpotFactor",Constants!$A:$A,Constants!$B:$B,0.35))) / IFERROR(XLOOKUP(XLOOKUP('Job Control'!$B$3, INPUT_JobSettings!$A:$A, INPUT_JobSettings!$E:$E, ""),Constants!$A:$A,Constants!$D:$D),350),0.25)))))</f>
        <v/>
      </c>
      <c r="P32">
        <f>IF($A32="","",IFERROR($N32*IFERROR(XLOOKUP(XLOOKUP('Job Control'!$B$3, INPUT_JobSettings!$A:$A, INPUT_JobSettings!$C:$C, ""), Constants!$A:$A, Constants!$C:$C, 0), 0) + $O32*IFERROR(XLOOKUP(XLOOKUP('Job Control'!$B$3, INPUT_JobSettings!$A:$A, INPUT_JobSettings!$E:$E, ""), Constants!$A:$A, Constants!$C:$C, 0), 0) + $M32,0))</f>
        <v/>
      </c>
      <c r="Q32" s="6">
        <f>IF($A32="","", ($J32+$K32+$L32)*$V32 )</f>
        <v/>
      </c>
      <c r="R32" s="6">
        <f>IF($A32="","", $Q32/60)</f>
        <v/>
      </c>
      <c r="S32" s="6">
        <f>IF($A32="","", $R32*IFERROR(IF(XLOOKUP('Job Control'!$B$3, INPUT_JobSettings!$A:$A, INPUT_JobSettings!$F:$F, "")&lt;&gt;"", XLOOKUP('Job Control'!$B$3, INPUT_JobSettings!$A:$A, INPUT_JobSettings!$F:$F, ""), $B$6), $B$6) + $M32)</f>
        <v/>
      </c>
      <c r="T32" s="6">
        <f>IF($A32="","", ($S32+$P32)*IFERROR(IF(XLOOKUP('Job Control'!$B$3, INPUT_JobSettings!$A:$A, INPUT_JobSettings!$G:$G, "")&lt;&gt;"", XLOOKUP('Job Control'!$B$3, INPUT_JobSettings!$A:$A, INPUT_JobSettings!$G:$G, ""), $B$7), $B$7))</f>
        <v/>
      </c>
      <c r="U32" s="6">
        <f>IF($A32="","", IFERROR(XLOOKUP($A32, INPUT_Rooms!$B:$B, INPUT_Rooms!$AI:$AI, ""), ""))</f>
        <v/>
      </c>
      <c r="V32" s="6">
        <f>IF($C32&lt;&gt;"Y",0,IF($A32="","", IF($U32="", 1, IFERROR(XLOOKUP($U32, Constants!$A$160:$A$190, Constants!$C$160:$C$190, 1), 1))))</f>
        <v/>
      </c>
      <c r="W32" s="6">
        <f>IF($C32&lt;&gt;"Y",0,IF($A32="","", ($D32*IF($U32="",0,IFERROR(XLOOKUP($U32, Constants!$A$160:$A$190, Constants!$D$160:$D$190, 0),0))) ))</f>
        <v/>
      </c>
    </row>
    <row r="33">
      <c r="A33" s="6">
        <f>IFERROR(INDEX(FILTER(INPUT_Rooms!$B$4:$B$83, INPUT_Rooms!$A$4:$A$83=$B$4, INPUT_Rooms!$O$4:$O$83="Y"), 23), "")</f>
        <v/>
      </c>
      <c r="B33" s="6">
        <f>IF(A33="","", XLOOKUP(A33, FILTER(INPUT_Rooms!$B$4:$B$83, INPUT_Rooms!$A$4:$A$83=$B$4), FILTER(INPUT_Rooms!$C$4:$C$83, INPUT_Rooms!$A$4:$A$83=$B$4), ""))</f>
        <v/>
      </c>
      <c r="C33" s="6">
        <f>IF(A33="","", "Y")</f>
        <v/>
      </c>
      <c r="D33" s="6">
        <f>IF(A33="","", XLOOKUP(A33, INPUT_Rooms!$B:$B, INPUT_Rooms!$AE:$AE, ""))</f>
        <v/>
      </c>
      <c r="E33" s="6">
        <f>IF(A33="","", XLOOKUP(A33, INPUT_Rooms!$B:$B, INPUT_Rooms!$H:$H, "")/12)</f>
        <v/>
      </c>
      <c r="F33" s="6">
        <f>IF(A33="","", LOOKUP(E33, Constants!$H$10:$H$40, Constants!$I$10:$I$40))</f>
        <v/>
      </c>
      <c r="G33" s="6">
        <f>IF(A33="","", XLOOKUP(A33, INPUT_Rooms!$B:$B, INPUT_Rooms!$P:$P, ""))</f>
        <v/>
      </c>
      <c r="H33" s="6">
        <f>IF(A33="","", XLOOKUP(A33, INPUT_Rooms!$B:$B, INPUT_Rooms!$Q:$Q, ""))</f>
        <v/>
      </c>
      <c r="I33" s="6">
        <f>IF(A33="","", IF(XLOOKUP(A33, INPUT_Rooms!$B:$B, INPUT_Rooms!$R:$R, "")="", $B$5, XLOOKUP(A33, INPUT_Rooms!$B:$B, INPUT_Rooms!$R:$R, "")))</f>
        <v/>
      </c>
      <c r="J33" s="6">
        <f>IF(A33="","", D33*XLOOKUP("PrepMinsPerSqft",Constants!$F$20:$F$40,Constants!$G$20:$G$40)*XLOOKUP(I33,Constants!$E$10:$E$30,Constants!$F$10:$F$30)*F33)</f>
        <v/>
      </c>
      <c r="K33" s="6">
        <f>IF(A33="","", D33*XLOOKUP("PaintMinsPerSqftPerCoat",Constants!$F$20:$F$40,Constants!$G$20:$G$40)*H33*F33)</f>
        <v/>
      </c>
      <c r="L33" s="6">
        <f>IF(A33="","", IF(G33="Full", D33*XLOOKUP("PrimerFullMinsPerSqft",Constants!$F$20:$F$40,Constants!$G$20:$G$40)*F33, IF(G33="Spot", D33*XLOOKUP("PrimerFullMinsPerSqft",Constants!$F$20:$F$40,Constants!$G$20:$G$40)*XLOOKUP("PrimerSpotFactor",Constants!$F$20:$F$40,Constants!$G$20:$G$40)*F33, 0)))</f>
        <v/>
      </c>
      <c r="M33" s="6">
        <f>IF($A33="","", IFERROR(XLOOKUP($A33, INPUT_Rooms!$B:$B, INPUT_Rooms!$S:$S, 0),0) + $W33)</f>
        <v/>
      </c>
      <c r="N33">
        <f>IF($A33="","",IF($C33&lt;&gt;"Y","",IF($D33="", "",IFERROR(CEILING( ($D33*$H33) / IFERROR(XLOOKUP(XLOOKUP('Job Control'!$B$3, INPUT_JobSettings!$A:$A, INPUT_JobSettings!$C:$C, ""), Constants!$A:$A, Constants!$D:$D, ""), ""), 0.25), ""))))</f>
        <v/>
      </c>
      <c r="O33">
        <f>IF($A33="","",IF($C33&lt;&gt;"Y",0,IF($G33="None",0,IF($D33="",0,CEILING(($D33*IF($G33="Full",1, XLOOKUP("PrimerSpotFactor",Constants!$A:$A,Constants!$B:$B,0.35))) / IFERROR(XLOOKUP(XLOOKUP('Job Control'!$B$3, INPUT_JobSettings!$A:$A, INPUT_JobSettings!$E:$E, ""),Constants!$A:$A,Constants!$D:$D),350),0.25)))))</f>
        <v/>
      </c>
      <c r="P33">
        <f>IF($A33="","",IFERROR($N33*IFERROR(XLOOKUP(XLOOKUP('Job Control'!$B$3, INPUT_JobSettings!$A:$A, INPUT_JobSettings!$C:$C, ""), Constants!$A:$A, Constants!$C:$C, 0), 0) + $O33*IFERROR(XLOOKUP(XLOOKUP('Job Control'!$B$3, INPUT_JobSettings!$A:$A, INPUT_JobSettings!$E:$E, ""), Constants!$A:$A, Constants!$C:$C, 0), 0) + $M33,0))</f>
        <v/>
      </c>
      <c r="Q33" s="6">
        <f>IF($A33="","", ($J33+$K33+$L33)*$V33 )</f>
        <v/>
      </c>
      <c r="R33" s="6">
        <f>IF($A33="","", $Q33/60)</f>
        <v/>
      </c>
      <c r="S33" s="6">
        <f>IF($A33="","", $R33*IFERROR(IF(XLOOKUP('Job Control'!$B$3, INPUT_JobSettings!$A:$A, INPUT_JobSettings!$F:$F, "")&lt;&gt;"", XLOOKUP('Job Control'!$B$3, INPUT_JobSettings!$A:$A, INPUT_JobSettings!$F:$F, ""), $B$6), $B$6) + $M33)</f>
        <v/>
      </c>
      <c r="T33" s="6">
        <f>IF($A33="","", ($S33+$P33)*IFERROR(IF(XLOOKUP('Job Control'!$B$3, INPUT_JobSettings!$A:$A, INPUT_JobSettings!$G:$G, "")&lt;&gt;"", XLOOKUP('Job Control'!$B$3, INPUT_JobSettings!$A:$A, INPUT_JobSettings!$G:$G, ""), $B$7), $B$7))</f>
        <v/>
      </c>
      <c r="U33" s="6">
        <f>IF($A33="","", IFERROR(XLOOKUP($A33, INPUT_Rooms!$B:$B, INPUT_Rooms!$AI:$AI, ""), ""))</f>
        <v/>
      </c>
      <c r="V33" s="6">
        <f>IF($C33&lt;&gt;"Y",0,IF($A33="","", IF($U33="", 1, IFERROR(XLOOKUP($U33, Constants!$A$160:$A$190, Constants!$C$160:$C$190, 1), 1))))</f>
        <v/>
      </c>
      <c r="W33" s="6">
        <f>IF($C33&lt;&gt;"Y",0,IF($A33="","", ($D33*IF($U33="",0,IFERROR(XLOOKUP($U33, Constants!$A$160:$A$190, Constants!$D$160:$D$190, 0),0))) ))</f>
        <v/>
      </c>
    </row>
    <row r="34">
      <c r="A34" s="6">
        <f>IFERROR(INDEX(FILTER(INPUT_Rooms!$B$4:$B$83, INPUT_Rooms!$A$4:$A$83=$B$4, INPUT_Rooms!$O$4:$O$83="Y"), 24), "")</f>
        <v/>
      </c>
      <c r="B34" s="6">
        <f>IF(A34="","", XLOOKUP(A34, FILTER(INPUT_Rooms!$B$4:$B$83, INPUT_Rooms!$A$4:$A$83=$B$4), FILTER(INPUT_Rooms!$C$4:$C$83, INPUT_Rooms!$A$4:$A$83=$B$4), ""))</f>
        <v/>
      </c>
      <c r="C34" s="6">
        <f>IF(A34="","", "Y")</f>
        <v/>
      </c>
      <c r="D34" s="6">
        <f>IF(A34="","", XLOOKUP(A34, INPUT_Rooms!$B:$B, INPUT_Rooms!$AE:$AE, ""))</f>
        <v/>
      </c>
      <c r="E34" s="6">
        <f>IF(A34="","", XLOOKUP(A34, INPUT_Rooms!$B:$B, INPUT_Rooms!$H:$H, "")/12)</f>
        <v/>
      </c>
      <c r="F34" s="6">
        <f>IF(A34="","", LOOKUP(E34, Constants!$H$10:$H$40, Constants!$I$10:$I$40))</f>
        <v/>
      </c>
      <c r="G34" s="6">
        <f>IF(A34="","", XLOOKUP(A34, INPUT_Rooms!$B:$B, INPUT_Rooms!$P:$P, ""))</f>
        <v/>
      </c>
      <c r="H34" s="6">
        <f>IF(A34="","", XLOOKUP(A34, INPUT_Rooms!$B:$B, INPUT_Rooms!$Q:$Q, ""))</f>
        <v/>
      </c>
      <c r="I34" s="6">
        <f>IF(A34="","", IF(XLOOKUP(A34, INPUT_Rooms!$B:$B, INPUT_Rooms!$R:$R, "")="", $B$5, XLOOKUP(A34, INPUT_Rooms!$B:$B, INPUT_Rooms!$R:$R, "")))</f>
        <v/>
      </c>
      <c r="J34" s="6">
        <f>IF(A34="","", D34*XLOOKUP("PrepMinsPerSqft",Constants!$F$20:$F$40,Constants!$G$20:$G$40)*XLOOKUP(I34,Constants!$E$10:$E$30,Constants!$F$10:$F$30)*F34)</f>
        <v/>
      </c>
      <c r="K34" s="6">
        <f>IF(A34="","", D34*XLOOKUP("PaintMinsPerSqftPerCoat",Constants!$F$20:$F$40,Constants!$G$20:$G$40)*H34*F34)</f>
        <v/>
      </c>
      <c r="L34" s="6">
        <f>IF(A34="","", IF(G34="Full", D34*XLOOKUP("PrimerFullMinsPerSqft",Constants!$F$20:$F$40,Constants!$G$20:$G$40)*F34, IF(G34="Spot", D34*XLOOKUP("PrimerFullMinsPerSqft",Constants!$F$20:$F$40,Constants!$G$20:$G$40)*XLOOKUP("PrimerSpotFactor",Constants!$F$20:$F$40,Constants!$G$20:$G$40)*F34, 0)))</f>
        <v/>
      </c>
      <c r="M34" s="6">
        <f>IF($A34="","", IFERROR(XLOOKUP($A34, INPUT_Rooms!$B:$B, INPUT_Rooms!$S:$S, 0),0) + $W34)</f>
        <v/>
      </c>
      <c r="N34">
        <f>IF($A34="","",IF($C34&lt;&gt;"Y","",IF($D34="", "",IFERROR(CEILING( ($D34*$H34) / IFERROR(XLOOKUP(XLOOKUP('Job Control'!$B$3, INPUT_JobSettings!$A:$A, INPUT_JobSettings!$C:$C, ""), Constants!$A:$A, Constants!$D:$D, ""), ""), 0.25), ""))))</f>
        <v/>
      </c>
      <c r="O34">
        <f>IF($A34="","",IF($C34&lt;&gt;"Y",0,IF($G34="None",0,IF($D34="",0,CEILING(($D34*IF($G34="Full",1, XLOOKUP("PrimerSpotFactor",Constants!$A:$A,Constants!$B:$B,0.35))) / IFERROR(XLOOKUP(XLOOKUP('Job Control'!$B$3, INPUT_JobSettings!$A:$A, INPUT_JobSettings!$E:$E, ""),Constants!$A:$A,Constants!$D:$D),350),0.25)))))</f>
        <v/>
      </c>
      <c r="P34">
        <f>IF($A34="","",IFERROR($N34*IFERROR(XLOOKUP(XLOOKUP('Job Control'!$B$3, INPUT_JobSettings!$A:$A, INPUT_JobSettings!$C:$C, ""), Constants!$A:$A, Constants!$C:$C, 0), 0) + $O34*IFERROR(XLOOKUP(XLOOKUP('Job Control'!$B$3, INPUT_JobSettings!$A:$A, INPUT_JobSettings!$E:$E, ""), Constants!$A:$A, Constants!$C:$C, 0), 0) + $M34,0))</f>
        <v/>
      </c>
      <c r="Q34" s="6">
        <f>IF($A34="","", ($J34+$K34+$L34)*$V34 )</f>
        <v/>
      </c>
      <c r="R34" s="6">
        <f>IF($A34="","", $Q34/60)</f>
        <v/>
      </c>
      <c r="S34" s="6">
        <f>IF($A34="","", $R34*IFERROR(IF(XLOOKUP('Job Control'!$B$3, INPUT_JobSettings!$A:$A, INPUT_JobSettings!$F:$F, "")&lt;&gt;"", XLOOKUP('Job Control'!$B$3, INPUT_JobSettings!$A:$A, INPUT_JobSettings!$F:$F, ""), $B$6), $B$6) + $M34)</f>
        <v/>
      </c>
      <c r="T34" s="6">
        <f>IF($A34="","", ($S34+$P34)*IFERROR(IF(XLOOKUP('Job Control'!$B$3, INPUT_JobSettings!$A:$A, INPUT_JobSettings!$G:$G, "")&lt;&gt;"", XLOOKUP('Job Control'!$B$3, INPUT_JobSettings!$A:$A, INPUT_JobSettings!$G:$G, ""), $B$7), $B$7))</f>
        <v/>
      </c>
      <c r="U34" s="6">
        <f>IF($A34="","", IFERROR(XLOOKUP($A34, INPUT_Rooms!$B:$B, INPUT_Rooms!$AI:$AI, ""), ""))</f>
        <v/>
      </c>
      <c r="V34" s="6">
        <f>IF($C34&lt;&gt;"Y",0,IF($A34="","", IF($U34="", 1, IFERROR(XLOOKUP($U34, Constants!$A$160:$A$190, Constants!$C$160:$C$190, 1), 1))))</f>
        <v/>
      </c>
      <c r="W34" s="6">
        <f>IF($C34&lt;&gt;"Y",0,IF($A34="","", ($D34*IF($U34="",0,IFERROR(XLOOKUP($U34, Constants!$A$160:$A$190, Constants!$D$160:$D$190, 0),0))) ))</f>
        <v/>
      </c>
    </row>
    <row r="35">
      <c r="A35" s="6">
        <f>IFERROR(INDEX(FILTER(INPUT_Rooms!$B$4:$B$83, INPUT_Rooms!$A$4:$A$83=$B$4, INPUT_Rooms!$O$4:$O$83="Y"), 25), "")</f>
        <v/>
      </c>
      <c r="B35" s="6">
        <f>IF(A35="","", XLOOKUP(A35, FILTER(INPUT_Rooms!$B$4:$B$83, INPUT_Rooms!$A$4:$A$83=$B$4), FILTER(INPUT_Rooms!$C$4:$C$83, INPUT_Rooms!$A$4:$A$83=$B$4), ""))</f>
        <v/>
      </c>
      <c r="C35" s="6">
        <f>IF(A35="","", "Y")</f>
        <v/>
      </c>
      <c r="D35" s="6">
        <f>IF(A35="","", XLOOKUP(A35, INPUT_Rooms!$B:$B, INPUT_Rooms!$AE:$AE, ""))</f>
        <v/>
      </c>
      <c r="E35" s="6">
        <f>IF(A35="","", XLOOKUP(A35, INPUT_Rooms!$B:$B, INPUT_Rooms!$H:$H, "")/12)</f>
        <v/>
      </c>
      <c r="F35" s="6">
        <f>IF(A35="","", LOOKUP(E35, Constants!$H$10:$H$40, Constants!$I$10:$I$40))</f>
        <v/>
      </c>
      <c r="G35" s="6">
        <f>IF(A35="","", XLOOKUP(A35, INPUT_Rooms!$B:$B, INPUT_Rooms!$P:$P, ""))</f>
        <v/>
      </c>
      <c r="H35" s="6">
        <f>IF(A35="","", XLOOKUP(A35, INPUT_Rooms!$B:$B, INPUT_Rooms!$Q:$Q, ""))</f>
        <v/>
      </c>
      <c r="I35" s="6">
        <f>IF(A35="","", IF(XLOOKUP(A35, INPUT_Rooms!$B:$B, INPUT_Rooms!$R:$R, "")="", $B$5, XLOOKUP(A35, INPUT_Rooms!$B:$B, INPUT_Rooms!$R:$R, "")))</f>
        <v/>
      </c>
      <c r="J35" s="6">
        <f>IF(A35="","", D35*XLOOKUP("PrepMinsPerSqft",Constants!$F$20:$F$40,Constants!$G$20:$G$40)*XLOOKUP(I35,Constants!$E$10:$E$30,Constants!$F$10:$F$30)*F35)</f>
        <v/>
      </c>
      <c r="K35" s="6">
        <f>IF(A35="","", D35*XLOOKUP("PaintMinsPerSqftPerCoat",Constants!$F$20:$F$40,Constants!$G$20:$G$40)*H35*F35)</f>
        <v/>
      </c>
      <c r="L35" s="6">
        <f>IF(A35="","", IF(G35="Full", D35*XLOOKUP("PrimerFullMinsPerSqft",Constants!$F$20:$F$40,Constants!$G$20:$G$40)*F35, IF(G35="Spot", D35*XLOOKUP("PrimerFullMinsPerSqft",Constants!$F$20:$F$40,Constants!$G$20:$G$40)*XLOOKUP("PrimerSpotFactor",Constants!$F$20:$F$40,Constants!$G$20:$G$40)*F35, 0)))</f>
        <v/>
      </c>
      <c r="M35" s="6">
        <f>IF($A35="","", IFERROR(XLOOKUP($A35, INPUT_Rooms!$B:$B, INPUT_Rooms!$S:$S, 0),0) + $W35)</f>
        <v/>
      </c>
      <c r="N35">
        <f>IF($A35="","",IF($C35&lt;&gt;"Y","",IF($D35="", "",IFERROR(CEILING( ($D35*$H35) / IFERROR(XLOOKUP(XLOOKUP('Job Control'!$B$3, INPUT_JobSettings!$A:$A, INPUT_JobSettings!$C:$C, ""), Constants!$A:$A, Constants!$D:$D, ""), ""), 0.25), ""))))</f>
        <v/>
      </c>
      <c r="O35">
        <f>IF($A35="","",IF($C35&lt;&gt;"Y",0,IF($G35="None",0,IF($D35="",0,CEILING(($D35*IF($G35="Full",1, XLOOKUP("PrimerSpotFactor",Constants!$A:$A,Constants!$B:$B,0.35))) / IFERROR(XLOOKUP(XLOOKUP('Job Control'!$B$3, INPUT_JobSettings!$A:$A, INPUT_JobSettings!$E:$E, ""),Constants!$A:$A,Constants!$D:$D),350),0.25)))))</f>
        <v/>
      </c>
      <c r="P35">
        <f>IF($A35="","",IFERROR($N35*IFERROR(XLOOKUP(XLOOKUP('Job Control'!$B$3, INPUT_JobSettings!$A:$A, INPUT_JobSettings!$C:$C, ""), Constants!$A:$A, Constants!$C:$C, 0), 0) + $O35*IFERROR(XLOOKUP(XLOOKUP('Job Control'!$B$3, INPUT_JobSettings!$A:$A, INPUT_JobSettings!$E:$E, ""), Constants!$A:$A, Constants!$C:$C, 0), 0) + $M35,0))</f>
        <v/>
      </c>
      <c r="Q35" s="6">
        <f>IF($A35="","", ($J35+$K35+$L35)*$V35 )</f>
        <v/>
      </c>
      <c r="R35" s="6">
        <f>IF($A35="","", $Q35/60)</f>
        <v/>
      </c>
      <c r="S35" s="6">
        <f>IF($A35="","", $R35*IFERROR(IF(XLOOKUP('Job Control'!$B$3, INPUT_JobSettings!$A:$A, INPUT_JobSettings!$F:$F, "")&lt;&gt;"", XLOOKUP('Job Control'!$B$3, INPUT_JobSettings!$A:$A, INPUT_JobSettings!$F:$F, ""), $B$6), $B$6) + $M35)</f>
        <v/>
      </c>
      <c r="T35" s="6">
        <f>IF($A35="","", ($S35+$P35)*IFERROR(IF(XLOOKUP('Job Control'!$B$3, INPUT_JobSettings!$A:$A, INPUT_JobSettings!$G:$G, "")&lt;&gt;"", XLOOKUP('Job Control'!$B$3, INPUT_JobSettings!$A:$A, INPUT_JobSettings!$G:$G, ""), $B$7), $B$7))</f>
        <v/>
      </c>
      <c r="U35" s="6">
        <f>IF($A35="","", IFERROR(XLOOKUP($A35, INPUT_Rooms!$B:$B, INPUT_Rooms!$AI:$AI, ""), ""))</f>
        <v/>
      </c>
      <c r="V35" s="6">
        <f>IF($C35&lt;&gt;"Y",0,IF($A35="","", IF($U35="", 1, IFERROR(XLOOKUP($U35, Constants!$A$160:$A$190, Constants!$C$160:$C$190, 1), 1))))</f>
        <v/>
      </c>
      <c r="W35" s="6">
        <f>IF($C35&lt;&gt;"Y",0,IF($A35="","", ($D35*IF($U35="",0,IFERROR(XLOOKUP($U35, Constants!$A$160:$A$190, Constants!$D$160:$D$190, 0),0))) ))</f>
        <v/>
      </c>
    </row>
    <row r="36">
      <c r="A36" s="6">
        <f>IFERROR(INDEX(FILTER(INPUT_Rooms!$B$4:$B$83, INPUT_Rooms!$A$4:$A$83=$B$4, INPUT_Rooms!$O$4:$O$83="Y"), 26), "")</f>
        <v/>
      </c>
      <c r="B36" s="6">
        <f>IF(A36="","", XLOOKUP(A36, FILTER(INPUT_Rooms!$B$4:$B$83, INPUT_Rooms!$A$4:$A$83=$B$4), FILTER(INPUT_Rooms!$C$4:$C$83, INPUT_Rooms!$A$4:$A$83=$B$4), ""))</f>
        <v/>
      </c>
      <c r="C36" s="6">
        <f>IF(A36="","", "Y")</f>
        <v/>
      </c>
      <c r="D36" s="6">
        <f>IF(A36="","", XLOOKUP(A36, INPUT_Rooms!$B:$B, INPUT_Rooms!$AE:$AE, ""))</f>
        <v/>
      </c>
      <c r="E36" s="6">
        <f>IF(A36="","", XLOOKUP(A36, INPUT_Rooms!$B:$B, INPUT_Rooms!$H:$H, "")/12)</f>
        <v/>
      </c>
      <c r="F36" s="6">
        <f>IF(A36="","", LOOKUP(E36, Constants!$H$10:$H$40, Constants!$I$10:$I$40))</f>
        <v/>
      </c>
      <c r="G36" s="6">
        <f>IF(A36="","", XLOOKUP(A36, INPUT_Rooms!$B:$B, INPUT_Rooms!$P:$P, ""))</f>
        <v/>
      </c>
      <c r="H36" s="6">
        <f>IF(A36="","", XLOOKUP(A36, INPUT_Rooms!$B:$B, INPUT_Rooms!$Q:$Q, ""))</f>
        <v/>
      </c>
      <c r="I36" s="6">
        <f>IF(A36="","", IF(XLOOKUP(A36, INPUT_Rooms!$B:$B, INPUT_Rooms!$R:$R, "")="", $B$5, XLOOKUP(A36, INPUT_Rooms!$B:$B, INPUT_Rooms!$R:$R, "")))</f>
        <v/>
      </c>
      <c r="J36" s="6">
        <f>IF(A36="","", D36*XLOOKUP("PrepMinsPerSqft",Constants!$F$20:$F$40,Constants!$G$20:$G$40)*XLOOKUP(I36,Constants!$E$10:$E$30,Constants!$F$10:$F$30)*F36)</f>
        <v/>
      </c>
      <c r="K36" s="6">
        <f>IF(A36="","", D36*XLOOKUP("PaintMinsPerSqftPerCoat",Constants!$F$20:$F$40,Constants!$G$20:$G$40)*H36*F36)</f>
        <v/>
      </c>
      <c r="L36" s="6">
        <f>IF(A36="","", IF(G36="Full", D36*XLOOKUP("PrimerFullMinsPerSqft",Constants!$F$20:$F$40,Constants!$G$20:$G$40)*F36, IF(G36="Spot", D36*XLOOKUP("PrimerFullMinsPerSqft",Constants!$F$20:$F$40,Constants!$G$20:$G$40)*XLOOKUP("PrimerSpotFactor",Constants!$F$20:$F$40,Constants!$G$20:$G$40)*F36, 0)))</f>
        <v/>
      </c>
      <c r="M36" s="6">
        <f>IF($A36="","", IFERROR(XLOOKUP($A36, INPUT_Rooms!$B:$B, INPUT_Rooms!$S:$S, 0),0) + $W36)</f>
        <v/>
      </c>
      <c r="N36">
        <f>IF($A36="","",IF($C36&lt;&gt;"Y","",IF($D36="", "",IFERROR(CEILING( ($D36*$H36) / IFERROR(XLOOKUP(XLOOKUP('Job Control'!$B$3, INPUT_JobSettings!$A:$A, INPUT_JobSettings!$C:$C, ""), Constants!$A:$A, Constants!$D:$D, ""), ""), 0.25), ""))))</f>
        <v/>
      </c>
      <c r="O36">
        <f>IF($A36="","",IF($C36&lt;&gt;"Y",0,IF($G36="None",0,IF($D36="",0,CEILING(($D36*IF($G36="Full",1, XLOOKUP("PrimerSpotFactor",Constants!$A:$A,Constants!$B:$B,0.35))) / IFERROR(XLOOKUP(XLOOKUP('Job Control'!$B$3, INPUT_JobSettings!$A:$A, INPUT_JobSettings!$E:$E, ""),Constants!$A:$A,Constants!$D:$D),350),0.25)))))</f>
        <v/>
      </c>
      <c r="P36">
        <f>IF($A36="","",IFERROR($N36*IFERROR(XLOOKUP(XLOOKUP('Job Control'!$B$3, INPUT_JobSettings!$A:$A, INPUT_JobSettings!$C:$C, ""), Constants!$A:$A, Constants!$C:$C, 0), 0) + $O36*IFERROR(XLOOKUP(XLOOKUP('Job Control'!$B$3, INPUT_JobSettings!$A:$A, INPUT_JobSettings!$E:$E, ""), Constants!$A:$A, Constants!$C:$C, 0), 0) + $M36,0))</f>
        <v/>
      </c>
      <c r="Q36" s="6">
        <f>IF($A36="","", ($J36+$K36+$L36)*$V36 )</f>
        <v/>
      </c>
      <c r="R36" s="6">
        <f>IF($A36="","", $Q36/60)</f>
        <v/>
      </c>
      <c r="S36" s="6">
        <f>IF($A36="","", $R36*IFERROR(IF(XLOOKUP('Job Control'!$B$3, INPUT_JobSettings!$A:$A, INPUT_JobSettings!$F:$F, "")&lt;&gt;"", XLOOKUP('Job Control'!$B$3, INPUT_JobSettings!$A:$A, INPUT_JobSettings!$F:$F, ""), $B$6), $B$6) + $M36)</f>
        <v/>
      </c>
      <c r="T36" s="6">
        <f>IF($A36="","", ($S36+$P36)*IFERROR(IF(XLOOKUP('Job Control'!$B$3, INPUT_JobSettings!$A:$A, INPUT_JobSettings!$G:$G, "")&lt;&gt;"", XLOOKUP('Job Control'!$B$3, INPUT_JobSettings!$A:$A, INPUT_JobSettings!$G:$G, ""), $B$7), $B$7))</f>
        <v/>
      </c>
      <c r="U36" s="6">
        <f>IF($A36="","", IFERROR(XLOOKUP($A36, INPUT_Rooms!$B:$B, INPUT_Rooms!$AI:$AI, ""), ""))</f>
        <v/>
      </c>
      <c r="V36" s="6">
        <f>IF($C36&lt;&gt;"Y",0,IF($A36="","", IF($U36="", 1, IFERROR(XLOOKUP($U36, Constants!$A$160:$A$190, Constants!$C$160:$C$190, 1), 1))))</f>
        <v/>
      </c>
      <c r="W36" s="6">
        <f>IF($C36&lt;&gt;"Y",0,IF($A36="","", ($D36*IF($U36="",0,IFERROR(XLOOKUP($U36, Constants!$A$160:$A$190, Constants!$D$160:$D$190, 0),0))) ))</f>
        <v/>
      </c>
    </row>
    <row r="37">
      <c r="A37" s="6">
        <f>IFERROR(INDEX(FILTER(INPUT_Rooms!$B$4:$B$83, INPUT_Rooms!$A$4:$A$83=$B$4, INPUT_Rooms!$O$4:$O$83="Y"), 27), "")</f>
        <v/>
      </c>
      <c r="B37" s="6">
        <f>IF(A37="","", XLOOKUP(A37, FILTER(INPUT_Rooms!$B$4:$B$83, INPUT_Rooms!$A$4:$A$83=$B$4), FILTER(INPUT_Rooms!$C$4:$C$83, INPUT_Rooms!$A$4:$A$83=$B$4), ""))</f>
        <v/>
      </c>
      <c r="C37" s="6">
        <f>IF(A37="","", "Y")</f>
        <v/>
      </c>
      <c r="D37" s="6">
        <f>IF(A37="","", XLOOKUP(A37, INPUT_Rooms!$B:$B, INPUT_Rooms!$AE:$AE, ""))</f>
        <v/>
      </c>
      <c r="E37" s="6">
        <f>IF(A37="","", XLOOKUP(A37, INPUT_Rooms!$B:$B, INPUT_Rooms!$H:$H, "")/12)</f>
        <v/>
      </c>
      <c r="F37" s="6">
        <f>IF(A37="","", LOOKUP(E37, Constants!$H$10:$H$40, Constants!$I$10:$I$40))</f>
        <v/>
      </c>
      <c r="G37" s="6">
        <f>IF(A37="","", XLOOKUP(A37, INPUT_Rooms!$B:$B, INPUT_Rooms!$P:$P, ""))</f>
        <v/>
      </c>
      <c r="H37" s="6">
        <f>IF(A37="","", XLOOKUP(A37, INPUT_Rooms!$B:$B, INPUT_Rooms!$Q:$Q, ""))</f>
        <v/>
      </c>
      <c r="I37" s="6">
        <f>IF(A37="","", IF(XLOOKUP(A37, INPUT_Rooms!$B:$B, INPUT_Rooms!$R:$R, "")="", $B$5, XLOOKUP(A37, INPUT_Rooms!$B:$B, INPUT_Rooms!$R:$R, "")))</f>
        <v/>
      </c>
      <c r="J37" s="6">
        <f>IF(A37="","", D37*XLOOKUP("PrepMinsPerSqft",Constants!$F$20:$F$40,Constants!$G$20:$G$40)*XLOOKUP(I37,Constants!$E$10:$E$30,Constants!$F$10:$F$30)*F37)</f>
        <v/>
      </c>
      <c r="K37" s="6">
        <f>IF(A37="","", D37*XLOOKUP("PaintMinsPerSqftPerCoat",Constants!$F$20:$F$40,Constants!$G$20:$G$40)*H37*F37)</f>
        <v/>
      </c>
      <c r="L37" s="6">
        <f>IF(A37="","", IF(G37="Full", D37*XLOOKUP("PrimerFullMinsPerSqft",Constants!$F$20:$F$40,Constants!$G$20:$G$40)*F37, IF(G37="Spot", D37*XLOOKUP("PrimerFullMinsPerSqft",Constants!$F$20:$F$40,Constants!$G$20:$G$40)*XLOOKUP("PrimerSpotFactor",Constants!$F$20:$F$40,Constants!$G$20:$G$40)*F37, 0)))</f>
        <v/>
      </c>
      <c r="M37" s="6">
        <f>IF($A37="","", IFERROR(XLOOKUP($A37, INPUT_Rooms!$B:$B, INPUT_Rooms!$S:$S, 0),0) + $W37)</f>
        <v/>
      </c>
      <c r="N37">
        <f>IF($A37="","",IF($C37&lt;&gt;"Y","",IF($D37="", "",IFERROR(CEILING( ($D37*$H37) / IFERROR(XLOOKUP(XLOOKUP('Job Control'!$B$3, INPUT_JobSettings!$A:$A, INPUT_JobSettings!$C:$C, ""), Constants!$A:$A, Constants!$D:$D, ""), ""), 0.25), ""))))</f>
        <v/>
      </c>
      <c r="O37">
        <f>IF($A37="","",IF($C37&lt;&gt;"Y",0,IF($G37="None",0,IF($D37="",0,CEILING(($D37*IF($G37="Full",1, XLOOKUP("PrimerSpotFactor",Constants!$A:$A,Constants!$B:$B,0.35))) / IFERROR(XLOOKUP(XLOOKUP('Job Control'!$B$3, INPUT_JobSettings!$A:$A, INPUT_JobSettings!$E:$E, ""),Constants!$A:$A,Constants!$D:$D),350),0.25)))))</f>
        <v/>
      </c>
      <c r="P37">
        <f>IF($A37="","",IFERROR($N37*IFERROR(XLOOKUP(XLOOKUP('Job Control'!$B$3, INPUT_JobSettings!$A:$A, INPUT_JobSettings!$C:$C, ""), Constants!$A:$A, Constants!$C:$C, 0), 0) + $O37*IFERROR(XLOOKUP(XLOOKUP('Job Control'!$B$3, INPUT_JobSettings!$A:$A, INPUT_JobSettings!$E:$E, ""), Constants!$A:$A, Constants!$C:$C, 0), 0) + $M37,0))</f>
        <v/>
      </c>
      <c r="Q37" s="6">
        <f>IF($A37="","", ($J37+$K37+$L37)*$V37 )</f>
        <v/>
      </c>
      <c r="R37" s="6">
        <f>IF($A37="","", $Q37/60)</f>
        <v/>
      </c>
      <c r="S37" s="6">
        <f>IF($A37="","", $R37*IFERROR(IF(XLOOKUP('Job Control'!$B$3, INPUT_JobSettings!$A:$A, INPUT_JobSettings!$F:$F, "")&lt;&gt;"", XLOOKUP('Job Control'!$B$3, INPUT_JobSettings!$A:$A, INPUT_JobSettings!$F:$F, ""), $B$6), $B$6) + $M37)</f>
        <v/>
      </c>
      <c r="T37" s="6">
        <f>IF($A37="","", ($S37+$P37)*IFERROR(IF(XLOOKUP('Job Control'!$B$3, INPUT_JobSettings!$A:$A, INPUT_JobSettings!$G:$G, "")&lt;&gt;"", XLOOKUP('Job Control'!$B$3, INPUT_JobSettings!$A:$A, INPUT_JobSettings!$G:$G, ""), $B$7), $B$7))</f>
        <v/>
      </c>
      <c r="U37" s="6">
        <f>IF($A37="","", IFERROR(XLOOKUP($A37, INPUT_Rooms!$B:$B, INPUT_Rooms!$AI:$AI, ""), ""))</f>
        <v/>
      </c>
      <c r="V37" s="6">
        <f>IF($C37&lt;&gt;"Y",0,IF($A37="","", IF($U37="", 1, IFERROR(XLOOKUP($U37, Constants!$A$160:$A$190, Constants!$C$160:$C$190, 1), 1))))</f>
        <v/>
      </c>
      <c r="W37" s="6">
        <f>IF($C37&lt;&gt;"Y",0,IF($A37="","", ($D37*IF($U37="",0,IFERROR(XLOOKUP($U37, Constants!$A$160:$A$190, Constants!$D$160:$D$190, 0),0))) ))</f>
        <v/>
      </c>
    </row>
    <row r="38">
      <c r="A38" s="6">
        <f>IFERROR(INDEX(FILTER(INPUT_Rooms!$B$4:$B$83, INPUT_Rooms!$A$4:$A$83=$B$4, INPUT_Rooms!$O$4:$O$83="Y"), 28), "")</f>
        <v/>
      </c>
      <c r="B38" s="6">
        <f>IF(A38="","", XLOOKUP(A38, FILTER(INPUT_Rooms!$B$4:$B$83, INPUT_Rooms!$A$4:$A$83=$B$4), FILTER(INPUT_Rooms!$C$4:$C$83, INPUT_Rooms!$A$4:$A$83=$B$4), ""))</f>
        <v/>
      </c>
      <c r="C38" s="6">
        <f>IF(A38="","", "Y")</f>
        <v/>
      </c>
      <c r="D38" s="6">
        <f>IF(A38="","", XLOOKUP(A38, INPUT_Rooms!$B:$B, INPUT_Rooms!$AE:$AE, ""))</f>
        <v/>
      </c>
      <c r="E38" s="6">
        <f>IF(A38="","", XLOOKUP(A38, INPUT_Rooms!$B:$B, INPUT_Rooms!$H:$H, "")/12)</f>
        <v/>
      </c>
      <c r="F38" s="6">
        <f>IF(A38="","", LOOKUP(E38, Constants!$H$10:$H$40, Constants!$I$10:$I$40))</f>
        <v/>
      </c>
      <c r="G38" s="6">
        <f>IF(A38="","", XLOOKUP(A38, INPUT_Rooms!$B:$B, INPUT_Rooms!$P:$P, ""))</f>
        <v/>
      </c>
      <c r="H38" s="6">
        <f>IF(A38="","", XLOOKUP(A38, INPUT_Rooms!$B:$B, INPUT_Rooms!$Q:$Q, ""))</f>
        <v/>
      </c>
      <c r="I38" s="6">
        <f>IF(A38="","", IF(XLOOKUP(A38, INPUT_Rooms!$B:$B, INPUT_Rooms!$R:$R, "")="", $B$5, XLOOKUP(A38, INPUT_Rooms!$B:$B, INPUT_Rooms!$R:$R, "")))</f>
        <v/>
      </c>
      <c r="J38" s="6">
        <f>IF(A38="","", D38*XLOOKUP("PrepMinsPerSqft",Constants!$F$20:$F$40,Constants!$G$20:$G$40)*XLOOKUP(I38,Constants!$E$10:$E$30,Constants!$F$10:$F$30)*F38)</f>
        <v/>
      </c>
      <c r="K38" s="6">
        <f>IF(A38="","", D38*XLOOKUP("PaintMinsPerSqftPerCoat",Constants!$F$20:$F$40,Constants!$G$20:$G$40)*H38*F38)</f>
        <v/>
      </c>
      <c r="L38" s="6">
        <f>IF(A38="","", IF(G38="Full", D38*XLOOKUP("PrimerFullMinsPerSqft",Constants!$F$20:$F$40,Constants!$G$20:$G$40)*F38, IF(G38="Spot", D38*XLOOKUP("PrimerFullMinsPerSqft",Constants!$F$20:$F$40,Constants!$G$20:$G$40)*XLOOKUP("PrimerSpotFactor",Constants!$F$20:$F$40,Constants!$G$20:$G$40)*F38, 0)))</f>
        <v/>
      </c>
      <c r="M38" s="6">
        <f>IF($A38="","", IFERROR(XLOOKUP($A38, INPUT_Rooms!$B:$B, INPUT_Rooms!$S:$S, 0),0) + $W38)</f>
        <v/>
      </c>
      <c r="N38">
        <f>IF($A38="","",IF($C38&lt;&gt;"Y","",IF($D38="", "",IFERROR(CEILING( ($D38*$H38) / IFERROR(XLOOKUP(XLOOKUP('Job Control'!$B$3, INPUT_JobSettings!$A:$A, INPUT_JobSettings!$C:$C, ""), Constants!$A:$A, Constants!$D:$D, ""), ""), 0.25), ""))))</f>
        <v/>
      </c>
      <c r="O38">
        <f>IF($A38="","",IF($C38&lt;&gt;"Y",0,IF($G38="None",0,IF($D38="",0,CEILING(($D38*IF($G38="Full",1, XLOOKUP("PrimerSpotFactor",Constants!$A:$A,Constants!$B:$B,0.35))) / IFERROR(XLOOKUP(XLOOKUP('Job Control'!$B$3, INPUT_JobSettings!$A:$A, INPUT_JobSettings!$E:$E, ""),Constants!$A:$A,Constants!$D:$D),350),0.25)))))</f>
        <v/>
      </c>
      <c r="P38">
        <f>IF($A38="","",IFERROR($N38*IFERROR(XLOOKUP(XLOOKUP('Job Control'!$B$3, INPUT_JobSettings!$A:$A, INPUT_JobSettings!$C:$C, ""), Constants!$A:$A, Constants!$C:$C, 0), 0) + $O38*IFERROR(XLOOKUP(XLOOKUP('Job Control'!$B$3, INPUT_JobSettings!$A:$A, INPUT_JobSettings!$E:$E, ""), Constants!$A:$A, Constants!$C:$C, 0), 0) + $M38,0))</f>
        <v/>
      </c>
      <c r="Q38" s="6">
        <f>IF($A38="","", ($J38+$K38+$L38)*$V38 )</f>
        <v/>
      </c>
      <c r="R38" s="6">
        <f>IF($A38="","", $Q38/60)</f>
        <v/>
      </c>
      <c r="S38" s="6">
        <f>IF($A38="","", $R38*IFERROR(IF(XLOOKUP('Job Control'!$B$3, INPUT_JobSettings!$A:$A, INPUT_JobSettings!$F:$F, "")&lt;&gt;"", XLOOKUP('Job Control'!$B$3, INPUT_JobSettings!$A:$A, INPUT_JobSettings!$F:$F, ""), $B$6), $B$6) + $M38)</f>
        <v/>
      </c>
      <c r="T38" s="6">
        <f>IF($A38="","", ($S38+$P38)*IFERROR(IF(XLOOKUP('Job Control'!$B$3, INPUT_JobSettings!$A:$A, INPUT_JobSettings!$G:$G, "")&lt;&gt;"", XLOOKUP('Job Control'!$B$3, INPUT_JobSettings!$A:$A, INPUT_JobSettings!$G:$G, ""), $B$7), $B$7))</f>
        <v/>
      </c>
      <c r="U38" s="6">
        <f>IF($A38="","", IFERROR(XLOOKUP($A38, INPUT_Rooms!$B:$B, INPUT_Rooms!$AI:$AI, ""), ""))</f>
        <v/>
      </c>
      <c r="V38" s="6">
        <f>IF($C38&lt;&gt;"Y",0,IF($A38="","", IF($U38="", 1, IFERROR(XLOOKUP($U38, Constants!$A$160:$A$190, Constants!$C$160:$C$190, 1), 1))))</f>
        <v/>
      </c>
      <c r="W38" s="6">
        <f>IF($C38&lt;&gt;"Y",0,IF($A38="","", ($D38*IF($U38="",0,IFERROR(XLOOKUP($U38, Constants!$A$160:$A$190, Constants!$D$160:$D$190, 0),0))) ))</f>
        <v/>
      </c>
    </row>
    <row r="39">
      <c r="A39" s="6">
        <f>IFERROR(INDEX(FILTER(INPUT_Rooms!$B$4:$B$83, INPUT_Rooms!$A$4:$A$83=$B$4, INPUT_Rooms!$O$4:$O$83="Y"), 29), "")</f>
        <v/>
      </c>
      <c r="B39" s="6">
        <f>IF(A39="","", XLOOKUP(A39, FILTER(INPUT_Rooms!$B$4:$B$83, INPUT_Rooms!$A$4:$A$83=$B$4), FILTER(INPUT_Rooms!$C$4:$C$83, INPUT_Rooms!$A$4:$A$83=$B$4), ""))</f>
        <v/>
      </c>
      <c r="C39" s="6">
        <f>IF(A39="","", "Y")</f>
        <v/>
      </c>
      <c r="D39" s="6">
        <f>IF(A39="","", XLOOKUP(A39, INPUT_Rooms!$B:$B, INPUT_Rooms!$AE:$AE, ""))</f>
        <v/>
      </c>
      <c r="E39" s="6">
        <f>IF(A39="","", XLOOKUP(A39, INPUT_Rooms!$B:$B, INPUT_Rooms!$H:$H, "")/12)</f>
        <v/>
      </c>
      <c r="F39" s="6">
        <f>IF(A39="","", LOOKUP(E39, Constants!$H$10:$H$40, Constants!$I$10:$I$40))</f>
        <v/>
      </c>
      <c r="G39" s="6">
        <f>IF(A39="","", XLOOKUP(A39, INPUT_Rooms!$B:$B, INPUT_Rooms!$P:$P, ""))</f>
        <v/>
      </c>
      <c r="H39" s="6">
        <f>IF(A39="","", XLOOKUP(A39, INPUT_Rooms!$B:$B, INPUT_Rooms!$Q:$Q, ""))</f>
        <v/>
      </c>
      <c r="I39" s="6">
        <f>IF(A39="","", IF(XLOOKUP(A39, INPUT_Rooms!$B:$B, INPUT_Rooms!$R:$R, "")="", $B$5, XLOOKUP(A39, INPUT_Rooms!$B:$B, INPUT_Rooms!$R:$R, "")))</f>
        <v/>
      </c>
      <c r="J39" s="6">
        <f>IF(A39="","", D39*XLOOKUP("PrepMinsPerSqft",Constants!$F$20:$F$40,Constants!$G$20:$G$40)*XLOOKUP(I39,Constants!$E$10:$E$30,Constants!$F$10:$F$30)*F39)</f>
        <v/>
      </c>
      <c r="K39" s="6">
        <f>IF(A39="","", D39*XLOOKUP("PaintMinsPerSqftPerCoat",Constants!$F$20:$F$40,Constants!$G$20:$G$40)*H39*F39)</f>
        <v/>
      </c>
      <c r="L39" s="6">
        <f>IF(A39="","", IF(G39="Full", D39*XLOOKUP("PrimerFullMinsPerSqft",Constants!$F$20:$F$40,Constants!$G$20:$G$40)*F39, IF(G39="Spot", D39*XLOOKUP("PrimerFullMinsPerSqft",Constants!$F$20:$F$40,Constants!$G$20:$G$40)*XLOOKUP("PrimerSpotFactor",Constants!$F$20:$F$40,Constants!$G$20:$G$40)*F39, 0)))</f>
        <v/>
      </c>
      <c r="M39" s="6">
        <f>IF($A39="","", IFERROR(XLOOKUP($A39, INPUT_Rooms!$B:$B, INPUT_Rooms!$S:$S, 0),0) + $W39)</f>
        <v/>
      </c>
      <c r="N39">
        <f>IF($A39="","",IF($C39&lt;&gt;"Y","",IF($D39="", "",IFERROR(CEILING( ($D39*$H39) / IFERROR(XLOOKUP(XLOOKUP('Job Control'!$B$3, INPUT_JobSettings!$A:$A, INPUT_JobSettings!$C:$C, ""), Constants!$A:$A, Constants!$D:$D, ""), ""), 0.25), ""))))</f>
        <v/>
      </c>
      <c r="O39">
        <f>IF($A39="","",IF($C39&lt;&gt;"Y",0,IF($G39="None",0,IF($D39="",0,CEILING(($D39*IF($G39="Full",1, XLOOKUP("PrimerSpotFactor",Constants!$A:$A,Constants!$B:$B,0.35))) / IFERROR(XLOOKUP(XLOOKUP('Job Control'!$B$3, INPUT_JobSettings!$A:$A, INPUT_JobSettings!$E:$E, ""),Constants!$A:$A,Constants!$D:$D),350),0.25)))))</f>
        <v/>
      </c>
      <c r="P39">
        <f>IF($A39="","",IFERROR($N39*IFERROR(XLOOKUP(XLOOKUP('Job Control'!$B$3, INPUT_JobSettings!$A:$A, INPUT_JobSettings!$C:$C, ""), Constants!$A:$A, Constants!$C:$C, 0), 0) + $O39*IFERROR(XLOOKUP(XLOOKUP('Job Control'!$B$3, INPUT_JobSettings!$A:$A, INPUT_JobSettings!$E:$E, ""), Constants!$A:$A, Constants!$C:$C, 0), 0) + $M39,0))</f>
        <v/>
      </c>
      <c r="Q39" s="6">
        <f>IF($A39="","", ($J39+$K39+$L39)*$V39 )</f>
        <v/>
      </c>
      <c r="R39" s="6">
        <f>IF($A39="","", $Q39/60)</f>
        <v/>
      </c>
      <c r="S39" s="6">
        <f>IF($A39="","", $R39*IFERROR(IF(XLOOKUP('Job Control'!$B$3, INPUT_JobSettings!$A:$A, INPUT_JobSettings!$F:$F, "")&lt;&gt;"", XLOOKUP('Job Control'!$B$3, INPUT_JobSettings!$A:$A, INPUT_JobSettings!$F:$F, ""), $B$6), $B$6) + $M39)</f>
        <v/>
      </c>
      <c r="T39" s="6">
        <f>IF($A39="","", ($S39+$P39)*IFERROR(IF(XLOOKUP('Job Control'!$B$3, INPUT_JobSettings!$A:$A, INPUT_JobSettings!$G:$G, "")&lt;&gt;"", XLOOKUP('Job Control'!$B$3, INPUT_JobSettings!$A:$A, INPUT_JobSettings!$G:$G, ""), $B$7), $B$7))</f>
        <v/>
      </c>
      <c r="U39" s="6">
        <f>IF($A39="","", IFERROR(XLOOKUP($A39, INPUT_Rooms!$B:$B, INPUT_Rooms!$AI:$AI, ""), ""))</f>
        <v/>
      </c>
      <c r="V39" s="6">
        <f>IF($C39&lt;&gt;"Y",0,IF($A39="","", IF($U39="", 1, IFERROR(XLOOKUP($U39, Constants!$A$160:$A$190, Constants!$C$160:$C$190, 1), 1))))</f>
        <v/>
      </c>
      <c r="W39" s="6">
        <f>IF($C39&lt;&gt;"Y",0,IF($A39="","", ($D39*IF($U39="",0,IFERROR(XLOOKUP($U39, Constants!$A$160:$A$190, Constants!$D$160:$D$190, 0),0))) ))</f>
        <v/>
      </c>
    </row>
    <row r="40">
      <c r="A40" s="6">
        <f>IFERROR(INDEX(FILTER(INPUT_Rooms!$B$4:$B$83, INPUT_Rooms!$A$4:$A$83=$B$4, INPUT_Rooms!$O$4:$O$83="Y"), 30), "")</f>
        <v/>
      </c>
      <c r="B40" s="6">
        <f>IF(A40="","", XLOOKUP(A40, FILTER(INPUT_Rooms!$B$4:$B$83, INPUT_Rooms!$A$4:$A$83=$B$4), FILTER(INPUT_Rooms!$C$4:$C$83, INPUT_Rooms!$A$4:$A$83=$B$4), ""))</f>
        <v/>
      </c>
      <c r="C40" s="6">
        <f>IF(A40="","", "Y")</f>
        <v/>
      </c>
      <c r="D40" s="6">
        <f>IF(A40="","", XLOOKUP(A40, INPUT_Rooms!$B:$B, INPUT_Rooms!$AE:$AE, ""))</f>
        <v/>
      </c>
      <c r="E40" s="6">
        <f>IF(A40="","", XLOOKUP(A40, INPUT_Rooms!$B:$B, INPUT_Rooms!$H:$H, "")/12)</f>
        <v/>
      </c>
      <c r="F40" s="6">
        <f>IF(A40="","", LOOKUP(E40, Constants!$H$10:$H$40, Constants!$I$10:$I$40))</f>
        <v/>
      </c>
      <c r="G40" s="6">
        <f>IF(A40="","", XLOOKUP(A40, INPUT_Rooms!$B:$B, INPUT_Rooms!$P:$P, ""))</f>
        <v/>
      </c>
      <c r="H40" s="6">
        <f>IF(A40="","", XLOOKUP(A40, INPUT_Rooms!$B:$B, INPUT_Rooms!$Q:$Q, ""))</f>
        <v/>
      </c>
      <c r="I40" s="6">
        <f>IF(A40="","", IF(XLOOKUP(A40, INPUT_Rooms!$B:$B, INPUT_Rooms!$R:$R, "")="", $B$5, XLOOKUP(A40, INPUT_Rooms!$B:$B, INPUT_Rooms!$R:$R, "")))</f>
        <v/>
      </c>
      <c r="J40" s="6">
        <f>IF(A40="","", D40*XLOOKUP("PrepMinsPerSqft",Constants!$F$20:$F$40,Constants!$G$20:$G$40)*XLOOKUP(I40,Constants!$E$10:$E$30,Constants!$F$10:$F$30)*F40)</f>
        <v/>
      </c>
      <c r="K40" s="6">
        <f>IF(A40="","", D40*XLOOKUP("PaintMinsPerSqftPerCoat",Constants!$F$20:$F$40,Constants!$G$20:$G$40)*H40*F40)</f>
        <v/>
      </c>
      <c r="L40" s="6">
        <f>IF(A40="","", IF(G40="Full", D40*XLOOKUP("PrimerFullMinsPerSqft",Constants!$F$20:$F$40,Constants!$G$20:$G$40)*F40, IF(G40="Spot", D40*XLOOKUP("PrimerFullMinsPerSqft",Constants!$F$20:$F$40,Constants!$G$20:$G$40)*XLOOKUP("PrimerSpotFactor",Constants!$F$20:$F$40,Constants!$G$20:$G$40)*F40, 0)))</f>
        <v/>
      </c>
      <c r="M40" s="6">
        <f>IF($A40="","", IFERROR(XLOOKUP($A40, INPUT_Rooms!$B:$B, INPUT_Rooms!$S:$S, 0),0) + $W40)</f>
        <v/>
      </c>
      <c r="N40">
        <f>IF($A40="","",IF($C40&lt;&gt;"Y","",IF($D40="", "",IFERROR(CEILING( ($D40*$H40) / IFERROR(XLOOKUP(XLOOKUP('Job Control'!$B$3, INPUT_JobSettings!$A:$A, INPUT_JobSettings!$C:$C, ""), Constants!$A:$A, Constants!$D:$D, ""), ""), 0.25), ""))))</f>
        <v/>
      </c>
      <c r="O40">
        <f>IF($A40="","",IF($C40&lt;&gt;"Y",0,IF($G40="None",0,IF($D40="",0,CEILING(($D40*IF($G40="Full",1, XLOOKUP("PrimerSpotFactor",Constants!$A:$A,Constants!$B:$B,0.35))) / IFERROR(XLOOKUP(XLOOKUP('Job Control'!$B$3, INPUT_JobSettings!$A:$A, INPUT_JobSettings!$E:$E, ""),Constants!$A:$A,Constants!$D:$D),350),0.25)))))</f>
        <v/>
      </c>
      <c r="P40">
        <f>IF($A40="","",IFERROR($N40*IFERROR(XLOOKUP(XLOOKUP('Job Control'!$B$3, INPUT_JobSettings!$A:$A, INPUT_JobSettings!$C:$C, ""), Constants!$A:$A, Constants!$C:$C, 0), 0) + $O40*IFERROR(XLOOKUP(XLOOKUP('Job Control'!$B$3, INPUT_JobSettings!$A:$A, INPUT_JobSettings!$E:$E, ""), Constants!$A:$A, Constants!$C:$C, 0), 0) + $M40,0))</f>
        <v/>
      </c>
      <c r="Q40" s="6">
        <f>IF($A40="","", ($J40+$K40+$L40)*$V40 )</f>
        <v/>
      </c>
      <c r="R40" s="6">
        <f>IF($A40="","", $Q40/60)</f>
        <v/>
      </c>
      <c r="S40" s="6">
        <f>IF($A40="","", $R40*IFERROR(IF(XLOOKUP('Job Control'!$B$3, INPUT_JobSettings!$A:$A, INPUT_JobSettings!$F:$F, "")&lt;&gt;"", XLOOKUP('Job Control'!$B$3, INPUT_JobSettings!$A:$A, INPUT_JobSettings!$F:$F, ""), $B$6), $B$6) + $M40)</f>
        <v/>
      </c>
      <c r="T40" s="6">
        <f>IF($A40="","", ($S40+$P40)*IFERROR(IF(XLOOKUP('Job Control'!$B$3, INPUT_JobSettings!$A:$A, INPUT_JobSettings!$G:$G, "")&lt;&gt;"", XLOOKUP('Job Control'!$B$3, INPUT_JobSettings!$A:$A, INPUT_JobSettings!$G:$G, ""), $B$7), $B$7))</f>
        <v/>
      </c>
      <c r="U40" s="6">
        <f>IF($A40="","", IFERROR(XLOOKUP($A40, INPUT_Rooms!$B:$B, INPUT_Rooms!$AI:$AI, ""), ""))</f>
        <v/>
      </c>
      <c r="V40" s="6">
        <f>IF($C40&lt;&gt;"Y",0,IF($A40="","", IF($U40="", 1, IFERROR(XLOOKUP($U40, Constants!$A$160:$A$190, Constants!$C$160:$C$190, 1), 1))))</f>
        <v/>
      </c>
      <c r="W40" s="6">
        <f>IF($C40&lt;&gt;"Y",0,IF($A40="","", ($D40*IF($U40="",0,IFERROR(XLOOKUP($U40, Constants!$A$160:$A$190, Constants!$D$160:$D$190, 0),0))) ))</f>
        <v/>
      </c>
    </row>
    <row r="41">
      <c r="A41" s="6">
        <f>IFERROR(INDEX(FILTER(INPUT_Rooms!$B$4:$B$83, INPUT_Rooms!$A$4:$A$83=$B$4, INPUT_Rooms!$O$4:$O$83="Y"), 31), "")</f>
        <v/>
      </c>
      <c r="B41" s="6">
        <f>IF(A41="","", XLOOKUP(A41, FILTER(INPUT_Rooms!$B$4:$B$83, INPUT_Rooms!$A$4:$A$83=$B$4), FILTER(INPUT_Rooms!$C$4:$C$83, INPUT_Rooms!$A$4:$A$83=$B$4), ""))</f>
        <v/>
      </c>
      <c r="C41" s="6">
        <f>IF(A41="","", "Y")</f>
        <v/>
      </c>
      <c r="D41" s="6">
        <f>IF(A41="","", XLOOKUP(A41, INPUT_Rooms!$B:$B, INPUT_Rooms!$AE:$AE, ""))</f>
        <v/>
      </c>
      <c r="E41" s="6">
        <f>IF(A41="","", XLOOKUP(A41, INPUT_Rooms!$B:$B, INPUT_Rooms!$H:$H, "")/12)</f>
        <v/>
      </c>
      <c r="F41" s="6">
        <f>IF(A41="","", LOOKUP(E41, Constants!$H$10:$H$40, Constants!$I$10:$I$40))</f>
        <v/>
      </c>
      <c r="G41" s="6">
        <f>IF(A41="","", XLOOKUP(A41, INPUT_Rooms!$B:$B, INPUT_Rooms!$P:$P, ""))</f>
        <v/>
      </c>
      <c r="H41" s="6">
        <f>IF(A41="","", XLOOKUP(A41, INPUT_Rooms!$B:$B, INPUT_Rooms!$Q:$Q, ""))</f>
        <v/>
      </c>
      <c r="I41" s="6">
        <f>IF(A41="","", IF(XLOOKUP(A41, INPUT_Rooms!$B:$B, INPUT_Rooms!$R:$R, "")="", $B$5, XLOOKUP(A41, INPUT_Rooms!$B:$B, INPUT_Rooms!$R:$R, "")))</f>
        <v/>
      </c>
      <c r="J41" s="6">
        <f>IF(A41="","", D41*XLOOKUP("PrepMinsPerSqft",Constants!$F$20:$F$40,Constants!$G$20:$G$40)*XLOOKUP(I41,Constants!$E$10:$E$30,Constants!$F$10:$F$30)*F41)</f>
        <v/>
      </c>
      <c r="K41" s="6">
        <f>IF(A41="","", D41*XLOOKUP("PaintMinsPerSqftPerCoat",Constants!$F$20:$F$40,Constants!$G$20:$G$40)*H41*F41)</f>
        <v/>
      </c>
      <c r="L41" s="6">
        <f>IF(A41="","", IF(G41="Full", D41*XLOOKUP("PrimerFullMinsPerSqft",Constants!$F$20:$F$40,Constants!$G$20:$G$40)*F41, IF(G41="Spot", D41*XLOOKUP("PrimerFullMinsPerSqft",Constants!$F$20:$F$40,Constants!$G$20:$G$40)*XLOOKUP("PrimerSpotFactor",Constants!$F$20:$F$40,Constants!$G$20:$G$40)*F41, 0)))</f>
        <v/>
      </c>
      <c r="M41" s="6">
        <f>IF($A41="","", IFERROR(XLOOKUP($A41, INPUT_Rooms!$B:$B, INPUT_Rooms!$S:$S, 0),0) + $W41)</f>
        <v/>
      </c>
      <c r="N41">
        <f>IF($A41="","",IF($C41&lt;&gt;"Y","",IF($D41="", "",IFERROR(CEILING( ($D41*$H41) / IFERROR(XLOOKUP(XLOOKUP('Job Control'!$B$3, INPUT_JobSettings!$A:$A, INPUT_JobSettings!$C:$C, ""), Constants!$A:$A, Constants!$D:$D, ""), ""), 0.25), ""))))</f>
        <v/>
      </c>
      <c r="O41">
        <f>IF($A41="","",IF($C41&lt;&gt;"Y",0,IF($G41="None",0,IF($D41="",0,CEILING(($D41*IF($G41="Full",1, XLOOKUP("PrimerSpotFactor",Constants!$A:$A,Constants!$B:$B,0.35))) / IFERROR(XLOOKUP(XLOOKUP('Job Control'!$B$3, INPUT_JobSettings!$A:$A, INPUT_JobSettings!$E:$E, ""),Constants!$A:$A,Constants!$D:$D),350),0.25)))))</f>
        <v/>
      </c>
      <c r="P41">
        <f>IF($A41="","",IFERROR($N41*IFERROR(XLOOKUP(XLOOKUP('Job Control'!$B$3, INPUT_JobSettings!$A:$A, INPUT_JobSettings!$C:$C, ""), Constants!$A:$A, Constants!$C:$C, 0), 0) + $O41*IFERROR(XLOOKUP(XLOOKUP('Job Control'!$B$3, INPUT_JobSettings!$A:$A, INPUT_JobSettings!$E:$E, ""), Constants!$A:$A, Constants!$C:$C, 0), 0) + $M41,0))</f>
        <v/>
      </c>
      <c r="Q41" s="6">
        <f>IF($A41="","", ($J41+$K41+$L41)*$V41 )</f>
        <v/>
      </c>
      <c r="R41" s="6">
        <f>IF($A41="","", $Q41/60)</f>
        <v/>
      </c>
      <c r="S41" s="6">
        <f>IF($A41="","", $R41*IFERROR(IF(XLOOKUP('Job Control'!$B$3, INPUT_JobSettings!$A:$A, INPUT_JobSettings!$F:$F, "")&lt;&gt;"", XLOOKUP('Job Control'!$B$3, INPUT_JobSettings!$A:$A, INPUT_JobSettings!$F:$F, ""), $B$6), $B$6) + $M41)</f>
        <v/>
      </c>
      <c r="T41" s="6">
        <f>IF($A41="","", ($S41+$P41)*IFERROR(IF(XLOOKUP('Job Control'!$B$3, INPUT_JobSettings!$A:$A, INPUT_JobSettings!$G:$G, "")&lt;&gt;"", XLOOKUP('Job Control'!$B$3, INPUT_JobSettings!$A:$A, INPUT_JobSettings!$G:$G, ""), $B$7), $B$7))</f>
        <v/>
      </c>
      <c r="U41" s="6">
        <f>IF($A41="","", IFERROR(XLOOKUP($A41, INPUT_Rooms!$B:$B, INPUT_Rooms!$AI:$AI, ""), ""))</f>
        <v/>
      </c>
      <c r="V41" s="6">
        <f>IF($C41&lt;&gt;"Y",0,IF($A41="","", IF($U41="", 1, IFERROR(XLOOKUP($U41, Constants!$A$160:$A$190, Constants!$C$160:$C$190, 1), 1))))</f>
        <v/>
      </c>
      <c r="W41" s="6">
        <f>IF($C41&lt;&gt;"Y",0,IF($A41="","", ($D41*IF($U41="",0,IFERROR(XLOOKUP($U41, Constants!$A$160:$A$190, Constants!$D$160:$D$190, 0),0))) ))</f>
        <v/>
      </c>
    </row>
    <row r="42">
      <c r="A42" s="6">
        <f>IFERROR(INDEX(FILTER(INPUT_Rooms!$B$4:$B$83, INPUT_Rooms!$A$4:$A$83=$B$4, INPUT_Rooms!$O$4:$O$83="Y"), 32), "")</f>
        <v/>
      </c>
      <c r="B42" s="6">
        <f>IF(A42="","", XLOOKUP(A42, FILTER(INPUT_Rooms!$B$4:$B$83, INPUT_Rooms!$A$4:$A$83=$B$4), FILTER(INPUT_Rooms!$C$4:$C$83, INPUT_Rooms!$A$4:$A$83=$B$4), ""))</f>
        <v/>
      </c>
      <c r="C42" s="6">
        <f>IF(A42="","", "Y")</f>
        <v/>
      </c>
      <c r="D42" s="6">
        <f>IF(A42="","", XLOOKUP(A42, INPUT_Rooms!$B:$B, INPUT_Rooms!$AE:$AE, ""))</f>
        <v/>
      </c>
      <c r="E42" s="6">
        <f>IF(A42="","", XLOOKUP(A42, INPUT_Rooms!$B:$B, INPUT_Rooms!$H:$H, "")/12)</f>
        <v/>
      </c>
      <c r="F42" s="6">
        <f>IF(A42="","", LOOKUP(E42, Constants!$H$10:$H$40, Constants!$I$10:$I$40))</f>
        <v/>
      </c>
      <c r="G42" s="6">
        <f>IF(A42="","", XLOOKUP(A42, INPUT_Rooms!$B:$B, INPUT_Rooms!$P:$P, ""))</f>
        <v/>
      </c>
      <c r="H42" s="6">
        <f>IF(A42="","", XLOOKUP(A42, INPUT_Rooms!$B:$B, INPUT_Rooms!$Q:$Q, ""))</f>
        <v/>
      </c>
      <c r="I42" s="6">
        <f>IF(A42="","", IF(XLOOKUP(A42, INPUT_Rooms!$B:$B, INPUT_Rooms!$R:$R, "")="", $B$5, XLOOKUP(A42, INPUT_Rooms!$B:$B, INPUT_Rooms!$R:$R, "")))</f>
        <v/>
      </c>
      <c r="J42" s="6">
        <f>IF(A42="","", D42*XLOOKUP("PrepMinsPerSqft",Constants!$F$20:$F$40,Constants!$G$20:$G$40)*XLOOKUP(I42,Constants!$E$10:$E$30,Constants!$F$10:$F$30)*F42)</f>
        <v/>
      </c>
      <c r="K42" s="6">
        <f>IF(A42="","", D42*XLOOKUP("PaintMinsPerSqftPerCoat",Constants!$F$20:$F$40,Constants!$G$20:$G$40)*H42*F42)</f>
        <v/>
      </c>
      <c r="L42" s="6">
        <f>IF(A42="","", IF(G42="Full", D42*XLOOKUP("PrimerFullMinsPerSqft",Constants!$F$20:$F$40,Constants!$G$20:$G$40)*F42, IF(G42="Spot", D42*XLOOKUP("PrimerFullMinsPerSqft",Constants!$F$20:$F$40,Constants!$G$20:$G$40)*XLOOKUP("PrimerSpotFactor",Constants!$F$20:$F$40,Constants!$G$20:$G$40)*F42, 0)))</f>
        <v/>
      </c>
      <c r="M42" s="6">
        <f>IF($A42="","", IFERROR(XLOOKUP($A42, INPUT_Rooms!$B:$B, INPUT_Rooms!$S:$S, 0),0) + $W42)</f>
        <v/>
      </c>
      <c r="N42">
        <f>IF($A42="","",IF($C42&lt;&gt;"Y","",IF($D42="", "",IFERROR(CEILING( ($D42*$H42) / IFERROR(XLOOKUP(XLOOKUP('Job Control'!$B$3, INPUT_JobSettings!$A:$A, INPUT_JobSettings!$C:$C, ""), Constants!$A:$A, Constants!$D:$D, ""), ""), 0.25), ""))))</f>
        <v/>
      </c>
      <c r="O42">
        <f>IF($A42="","",IF($C42&lt;&gt;"Y",0,IF($G42="None",0,IF($D42="",0,CEILING(($D42*IF($G42="Full",1, XLOOKUP("PrimerSpotFactor",Constants!$A:$A,Constants!$B:$B,0.35))) / IFERROR(XLOOKUP(XLOOKUP('Job Control'!$B$3, INPUT_JobSettings!$A:$A, INPUT_JobSettings!$E:$E, ""),Constants!$A:$A,Constants!$D:$D),350),0.25)))))</f>
        <v/>
      </c>
      <c r="P42">
        <f>IF($A42="","",IFERROR($N42*IFERROR(XLOOKUP(XLOOKUP('Job Control'!$B$3, INPUT_JobSettings!$A:$A, INPUT_JobSettings!$C:$C, ""), Constants!$A:$A, Constants!$C:$C, 0), 0) + $O42*IFERROR(XLOOKUP(XLOOKUP('Job Control'!$B$3, INPUT_JobSettings!$A:$A, INPUT_JobSettings!$E:$E, ""), Constants!$A:$A, Constants!$C:$C, 0), 0) + $M42,0))</f>
        <v/>
      </c>
      <c r="Q42" s="6">
        <f>IF($A42="","", ($J42+$K42+$L42)*$V42 )</f>
        <v/>
      </c>
      <c r="R42" s="6">
        <f>IF($A42="","", $Q42/60)</f>
        <v/>
      </c>
      <c r="S42" s="6">
        <f>IF($A42="","", $R42*IFERROR(IF(XLOOKUP('Job Control'!$B$3, INPUT_JobSettings!$A:$A, INPUT_JobSettings!$F:$F, "")&lt;&gt;"", XLOOKUP('Job Control'!$B$3, INPUT_JobSettings!$A:$A, INPUT_JobSettings!$F:$F, ""), $B$6), $B$6) + $M42)</f>
        <v/>
      </c>
      <c r="T42" s="6">
        <f>IF($A42="","", ($S42+$P42)*IFERROR(IF(XLOOKUP('Job Control'!$B$3, INPUT_JobSettings!$A:$A, INPUT_JobSettings!$G:$G, "")&lt;&gt;"", XLOOKUP('Job Control'!$B$3, INPUT_JobSettings!$A:$A, INPUT_JobSettings!$G:$G, ""), $B$7), $B$7))</f>
        <v/>
      </c>
      <c r="U42" s="6">
        <f>IF($A42="","", IFERROR(XLOOKUP($A42, INPUT_Rooms!$B:$B, INPUT_Rooms!$AI:$AI, ""), ""))</f>
        <v/>
      </c>
      <c r="V42" s="6">
        <f>IF($C42&lt;&gt;"Y",0,IF($A42="","", IF($U42="", 1, IFERROR(XLOOKUP($U42, Constants!$A$160:$A$190, Constants!$C$160:$C$190, 1), 1))))</f>
        <v/>
      </c>
      <c r="W42" s="6">
        <f>IF($C42&lt;&gt;"Y",0,IF($A42="","", ($D42*IF($U42="",0,IFERROR(XLOOKUP($U42, Constants!$A$160:$A$190, Constants!$D$160:$D$190, 0),0))) ))</f>
        <v/>
      </c>
    </row>
    <row r="43">
      <c r="A43" s="6">
        <f>IFERROR(INDEX(FILTER(INPUT_Rooms!$B$4:$B$83, INPUT_Rooms!$A$4:$A$83=$B$4, INPUT_Rooms!$O$4:$O$83="Y"), 33), "")</f>
        <v/>
      </c>
      <c r="B43" s="6">
        <f>IF(A43="","", XLOOKUP(A43, FILTER(INPUT_Rooms!$B$4:$B$83, INPUT_Rooms!$A$4:$A$83=$B$4), FILTER(INPUT_Rooms!$C$4:$C$83, INPUT_Rooms!$A$4:$A$83=$B$4), ""))</f>
        <v/>
      </c>
      <c r="C43" s="6">
        <f>IF(A43="","", "Y")</f>
        <v/>
      </c>
      <c r="D43" s="6">
        <f>IF(A43="","", XLOOKUP(A43, INPUT_Rooms!$B:$B, INPUT_Rooms!$AE:$AE, ""))</f>
        <v/>
      </c>
      <c r="E43" s="6">
        <f>IF(A43="","", XLOOKUP(A43, INPUT_Rooms!$B:$B, INPUT_Rooms!$H:$H, "")/12)</f>
        <v/>
      </c>
      <c r="F43" s="6">
        <f>IF(A43="","", LOOKUP(E43, Constants!$H$10:$H$40, Constants!$I$10:$I$40))</f>
        <v/>
      </c>
      <c r="G43" s="6">
        <f>IF(A43="","", XLOOKUP(A43, INPUT_Rooms!$B:$B, INPUT_Rooms!$P:$P, ""))</f>
        <v/>
      </c>
      <c r="H43" s="6">
        <f>IF(A43="","", XLOOKUP(A43, INPUT_Rooms!$B:$B, INPUT_Rooms!$Q:$Q, ""))</f>
        <v/>
      </c>
      <c r="I43" s="6">
        <f>IF(A43="","", IF(XLOOKUP(A43, INPUT_Rooms!$B:$B, INPUT_Rooms!$R:$R, "")="", $B$5, XLOOKUP(A43, INPUT_Rooms!$B:$B, INPUT_Rooms!$R:$R, "")))</f>
        <v/>
      </c>
      <c r="J43" s="6">
        <f>IF(A43="","", D43*XLOOKUP("PrepMinsPerSqft",Constants!$F$20:$F$40,Constants!$G$20:$G$40)*XLOOKUP(I43,Constants!$E$10:$E$30,Constants!$F$10:$F$30)*F43)</f>
        <v/>
      </c>
      <c r="K43" s="6">
        <f>IF(A43="","", D43*XLOOKUP("PaintMinsPerSqftPerCoat",Constants!$F$20:$F$40,Constants!$G$20:$G$40)*H43*F43)</f>
        <v/>
      </c>
      <c r="L43" s="6">
        <f>IF(A43="","", IF(G43="Full", D43*XLOOKUP("PrimerFullMinsPerSqft",Constants!$F$20:$F$40,Constants!$G$20:$G$40)*F43, IF(G43="Spot", D43*XLOOKUP("PrimerFullMinsPerSqft",Constants!$F$20:$F$40,Constants!$G$20:$G$40)*XLOOKUP("PrimerSpotFactor",Constants!$F$20:$F$40,Constants!$G$20:$G$40)*F43, 0)))</f>
        <v/>
      </c>
      <c r="M43" s="6">
        <f>IF($A43="","", IFERROR(XLOOKUP($A43, INPUT_Rooms!$B:$B, INPUT_Rooms!$S:$S, 0),0) + $W43)</f>
        <v/>
      </c>
      <c r="N43">
        <f>IF($A43="","",IF($C43&lt;&gt;"Y","",IF($D43="", "",IFERROR(CEILING( ($D43*$H43) / IFERROR(XLOOKUP(XLOOKUP('Job Control'!$B$3, INPUT_JobSettings!$A:$A, INPUT_JobSettings!$C:$C, ""), Constants!$A:$A, Constants!$D:$D, ""), ""), 0.25), ""))))</f>
        <v/>
      </c>
      <c r="O43">
        <f>IF($A43="","",IF($C43&lt;&gt;"Y",0,IF($G43="None",0,IF($D43="",0,CEILING(($D43*IF($G43="Full",1, XLOOKUP("PrimerSpotFactor",Constants!$A:$A,Constants!$B:$B,0.35))) / IFERROR(XLOOKUP(XLOOKUP('Job Control'!$B$3, INPUT_JobSettings!$A:$A, INPUT_JobSettings!$E:$E, ""),Constants!$A:$A,Constants!$D:$D),350),0.25)))))</f>
        <v/>
      </c>
      <c r="P43">
        <f>IF($A43="","",IFERROR($N43*IFERROR(XLOOKUP(XLOOKUP('Job Control'!$B$3, INPUT_JobSettings!$A:$A, INPUT_JobSettings!$C:$C, ""), Constants!$A:$A, Constants!$C:$C, 0), 0) + $O43*IFERROR(XLOOKUP(XLOOKUP('Job Control'!$B$3, INPUT_JobSettings!$A:$A, INPUT_JobSettings!$E:$E, ""), Constants!$A:$A, Constants!$C:$C, 0), 0) + $M43,0))</f>
        <v/>
      </c>
      <c r="Q43" s="6">
        <f>IF($A43="","", ($J43+$K43+$L43)*$V43 )</f>
        <v/>
      </c>
      <c r="R43" s="6">
        <f>IF($A43="","", $Q43/60)</f>
        <v/>
      </c>
      <c r="S43" s="6">
        <f>IF($A43="","", $R43*IFERROR(IF(XLOOKUP('Job Control'!$B$3, INPUT_JobSettings!$A:$A, INPUT_JobSettings!$F:$F, "")&lt;&gt;"", XLOOKUP('Job Control'!$B$3, INPUT_JobSettings!$A:$A, INPUT_JobSettings!$F:$F, ""), $B$6), $B$6) + $M43)</f>
        <v/>
      </c>
      <c r="T43" s="6">
        <f>IF($A43="","", ($S43+$P43)*IFERROR(IF(XLOOKUP('Job Control'!$B$3, INPUT_JobSettings!$A:$A, INPUT_JobSettings!$G:$G, "")&lt;&gt;"", XLOOKUP('Job Control'!$B$3, INPUT_JobSettings!$A:$A, INPUT_JobSettings!$G:$G, ""), $B$7), $B$7))</f>
        <v/>
      </c>
      <c r="U43" s="6">
        <f>IF($A43="","", IFERROR(XLOOKUP($A43, INPUT_Rooms!$B:$B, INPUT_Rooms!$AI:$AI, ""), ""))</f>
        <v/>
      </c>
      <c r="V43" s="6">
        <f>IF($C43&lt;&gt;"Y",0,IF($A43="","", IF($U43="", 1, IFERROR(XLOOKUP($U43, Constants!$A$160:$A$190, Constants!$C$160:$C$190, 1), 1))))</f>
        <v/>
      </c>
      <c r="W43" s="6">
        <f>IF($C43&lt;&gt;"Y",0,IF($A43="","", ($D43*IF($U43="",0,IFERROR(XLOOKUP($U43, Constants!$A$160:$A$190, Constants!$D$160:$D$190, 0),0))) ))</f>
        <v/>
      </c>
    </row>
    <row r="44">
      <c r="A44" s="6">
        <f>IFERROR(INDEX(FILTER(INPUT_Rooms!$B$4:$B$83, INPUT_Rooms!$A$4:$A$83=$B$4, INPUT_Rooms!$O$4:$O$83="Y"), 34), "")</f>
        <v/>
      </c>
      <c r="B44" s="6">
        <f>IF(A44="","", XLOOKUP(A44, FILTER(INPUT_Rooms!$B$4:$B$83, INPUT_Rooms!$A$4:$A$83=$B$4), FILTER(INPUT_Rooms!$C$4:$C$83, INPUT_Rooms!$A$4:$A$83=$B$4), ""))</f>
        <v/>
      </c>
      <c r="C44" s="6">
        <f>IF(A44="","", "Y")</f>
        <v/>
      </c>
      <c r="D44" s="6">
        <f>IF(A44="","", XLOOKUP(A44, INPUT_Rooms!$B:$B, INPUT_Rooms!$AE:$AE, ""))</f>
        <v/>
      </c>
      <c r="E44" s="6">
        <f>IF(A44="","", XLOOKUP(A44, INPUT_Rooms!$B:$B, INPUT_Rooms!$H:$H, "")/12)</f>
        <v/>
      </c>
      <c r="F44" s="6">
        <f>IF(A44="","", LOOKUP(E44, Constants!$H$10:$H$40, Constants!$I$10:$I$40))</f>
        <v/>
      </c>
      <c r="G44" s="6">
        <f>IF(A44="","", XLOOKUP(A44, INPUT_Rooms!$B:$B, INPUT_Rooms!$P:$P, ""))</f>
        <v/>
      </c>
      <c r="H44" s="6">
        <f>IF(A44="","", XLOOKUP(A44, INPUT_Rooms!$B:$B, INPUT_Rooms!$Q:$Q, ""))</f>
        <v/>
      </c>
      <c r="I44" s="6">
        <f>IF(A44="","", IF(XLOOKUP(A44, INPUT_Rooms!$B:$B, INPUT_Rooms!$R:$R, "")="", $B$5, XLOOKUP(A44, INPUT_Rooms!$B:$B, INPUT_Rooms!$R:$R, "")))</f>
        <v/>
      </c>
      <c r="J44" s="6">
        <f>IF(A44="","", D44*XLOOKUP("PrepMinsPerSqft",Constants!$F$20:$F$40,Constants!$G$20:$G$40)*XLOOKUP(I44,Constants!$E$10:$E$30,Constants!$F$10:$F$30)*F44)</f>
        <v/>
      </c>
      <c r="K44" s="6">
        <f>IF(A44="","", D44*XLOOKUP("PaintMinsPerSqftPerCoat",Constants!$F$20:$F$40,Constants!$G$20:$G$40)*H44*F44)</f>
        <v/>
      </c>
      <c r="L44" s="6">
        <f>IF(A44="","", IF(G44="Full", D44*XLOOKUP("PrimerFullMinsPerSqft",Constants!$F$20:$F$40,Constants!$G$20:$G$40)*F44, IF(G44="Spot", D44*XLOOKUP("PrimerFullMinsPerSqft",Constants!$F$20:$F$40,Constants!$G$20:$G$40)*XLOOKUP("PrimerSpotFactor",Constants!$F$20:$F$40,Constants!$G$20:$G$40)*F44, 0)))</f>
        <v/>
      </c>
      <c r="M44" s="6">
        <f>IF($A44="","", IFERROR(XLOOKUP($A44, INPUT_Rooms!$B:$B, INPUT_Rooms!$S:$S, 0),0) + $W44)</f>
        <v/>
      </c>
      <c r="N44">
        <f>IF($A44="","",IF($C44&lt;&gt;"Y","",IF($D44="", "",IFERROR(CEILING( ($D44*$H44) / IFERROR(XLOOKUP(XLOOKUP('Job Control'!$B$3, INPUT_JobSettings!$A:$A, INPUT_JobSettings!$C:$C, ""), Constants!$A:$A, Constants!$D:$D, ""), ""), 0.25), ""))))</f>
        <v/>
      </c>
      <c r="O44">
        <f>IF($A44="","",IF($C44&lt;&gt;"Y",0,IF($G44="None",0,IF($D44="",0,CEILING(($D44*IF($G44="Full",1, XLOOKUP("PrimerSpotFactor",Constants!$A:$A,Constants!$B:$B,0.35))) / IFERROR(XLOOKUP(XLOOKUP('Job Control'!$B$3, INPUT_JobSettings!$A:$A, INPUT_JobSettings!$E:$E, ""),Constants!$A:$A,Constants!$D:$D),350),0.25)))))</f>
        <v/>
      </c>
      <c r="P44">
        <f>IF($A44="","",IFERROR($N44*IFERROR(XLOOKUP(XLOOKUP('Job Control'!$B$3, INPUT_JobSettings!$A:$A, INPUT_JobSettings!$C:$C, ""), Constants!$A:$A, Constants!$C:$C, 0), 0) + $O44*IFERROR(XLOOKUP(XLOOKUP('Job Control'!$B$3, INPUT_JobSettings!$A:$A, INPUT_JobSettings!$E:$E, ""), Constants!$A:$A, Constants!$C:$C, 0), 0) + $M44,0))</f>
        <v/>
      </c>
      <c r="Q44" s="6">
        <f>IF($A44="","", ($J44+$K44+$L44)*$V44 )</f>
        <v/>
      </c>
      <c r="R44" s="6">
        <f>IF($A44="","", $Q44/60)</f>
        <v/>
      </c>
      <c r="S44" s="6">
        <f>IF($A44="","", $R44*IFERROR(IF(XLOOKUP('Job Control'!$B$3, INPUT_JobSettings!$A:$A, INPUT_JobSettings!$F:$F, "")&lt;&gt;"", XLOOKUP('Job Control'!$B$3, INPUT_JobSettings!$A:$A, INPUT_JobSettings!$F:$F, ""), $B$6), $B$6) + $M44)</f>
        <v/>
      </c>
      <c r="T44" s="6">
        <f>IF($A44="","", ($S44+$P44)*IFERROR(IF(XLOOKUP('Job Control'!$B$3, INPUT_JobSettings!$A:$A, INPUT_JobSettings!$G:$G, "")&lt;&gt;"", XLOOKUP('Job Control'!$B$3, INPUT_JobSettings!$A:$A, INPUT_JobSettings!$G:$G, ""), $B$7), $B$7))</f>
        <v/>
      </c>
      <c r="U44" s="6">
        <f>IF($A44="","", IFERROR(XLOOKUP($A44, INPUT_Rooms!$B:$B, INPUT_Rooms!$AI:$AI, ""), ""))</f>
        <v/>
      </c>
      <c r="V44" s="6">
        <f>IF($C44&lt;&gt;"Y",0,IF($A44="","", IF($U44="", 1, IFERROR(XLOOKUP($U44, Constants!$A$160:$A$190, Constants!$C$160:$C$190, 1), 1))))</f>
        <v/>
      </c>
      <c r="W44" s="6">
        <f>IF($C44&lt;&gt;"Y",0,IF($A44="","", ($D44*IF($U44="",0,IFERROR(XLOOKUP($U44, Constants!$A$160:$A$190, Constants!$D$160:$D$190, 0),0))) ))</f>
        <v/>
      </c>
    </row>
    <row r="45">
      <c r="A45" s="6">
        <f>IFERROR(INDEX(FILTER(INPUT_Rooms!$B$4:$B$83, INPUT_Rooms!$A$4:$A$83=$B$4, INPUT_Rooms!$O$4:$O$83="Y"), 35), "")</f>
        <v/>
      </c>
      <c r="B45" s="6">
        <f>IF(A45="","", XLOOKUP(A45, FILTER(INPUT_Rooms!$B$4:$B$83, INPUT_Rooms!$A$4:$A$83=$B$4), FILTER(INPUT_Rooms!$C$4:$C$83, INPUT_Rooms!$A$4:$A$83=$B$4), ""))</f>
        <v/>
      </c>
      <c r="C45" s="6">
        <f>IF(A45="","", "Y")</f>
        <v/>
      </c>
      <c r="D45" s="6">
        <f>IF(A45="","", XLOOKUP(A45, INPUT_Rooms!$B:$B, INPUT_Rooms!$AE:$AE, ""))</f>
        <v/>
      </c>
      <c r="E45" s="6">
        <f>IF(A45="","", XLOOKUP(A45, INPUT_Rooms!$B:$B, INPUT_Rooms!$H:$H, "")/12)</f>
        <v/>
      </c>
      <c r="F45" s="6">
        <f>IF(A45="","", LOOKUP(E45, Constants!$H$10:$H$40, Constants!$I$10:$I$40))</f>
        <v/>
      </c>
      <c r="G45" s="6">
        <f>IF(A45="","", XLOOKUP(A45, INPUT_Rooms!$B:$B, INPUT_Rooms!$P:$P, ""))</f>
        <v/>
      </c>
      <c r="H45" s="6">
        <f>IF(A45="","", XLOOKUP(A45, INPUT_Rooms!$B:$B, INPUT_Rooms!$Q:$Q, ""))</f>
        <v/>
      </c>
      <c r="I45" s="6">
        <f>IF(A45="","", IF(XLOOKUP(A45, INPUT_Rooms!$B:$B, INPUT_Rooms!$R:$R, "")="", $B$5, XLOOKUP(A45, INPUT_Rooms!$B:$B, INPUT_Rooms!$R:$R, "")))</f>
        <v/>
      </c>
      <c r="J45" s="6">
        <f>IF(A45="","", D45*XLOOKUP("PrepMinsPerSqft",Constants!$F$20:$F$40,Constants!$G$20:$G$40)*XLOOKUP(I45,Constants!$E$10:$E$30,Constants!$F$10:$F$30)*F45)</f>
        <v/>
      </c>
      <c r="K45" s="6">
        <f>IF(A45="","", D45*XLOOKUP("PaintMinsPerSqftPerCoat",Constants!$F$20:$F$40,Constants!$G$20:$G$40)*H45*F45)</f>
        <v/>
      </c>
      <c r="L45" s="6">
        <f>IF(A45="","", IF(G45="Full", D45*XLOOKUP("PrimerFullMinsPerSqft",Constants!$F$20:$F$40,Constants!$G$20:$G$40)*F45, IF(G45="Spot", D45*XLOOKUP("PrimerFullMinsPerSqft",Constants!$F$20:$F$40,Constants!$G$20:$G$40)*XLOOKUP("PrimerSpotFactor",Constants!$F$20:$F$40,Constants!$G$20:$G$40)*F45, 0)))</f>
        <v/>
      </c>
      <c r="M45" s="6">
        <f>IF($A45="","", IFERROR(XLOOKUP($A45, INPUT_Rooms!$B:$B, INPUT_Rooms!$S:$S, 0),0) + $W45)</f>
        <v/>
      </c>
      <c r="N45">
        <f>IF($A45="","",IF($C45&lt;&gt;"Y","",IF($D45="", "",IFERROR(CEILING( ($D45*$H45) / IFERROR(XLOOKUP(XLOOKUP('Job Control'!$B$3, INPUT_JobSettings!$A:$A, INPUT_JobSettings!$C:$C, ""), Constants!$A:$A, Constants!$D:$D, ""), ""), 0.25), ""))))</f>
        <v/>
      </c>
      <c r="O45">
        <f>IF($A45="","",IF($C45&lt;&gt;"Y",0,IF($G45="None",0,IF($D45="",0,CEILING(($D45*IF($G45="Full",1, XLOOKUP("PrimerSpotFactor",Constants!$A:$A,Constants!$B:$B,0.35))) / IFERROR(XLOOKUP(XLOOKUP('Job Control'!$B$3, INPUT_JobSettings!$A:$A, INPUT_JobSettings!$E:$E, ""),Constants!$A:$A,Constants!$D:$D),350),0.25)))))</f>
        <v/>
      </c>
      <c r="P45">
        <f>IF($A45="","",IFERROR($N45*IFERROR(XLOOKUP(XLOOKUP('Job Control'!$B$3, INPUT_JobSettings!$A:$A, INPUT_JobSettings!$C:$C, ""), Constants!$A:$A, Constants!$C:$C, 0), 0) + $O45*IFERROR(XLOOKUP(XLOOKUP('Job Control'!$B$3, INPUT_JobSettings!$A:$A, INPUT_JobSettings!$E:$E, ""), Constants!$A:$A, Constants!$C:$C, 0), 0) + $M45,0))</f>
        <v/>
      </c>
      <c r="Q45" s="6">
        <f>IF($A45="","", ($J45+$K45+$L45)*$V45 )</f>
        <v/>
      </c>
      <c r="R45" s="6">
        <f>IF($A45="","", $Q45/60)</f>
        <v/>
      </c>
      <c r="S45" s="6">
        <f>IF($A45="","", $R45*IFERROR(IF(XLOOKUP('Job Control'!$B$3, INPUT_JobSettings!$A:$A, INPUT_JobSettings!$F:$F, "")&lt;&gt;"", XLOOKUP('Job Control'!$B$3, INPUT_JobSettings!$A:$A, INPUT_JobSettings!$F:$F, ""), $B$6), $B$6) + $M45)</f>
        <v/>
      </c>
      <c r="T45" s="6">
        <f>IF($A45="","", ($S45+$P45)*IFERROR(IF(XLOOKUP('Job Control'!$B$3, INPUT_JobSettings!$A:$A, INPUT_JobSettings!$G:$G, "")&lt;&gt;"", XLOOKUP('Job Control'!$B$3, INPUT_JobSettings!$A:$A, INPUT_JobSettings!$G:$G, ""), $B$7), $B$7))</f>
        <v/>
      </c>
      <c r="U45" s="6">
        <f>IF($A45="","", IFERROR(XLOOKUP($A45, INPUT_Rooms!$B:$B, INPUT_Rooms!$AI:$AI, ""), ""))</f>
        <v/>
      </c>
      <c r="V45" s="6">
        <f>IF($C45&lt;&gt;"Y",0,IF($A45="","", IF($U45="", 1, IFERROR(XLOOKUP($U45, Constants!$A$160:$A$190, Constants!$C$160:$C$190, 1), 1))))</f>
        <v/>
      </c>
      <c r="W45" s="6">
        <f>IF($C45&lt;&gt;"Y",0,IF($A45="","", ($D45*IF($U45="",0,IFERROR(XLOOKUP($U45, Constants!$A$160:$A$190, Constants!$D$160:$D$190, 0),0))) ))</f>
        <v/>
      </c>
    </row>
    <row r="46">
      <c r="A46" s="6">
        <f>IFERROR(INDEX(FILTER(INPUT_Rooms!$B$4:$B$83, INPUT_Rooms!$A$4:$A$83=$B$4, INPUT_Rooms!$O$4:$O$83="Y"), 36), "")</f>
        <v/>
      </c>
      <c r="B46" s="6">
        <f>IF(A46="","", XLOOKUP(A46, FILTER(INPUT_Rooms!$B$4:$B$83, INPUT_Rooms!$A$4:$A$83=$B$4), FILTER(INPUT_Rooms!$C$4:$C$83, INPUT_Rooms!$A$4:$A$83=$B$4), ""))</f>
        <v/>
      </c>
      <c r="C46" s="6">
        <f>IF(A46="","", "Y")</f>
        <v/>
      </c>
      <c r="D46" s="6">
        <f>IF(A46="","", XLOOKUP(A46, INPUT_Rooms!$B:$B, INPUT_Rooms!$AE:$AE, ""))</f>
        <v/>
      </c>
      <c r="E46" s="6">
        <f>IF(A46="","", XLOOKUP(A46, INPUT_Rooms!$B:$B, INPUT_Rooms!$H:$H, "")/12)</f>
        <v/>
      </c>
      <c r="F46" s="6">
        <f>IF(A46="","", LOOKUP(E46, Constants!$H$10:$H$40, Constants!$I$10:$I$40))</f>
        <v/>
      </c>
      <c r="G46" s="6">
        <f>IF(A46="","", XLOOKUP(A46, INPUT_Rooms!$B:$B, INPUT_Rooms!$P:$P, ""))</f>
        <v/>
      </c>
      <c r="H46" s="6">
        <f>IF(A46="","", XLOOKUP(A46, INPUT_Rooms!$B:$B, INPUT_Rooms!$Q:$Q, ""))</f>
        <v/>
      </c>
      <c r="I46" s="6">
        <f>IF(A46="","", IF(XLOOKUP(A46, INPUT_Rooms!$B:$B, INPUT_Rooms!$R:$R, "")="", $B$5, XLOOKUP(A46, INPUT_Rooms!$B:$B, INPUT_Rooms!$R:$R, "")))</f>
        <v/>
      </c>
      <c r="J46" s="6">
        <f>IF(A46="","", D46*XLOOKUP("PrepMinsPerSqft",Constants!$F$20:$F$40,Constants!$G$20:$G$40)*XLOOKUP(I46,Constants!$E$10:$E$30,Constants!$F$10:$F$30)*F46)</f>
        <v/>
      </c>
      <c r="K46" s="6">
        <f>IF(A46="","", D46*XLOOKUP("PaintMinsPerSqftPerCoat",Constants!$F$20:$F$40,Constants!$G$20:$G$40)*H46*F46)</f>
        <v/>
      </c>
      <c r="L46" s="6">
        <f>IF(A46="","", IF(G46="Full", D46*XLOOKUP("PrimerFullMinsPerSqft",Constants!$F$20:$F$40,Constants!$G$20:$G$40)*F46, IF(G46="Spot", D46*XLOOKUP("PrimerFullMinsPerSqft",Constants!$F$20:$F$40,Constants!$G$20:$G$40)*XLOOKUP("PrimerSpotFactor",Constants!$F$20:$F$40,Constants!$G$20:$G$40)*F46, 0)))</f>
        <v/>
      </c>
      <c r="M46" s="6">
        <f>IF($A46="","", IFERROR(XLOOKUP($A46, INPUT_Rooms!$B:$B, INPUT_Rooms!$S:$S, 0),0) + $W46)</f>
        <v/>
      </c>
      <c r="N46">
        <f>IF($A46="","",IF($C46&lt;&gt;"Y","",IF($D46="", "",IFERROR(CEILING( ($D46*$H46) / IFERROR(XLOOKUP(XLOOKUP('Job Control'!$B$3, INPUT_JobSettings!$A:$A, INPUT_JobSettings!$C:$C, ""), Constants!$A:$A, Constants!$D:$D, ""), ""), 0.25), ""))))</f>
        <v/>
      </c>
      <c r="O46">
        <f>IF($A46="","",IF($C46&lt;&gt;"Y",0,IF($G46="None",0,IF($D46="",0,CEILING(($D46*IF($G46="Full",1, XLOOKUP("PrimerSpotFactor",Constants!$A:$A,Constants!$B:$B,0.35))) / IFERROR(XLOOKUP(XLOOKUP('Job Control'!$B$3, INPUT_JobSettings!$A:$A, INPUT_JobSettings!$E:$E, ""),Constants!$A:$A,Constants!$D:$D),350),0.25)))))</f>
        <v/>
      </c>
      <c r="P46">
        <f>IF($A46="","",IFERROR($N46*IFERROR(XLOOKUP(XLOOKUP('Job Control'!$B$3, INPUT_JobSettings!$A:$A, INPUT_JobSettings!$C:$C, ""), Constants!$A:$A, Constants!$C:$C, 0), 0) + $O46*IFERROR(XLOOKUP(XLOOKUP('Job Control'!$B$3, INPUT_JobSettings!$A:$A, INPUT_JobSettings!$E:$E, ""), Constants!$A:$A, Constants!$C:$C, 0), 0) + $M46,0))</f>
        <v/>
      </c>
      <c r="Q46" s="6">
        <f>IF($A46="","", ($J46+$K46+$L46)*$V46 )</f>
        <v/>
      </c>
      <c r="R46" s="6">
        <f>IF($A46="","", $Q46/60)</f>
        <v/>
      </c>
      <c r="S46" s="6">
        <f>IF($A46="","", $R46*IFERROR(IF(XLOOKUP('Job Control'!$B$3, INPUT_JobSettings!$A:$A, INPUT_JobSettings!$F:$F, "")&lt;&gt;"", XLOOKUP('Job Control'!$B$3, INPUT_JobSettings!$A:$A, INPUT_JobSettings!$F:$F, ""), $B$6), $B$6) + $M46)</f>
        <v/>
      </c>
      <c r="T46" s="6">
        <f>IF($A46="","", ($S46+$P46)*IFERROR(IF(XLOOKUP('Job Control'!$B$3, INPUT_JobSettings!$A:$A, INPUT_JobSettings!$G:$G, "")&lt;&gt;"", XLOOKUP('Job Control'!$B$3, INPUT_JobSettings!$A:$A, INPUT_JobSettings!$G:$G, ""), $B$7), $B$7))</f>
        <v/>
      </c>
      <c r="U46" s="6">
        <f>IF($A46="","", IFERROR(XLOOKUP($A46, INPUT_Rooms!$B:$B, INPUT_Rooms!$AI:$AI, ""), ""))</f>
        <v/>
      </c>
      <c r="V46" s="6">
        <f>IF($C46&lt;&gt;"Y",0,IF($A46="","", IF($U46="", 1, IFERROR(XLOOKUP($U46, Constants!$A$160:$A$190, Constants!$C$160:$C$190, 1), 1))))</f>
        <v/>
      </c>
      <c r="W46" s="6">
        <f>IF($C46&lt;&gt;"Y",0,IF($A46="","", ($D46*IF($U46="",0,IFERROR(XLOOKUP($U46, Constants!$A$160:$A$190, Constants!$D$160:$D$190, 0),0))) ))</f>
        <v/>
      </c>
    </row>
    <row r="47">
      <c r="A47" s="6">
        <f>IFERROR(INDEX(FILTER(INPUT_Rooms!$B$4:$B$83, INPUT_Rooms!$A$4:$A$83=$B$4, INPUT_Rooms!$O$4:$O$83="Y"), 37), "")</f>
        <v/>
      </c>
      <c r="B47" s="6">
        <f>IF(A47="","", XLOOKUP(A47, FILTER(INPUT_Rooms!$B$4:$B$83, INPUT_Rooms!$A$4:$A$83=$B$4), FILTER(INPUT_Rooms!$C$4:$C$83, INPUT_Rooms!$A$4:$A$83=$B$4), ""))</f>
        <v/>
      </c>
      <c r="C47" s="6">
        <f>IF(A47="","", "Y")</f>
        <v/>
      </c>
      <c r="D47" s="6">
        <f>IF(A47="","", XLOOKUP(A47, INPUT_Rooms!$B:$B, INPUT_Rooms!$AE:$AE, ""))</f>
        <v/>
      </c>
      <c r="E47" s="6">
        <f>IF(A47="","", XLOOKUP(A47, INPUT_Rooms!$B:$B, INPUT_Rooms!$H:$H, "")/12)</f>
        <v/>
      </c>
      <c r="F47" s="6">
        <f>IF(A47="","", LOOKUP(E47, Constants!$H$10:$H$40, Constants!$I$10:$I$40))</f>
        <v/>
      </c>
      <c r="G47" s="6">
        <f>IF(A47="","", XLOOKUP(A47, INPUT_Rooms!$B:$B, INPUT_Rooms!$P:$P, ""))</f>
        <v/>
      </c>
      <c r="H47" s="6">
        <f>IF(A47="","", XLOOKUP(A47, INPUT_Rooms!$B:$B, INPUT_Rooms!$Q:$Q, ""))</f>
        <v/>
      </c>
      <c r="I47" s="6">
        <f>IF(A47="","", IF(XLOOKUP(A47, INPUT_Rooms!$B:$B, INPUT_Rooms!$R:$R, "")="", $B$5, XLOOKUP(A47, INPUT_Rooms!$B:$B, INPUT_Rooms!$R:$R, "")))</f>
        <v/>
      </c>
      <c r="J47" s="6">
        <f>IF(A47="","", D47*XLOOKUP("PrepMinsPerSqft",Constants!$F$20:$F$40,Constants!$G$20:$G$40)*XLOOKUP(I47,Constants!$E$10:$E$30,Constants!$F$10:$F$30)*F47)</f>
        <v/>
      </c>
      <c r="K47" s="6">
        <f>IF(A47="","", D47*XLOOKUP("PaintMinsPerSqftPerCoat",Constants!$F$20:$F$40,Constants!$G$20:$G$40)*H47*F47)</f>
        <v/>
      </c>
      <c r="L47" s="6">
        <f>IF(A47="","", IF(G47="Full", D47*XLOOKUP("PrimerFullMinsPerSqft",Constants!$F$20:$F$40,Constants!$G$20:$G$40)*F47, IF(G47="Spot", D47*XLOOKUP("PrimerFullMinsPerSqft",Constants!$F$20:$F$40,Constants!$G$20:$G$40)*XLOOKUP("PrimerSpotFactor",Constants!$F$20:$F$40,Constants!$G$20:$G$40)*F47, 0)))</f>
        <v/>
      </c>
      <c r="M47" s="6">
        <f>IF($A47="","", IFERROR(XLOOKUP($A47, INPUT_Rooms!$B:$B, INPUT_Rooms!$S:$S, 0),0) + $W47)</f>
        <v/>
      </c>
      <c r="N47">
        <f>IF($A47="","",IF($C47&lt;&gt;"Y","",IF($D47="", "",IFERROR(CEILING( ($D47*$H47) / IFERROR(XLOOKUP(XLOOKUP('Job Control'!$B$3, INPUT_JobSettings!$A:$A, INPUT_JobSettings!$C:$C, ""), Constants!$A:$A, Constants!$D:$D, ""), ""), 0.25), ""))))</f>
        <v/>
      </c>
      <c r="O47">
        <f>IF($A47="","",IF($C47&lt;&gt;"Y",0,IF($G47="None",0,IF($D47="",0,CEILING(($D47*IF($G47="Full",1, XLOOKUP("PrimerSpotFactor",Constants!$A:$A,Constants!$B:$B,0.35))) / IFERROR(XLOOKUP(XLOOKUP('Job Control'!$B$3, INPUT_JobSettings!$A:$A, INPUT_JobSettings!$E:$E, ""),Constants!$A:$A,Constants!$D:$D),350),0.25)))))</f>
        <v/>
      </c>
      <c r="P47">
        <f>IF($A47="","",IFERROR($N47*IFERROR(XLOOKUP(XLOOKUP('Job Control'!$B$3, INPUT_JobSettings!$A:$A, INPUT_JobSettings!$C:$C, ""), Constants!$A:$A, Constants!$C:$C, 0), 0) + $O47*IFERROR(XLOOKUP(XLOOKUP('Job Control'!$B$3, INPUT_JobSettings!$A:$A, INPUT_JobSettings!$E:$E, ""), Constants!$A:$A, Constants!$C:$C, 0), 0) + $M47,0))</f>
        <v/>
      </c>
      <c r="Q47" s="6">
        <f>IF($A47="","", ($J47+$K47+$L47)*$V47 )</f>
        <v/>
      </c>
      <c r="R47" s="6">
        <f>IF($A47="","", $Q47/60)</f>
        <v/>
      </c>
      <c r="S47" s="6">
        <f>IF($A47="","", $R47*IFERROR(IF(XLOOKUP('Job Control'!$B$3, INPUT_JobSettings!$A:$A, INPUT_JobSettings!$F:$F, "")&lt;&gt;"", XLOOKUP('Job Control'!$B$3, INPUT_JobSettings!$A:$A, INPUT_JobSettings!$F:$F, ""), $B$6), $B$6) + $M47)</f>
        <v/>
      </c>
      <c r="T47" s="6">
        <f>IF($A47="","", ($S47+$P47)*IFERROR(IF(XLOOKUP('Job Control'!$B$3, INPUT_JobSettings!$A:$A, INPUT_JobSettings!$G:$G, "")&lt;&gt;"", XLOOKUP('Job Control'!$B$3, INPUT_JobSettings!$A:$A, INPUT_JobSettings!$G:$G, ""), $B$7), $B$7))</f>
        <v/>
      </c>
      <c r="U47" s="6">
        <f>IF($A47="","", IFERROR(XLOOKUP($A47, INPUT_Rooms!$B:$B, INPUT_Rooms!$AI:$AI, ""), ""))</f>
        <v/>
      </c>
      <c r="V47" s="6">
        <f>IF($C47&lt;&gt;"Y",0,IF($A47="","", IF($U47="", 1, IFERROR(XLOOKUP($U47, Constants!$A$160:$A$190, Constants!$C$160:$C$190, 1), 1))))</f>
        <v/>
      </c>
      <c r="W47" s="6">
        <f>IF($C47&lt;&gt;"Y",0,IF($A47="","", ($D47*IF($U47="",0,IFERROR(XLOOKUP($U47, Constants!$A$160:$A$190, Constants!$D$160:$D$190, 0),0))) ))</f>
        <v/>
      </c>
    </row>
    <row r="48">
      <c r="A48" s="6">
        <f>IFERROR(INDEX(FILTER(INPUT_Rooms!$B$4:$B$83, INPUT_Rooms!$A$4:$A$83=$B$4, INPUT_Rooms!$O$4:$O$83="Y"), 38), "")</f>
        <v/>
      </c>
      <c r="B48" s="6">
        <f>IF(A48="","", XLOOKUP(A48, FILTER(INPUT_Rooms!$B$4:$B$83, INPUT_Rooms!$A$4:$A$83=$B$4), FILTER(INPUT_Rooms!$C$4:$C$83, INPUT_Rooms!$A$4:$A$83=$B$4), ""))</f>
        <v/>
      </c>
      <c r="C48" s="6">
        <f>IF(A48="","", "Y")</f>
        <v/>
      </c>
      <c r="D48" s="6">
        <f>IF(A48="","", XLOOKUP(A48, INPUT_Rooms!$B:$B, INPUT_Rooms!$AE:$AE, ""))</f>
        <v/>
      </c>
      <c r="E48" s="6">
        <f>IF(A48="","", XLOOKUP(A48, INPUT_Rooms!$B:$B, INPUT_Rooms!$H:$H, "")/12)</f>
        <v/>
      </c>
      <c r="F48" s="6">
        <f>IF(A48="","", LOOKUP(E48, Constants!$H$10:$H$40, Constants!$I$10:$I$40))</f>
        <v/>
      </c>
      <c r="G48" s="6">
        <f>IF(A48="","", XLOOKUP(A48, INPUT_Rooms!$B:$B, INPUT_Rooms!$P:$P, ""))</f>
        <v/>
      </c>
      <c r="H48" s="6">
        <f>IF(A48="","", XLOOKUP(A48, INPUT_Rooms!$B:$B, INPUT_Rooms!$Q:$Q, ""))</f>
        <v/>
      </c>
      <c r="I48" s="6">
        <f>IF(A48="","", IF(XLOOKUP(A48, INPUT_Rooms!$B:$B, INPUT_Rooms!$R:$R, "")="", $B$5, XLOOKUP(A48, INPUT_Rooms!$B:$B, INPUT_Rooms!$R:$R, "")))</f>
        <v/>
      </c>
      <c r="J48" s="6">
        <f>IF(A48="","", D48*XLOOKUP("PrepMinsPerSqft",Constants!$F$20:$F$40,Constants!$G$20:$G$40)*XLOOKUP(I48,Constants!$E$10:$E$30,Constants!$F$10:$F$30)*F48)</f>
        <v/>
      </c>
      <c r="K48" s="6">
        <f>IF(A48="","", D48*XLOOKUP("PaintMinsPerSqftPerCoat",Constants!$F$20:$F$40,Constants!$G$20:$G$40)*H48*F48)</f>
        <v/>
      </c>
      <c r="L48" s="6">
        <f>IF(A48="","", IF(G48="Full", D48*XLOOKUP("PrimerFullMinsPerSqft",Constants!$F$20:$F$40,Constants!$G$20:$G$40)*F48, IF(G48="Spot", D48*XLOOKUP("PrimerFullMinsPerSqft",Constants!$F$20:$F$40,Constants!$G$20:$G$40)*XLOOKUP("PrimerSpotFactor",Constants!$F$20:$F$40,Constants!$G$20:$G$40)*F48, 0)))</f>
        <v/>
      </c>
      <c r="M48" s="6">
        <f>IF($A48="","", IFERROR(XLOOKUP($A48, INPUT_Rooms!$B:$B, INPUT_Rooms!$S:$S, 0),0) + $W48)</f>
        <v/>
      </c>
      <c r="N48">
        <f>IF($A48="","",IF($C48&lt;&gt;"Y","",IF($D48="", "",IFERROR(CEILING( ($D48*$H48) / IFERROR(XLOOKUP(XLOOKUP('Job Control'!$B$3, INPUT_JobSettings!$A:$A, INPUT_JobSettings!$C:$C, ""), Constants!$A:$A, Constants!$D:$D, ""), ""), 0.25), ""))))</f>
        <v/>
      </c>
      <c r="O48">
        <f>IF($A48="","",IF($C48&lt;&gt;"Y",0,IF($G48="None",0,IF($D48="",0,CEILING(($D48*IF($G48="Full",1, XLOOKUP("PrimerSpotFactor",Constants!$A:$A,Constants!$B:$B,0.35))) / IFERROR(XLOOKUP(XLOOKUP('Job Control'!$B$3, INPUT_JobSettings!$A:$A, INPUT_JobSettings!$E:$E, ""),Constants!$A:$A,Constants!$D:$D),350),0.25)))))</f>
        <v/>
      </c>
      <c r="P48">
        <f>IF($A48="","",IFERROR($N48*IFERROR(XLOOKUP(XLOOKUP('Job Control'!$B$3, INPUT_JobSettings!$A:$A, INPUT_JobSettings!$C:$C, ""), Constants!$A:$A, Constants!$C:$C, 0), 0) + $O48*IFERROR(XLOOKUP(XLOOKUP('Job Control'!$B$3, INPUT_JobSettings!$A:$A, INPUT_JobSettings!$E:$E, ""), Constants!$A:$A, Constants!$C:$C, 0), 0) + $M48,0))</f>
        <v/>
      </c>
      <c r="Q48" s="6">
        <f>IF($A48="","", ($J48+$K48+$L48)*$V48 )</f>
        <v/>
      </c>
      <c r="R48" s="6">
        <f>IF($A48="","", $Q48/60)</f>
        <v/>
      </c>
      <c r="S48" s="6">
        <f>IF($A48="","", $R48*IFERROR(IF(XLOOKUP('Job Control'!$B$3, INPUT_JobSettings!$A:$A, INPUT_JobSettings!$F:$F, "")&lt;&gt;"", XLOOKUP('Job Control'!$B$3, INPUT_JobSettings!$A:$A, INPUT_JobSettings!$F:$F, ""), $B$6), $B$6) + $M48)</f>
        <v/>
      </c>
      <c r="T48" s="6">
        <f>IF($A48="","", ($S48+$P48)*IFERROR(IF(XLOOKUP('Job Control'!$B$3, INPUT_JobSettings!$A:$A, INPUT_JobSettings!$G:$G, "")&lt;&gt;"", XLOOKUP('Job Control'!$B$3, INPUT_JobSettings!$A:$A, INPUT_JobSettings!$G:$G, ""), $B$7), $B$7))</f>
        <v/>
      </c>
      <c r="U48" s="6">
        <f>IF($A48="","", IFERROR(XLOOKUP($A48, INPUT_Rooms!$B:$B, INPUT_Rooms!$AI:$AI, ""), ""))</f>
        <v/>
      </c>
      <c r="V48" s="6">
        <f>IF($C48&lt;&gt;"Y",0,IF($A48="","", IF($U48="", 1, IFERROR(XLOOKUP($U48, Constants!$A$160:$A$190, Constants!$C$160:$C$190, 1), 1))))</f>
        <v/>
      </c>
      <c r="W48" s="6">
        <f>IF($C48&lt;&gt;"Y",0,IF($A48="","", ($D48*IF($U48="",0,IFERROR(XLOOKUP($U48, Constants!$A$160:$A$190, Constants!$D$160:$D$190, 0),0))) ))</f>
        <v/>
      </c>
    </row>
    <row r="49">
      <c r="A49" s="6">
        <f>IFERROR(INDEX(FILTER(INPUT_Rooms!$B$4:$B$83, INPUT_Rooms!$A$4:$A$83=$B$4, INPUT_Rooms!$O$4:$O$83="Y"), 39), "")</f>
        <v/>
      </c>
      <c r="B49" s="6">
        <f>IF(A49="","", XLOOKUP(A49, FILTER(INPUT_Rooms!$B$4:$B$83, INPUT_Rooms!$A$4:$A$83=$B$4), FILTER(INPUT_Rooms!$C$4:$C$83, INPUT_Rooms!$A$4:$A$83=$B$4), ""))</f>
        <v/>
      </c>
      <c r="C49" s="6">
        <f>IF(A49="","", "Y")</f>
        <v/>
      </c>
      <c r="D49" s="6">
        <f>IF(A49="","", XLOOKUP(A49, INPUT_Rooms!$B:$B, INPUT_Rooms!$AE:$AE, ""))</f>
        <v/>
      </c>
      <c r="E49" s="6">
        <f>IF(A49="","", XLOOKUP(A49, INPUT_Rooms!$B:$B, INPUT_Rooms!$H:$H, "")/12)</f>
        <v/>
      </c>
      <c r="F49" s="6">
        <f>IF(A49="","", LOOKUP(E49, Constants!$H$10:$H$40, Constants!$I$10:$I$40))</f>
        <v/>
      </c>
      <c r="G49" s="6">
        <f>IF(A49="","", XLOOKUP(A49, INPUT_Rooms!$B:$B, INPUT_Rooms!$P:$P, ""))</f>
        <v/>
      </c>
      <c r="H49" s="6">
        <f>IF(A49="","", XLOOKUP(A49, INPUT_Rooms!$B:$B, INPUT_Rooms!$Q:$Q, ""))</f>
        <v/>
      </c>
      <c r="I49" s="6">
        <f>IF(A49="","", IF(XLOOKUP(A49, INPUT_Rooms!$B:$B, INPUT_Rooms!$R:$R, "")="", $B$5, XLOOKUP(A49, INPUT_Rooms!$B:$B, INPUT_Rooms!$R:$R, "")))</f>
        <v/>
      </c>
      <c r="J49" s="6">
        <f>IF(A49="","", D49*XLOOKUP("PrepMinsPerSqft",Constants!$F$20:$F$40,Constants!$G$20:$G$40)*XLOOKUP(I49,Constants!$E$10:$E$30,Constants!$F$10:$F$30)*F49)</f>
        <v/>
      </c>
      <c r="K49" s="6">
        <f>IF(A49="","", D49*XLOOKUP("PaintMinsPerSqftPerCoat",Constants!$F$20:$F$40,Constants!$G$20:$G$40)*H49*F49)</f>
        <v/>
      </c>
      <c r="L49" s="6">
        <f>IF(A49="","", IF(G49="Full", D49*XLOOKUP("PrimerFullMinsPerSqft",Constants!$F$20:$F$40,Constants!$G$20:$G$40)*F49, IF(G49="Spot", D49*XLOOKUP("PrimerFullMinsPerSqft",Constants!$F$20:$F$40,Constants!$G$20:$G$40)*XLOOKUP("PrimerSpotFactor",Constants!$F$20:$F$40,Constants!$G$20:$G$40)*F49, 0)))</f>
        <v/>
      </c>
      <c r="M49" s="6">
        <f>IF($A49="","", IFERROR(XLOOKUP($A49, INPUT_Rooms!$B:$B, INPUT_Rooms!$S:$S, 0),0) + $W49)</f>
        <v/>
      </c>
      <c r="N49">
        <f>IF($A49="","",IF($C49&lt;&gt;"Y","",IF($D49="", "",IFERROR(CEILING( ($D49*$H49) / IFERROR(XLOOKUP(XLOOKUP('Job Control'!$B$3, INPUT_JobSettings!$A:$A, INPUT_JobSettings!$C:$C, ""), Constants!$A:$A, Constants!$D:$D, ""), ""), 0.25), ""))))</f>
        <v/>
      </c>
      <c r="O49">
        <f>IF($A49="","",IF($C49&lt;&gt;"Y",0,IF($G49="None",0,IF($D49="",0,CEILING(($D49*IF($G49="Full",1, XLOOKUP("PrimerSpotFactor",Constants!$A:$A,Constants!$B:$B,0.35))) / IFERROR(XLOOKUP(XLOOKUP('Job Control'!$B$3, INPUT_JobSettings!$A:$A, INPUT_JobSettings!$E:$E, ""),Constants!$A:$A,Constants!$D:$D),350),0.25)))))</f>
        <v/>
      </c>
      <c r="P49">
        <f>IF($A49="","",IFERROR($N49*IFERROR(XLOOKUP(XLOOKUP('Job Control'!$B$3, INPUT_JobSettings!$A:$A, INPUT_JobSettings!$C:$C, ""), Constants!$A:$A, Constants!$C:$C, 0), 0) + $O49*IFERROR(XLOOKUP(XLOOKUP('Job Control'!$B$3, INPUT_JobSettings!$A:$A, INPUT_JobSettings!$E:$E, ""), Constants!$A:$A, Constants!$C:$C, 0), 0) + $M49,0))</f>
        <v/>
      </c>
      <c r="Q49" s="6">
        <f>IF($A49="","", ($J49+$K49+$L49)*$V49 )</f>
        <v/>
      </c>
      <c r="R49" s="6">
        <f>IF($A49="","", $Q49/60)</f>
        <v/>
      </c>
      <c r="S49" s="6">
        <f>IF($A49="","", $R49*IFERROR(IF(XLOOKUP('Job Control'!$B$3, INPUT_JobSettings!$A:$A, INPUT_JobSettings!$F:$F, "")&lt;&gt;"", XLOOKUP('Job Control'!$B$3, INPUT_JobSettings!$A:$A, INPUT_JobSettings!$F:$F, ""), $B$6), $B$6) + $M49)</f>
        <v/>
      </c>
      <c r="T49" s="6">
        <f>IF($A49="","", ($S49+$P49)*IFERROR(IF(XLOOKUP('Job Control'!$B$3, INPUT_JobSettings!$A:$A, INPUT_JobSettings!$G:$G, "")&lt;&gt;"", XLOOKUP('Job Control'!$B$3, INPUT_JobSettings!$A:$A, INPUT_JobSettings!$G:$G, ""), $B$7), $B$7))</f>
        <v/>
      </c>
      <c r="U49" s="6">
        <f>IF($A49="","", IFERROR(XLOOKUP($A49, INPUT_Rooms!$B:$B, INPUT_Rooms!$AI:$AI, ""), ""))</f>
        <v/>
      </c>
      <c r="V49" s="6">
        <f>IF($C49&lt;&gt;"Y",0,IF($A49="","", IF($U49="", 1, IFERROR(XLOOKUP($U49, Constants!$A$160:$A$190, Constants!$C$160:$C$190, 1), 1))))</f>
        <v/>
      </c>
      <c r="W49" s="6">
        <f>IF($C49&lt;&gt;"Y",0,IF($A49="","", ($D49*IF($U49="",0,IFERROR(XLOOKUP($U49, Constants!$A$160:$A$190, Constants!$D$160:$D$190, 0),0))) ))</f>
        <v/>
      </c>
    </row>
    <row r="50">
      <c r="A50" s="6">
        <f>IFERROR(INDEX(FILTER(INPUT_Rooms!$B$4:$B$83, INPUT_Rooms!$A$4:$A$83=$B$4, INPUT_Rooms!$O$4:$O$83="Y"), 40), "")</f>
        <v/>
      </c>
      <c r="B50" s="6">
        <f>IF(A50="","", XLOOKUP(A50, FILTER(INPUT_Rooms!$B$4:$B$83, INPUT_Rooms!$A$4:$A$83=$B$4), FILTER(INPUT_Rooms!$C$4:$C$83, INPUT_Rooms!$A$4:$A$83=$B$4), ""))</f>
        <v/>
      </c>
      <c r="C50" s="6">
        <f>IF(A50="","", "Y")</f>
        <v/>
      </c>
      <c r="D50" s="6">
        <f>IF(A50="","", XLOOKUP(A50, INPUT_Rooms!$B:$B, INPUT_Rooms!$AE:$AE, ""))</f>
        <v/>
      </c>
      <c r="E50" s="6">
        <f>IF(A50="","", XLOOKUP(A50, INPUT_Rooms!$B:$B, INPUT_Rooms!$H:$H, "")/12)</f>
        <v/>
      </c>
      <c r="F50" s="6">
        <f>IF(A50="","", LOOKUP(E50, Constants!$H$10:$H$40, Constants!$I$10:$I$40))</f>
        <v/>
      </c>
      <c r="G50" s="6">
        <f>IF(A50="","", XLOOKUP(A50, INPUT_Rooms!$B:$B, INPUT_Rooms!$P:$P, ""))</f>
        <v/>
      </c>
      <c r="H50" s="6">
        <f>IF(A50="","", XLOOKUP(A50, INPUT_Rooms!$B:$B, INPUT_Rooms!$Q:$Q, ""))</f>
        <v/>
      </c>
      <c r="I50" s="6">
        <f>IF(A50="","", IF(XLOOKUP(A50, INPUT_Rooms!$B:$B, INPUT_Rooms!$R:$R, "")="", $B$5, XLOOKUP(A50, INPUT_Rooms!$B:$B, INPUT_Rooms!$R:$R, "")))</f>
        <v/>
      </c>
      <c r="J50" s="6">
        <f>IF(A50="","", D50*XLOOKUP("PrepMinsPerSqft",Constants!$F$20:$F$40,Constants!$G$20:$G$40)*XLOOKUP(I50,Constants!$E$10:$E$30,Constants!$F$10:$F$30)*F50)</f>
        <v/>
      </c>
      <c r="K50" s="6">
        <f>IF(A50="","", D50*XLOOKUP("PaintMinsPerSqftPerCoat",Constants!$F$20:$F$40,Constants!$G$20:$G$40)*H50*F50)</f>
        <v/>
      </c>
      <c r="L50" s="6">
        <f>IF(A50="","", IF(G50="Full", D50*XLOOKUP("PrimerFullMinsPerSqft",Constants!$F$20:$F$40,Constants!$G$20:$G$40)*F50, IF(G50="Spot", D50*XLOOKUP("PrimerFullMinsPerSqft",Constants!$F$20:$F$40,Constants!$G$20:$G$40)*XLOOKUP("PrimerSpotFactor",Constants!$F$20:$F$40,Constants!$G$20:$G$40)*F50, 0)))</f>
        <v/>
      </c>
      <c r="M50" s="6">
        <f>IF($A50="","", IFERROR(XLOOKUP($A50, INPUT_Rooms!$B:$B, INPUT_Rooms!$S:$S, 0),0) + $W50)</f>
        <v/>
      </c>
      <c r="N50">
        <f>IF($A50="","",IF($C50&lt;&gt;"Y","",IF($D50="", "",IFERROR(CEILING( ($D50*$H50) / IFERROR(XLOOKUP(XLOOKUP('Job Control'!$B$3, INPUT_JobSettings!$A:$A, INPUT_JobSettings!$C:$C, ""), Constants!$A:$A, Constants!$D:$D, ""), ""), 0.25), ""))))</f>
        <v/>
      </c>
      <c r="O50">
        <f>IF($A50="","",IF($C50&lt;&gt;"Y",0,IF($G50="None",0,IF($D50="",0,CEILING(($D50*IF($G50="Full",1, XLOOKUP("PrimerSpotFactor",Constants!$A:$A,Constants!$B:$B,0.35))) / IFERROR(XLOOKUP(XLOOKUP('Job Control'!$B$3, INPUT_JobSettings!$A:$A, INPUT_JobSettings!$E:$E, ""),Constants!$A:$A,Constants!$D:$D),350),0.25)))))</f>
        <v/>
      </c>
      <c r="P50">
        <f>IF($A50="","",IFERROR($N50*IFERROR(XLOOKUP(XLOOKUP('Job Control'!$B$3, INPUT_JobSettings!$A:$A, INPUT_JobSettings!$C:$C, ""), Constants!$A:$A, Constants!$C:$C, 0), 0) + $O50*IFERROR(XLOOKUP(XLOOKUP('Job Control'!$B$3, INPUT_JobSettings!$A:$A, INPUT_JobSettings!$E:$E, ""), Constants!$A:$A, Constants!$C:$C, 0), 0) + $M50,0))</f>
        <v/>
      </c>
      <c r="Q50" s="6">
        <f>IF($A50="","", ($J50+$K50+$L50)*$V50 )</f>
        <v/>
      </c>
      <c r="R50" s="6">
        <f>IF($A50="","", $Q50/60)</f>
        <v/>
      </c>
      <c r="S50" s="6">
        <f>IF($A50="","", $R50*IFERROR(IF(XLOOKUP('Job Control'!$B$3, INPUT_JobSettings!$A:$A, INPUT_JobSettings!$F:$F, "")&lt;&gt;"", XLOOKUP('Job Control'!$B$3, INPUT_JobSettings!$A:$A, INPUT_JobSettings!$F:$F, ""), $B$6), $B$6) + $M50)</f>
        <v/>
      </c>
      <c r="T50" s="6">
        <f>IF($A50="","", ($S50+$P50)*IFERROR(IF(XLOOKUP('Job Control'!$B$3, INPUT_JobSettings!$A:$A, INPUT_JobSettings!$G:$G, "")&lt;&gt;"", XLOOKUP('Job Control'!$B$3, INPUT_JobSettings!$A:$A, INPUT_JobSettings!$G:$G, ""), $B$7), $B$7))</f>
        <v/>
      </c>
      <c r="U50" s="6">
        <f>IF($A50="","", IFERROR(XLOOKUP($A50, INPUT_Rooms!$B:$B, INPUT_Rooms!$AI:$AI, ""), ""))</f>
        <v/>
      </c>
      <c r="V50" s="6">
        <f>IF($C50&lt;&gt;"Y",0,IF($A50="","", IF($U50="", 1, IFERROR(XLOOKUP($U50, Constants!$A$160:$A$190, Constants!$C$160:$C$190, 1), 1))))</f>
        <v/>
      </c>
      <c r="W50" s="6">
        <f>IF($C50&lt;&gt;"Y",0,IF($A50="","", ($D50*IF($U50="",0,IFERROR(XLOOKUP($U50, Constants!$A$160:$A$190, Constants!$D$160:$D$190, 0),0))) ))</f>
        <v/>
      </c>
    </row>
    <row r="51">
      <c r="A51" s="6">
        <f>IFERROR(INDEX(FILTER(INPUT_Rooms!$B$4:$B$83, INPUT_Rooms!$A$4:$A$83=$B$4, INPUT_Rooms!$O$4:$O$83="Y"), 41), "")</f>
        <v/>
      </c>
      <c r="B51" s="6">
        <f>IF(A51="","", XLOOKUP(A51, FILTER(INPUT_Rooms!$B$4:$B$83, INPUT_Rooms!$A$4:$A$83=$B$4), FILTER(INPUT_Rooms!$C$4:$C$83, INPUT_Rooms!$A$4:$A$83=$B$4), ""))</f>
        <v/>
      </c>
      <c r="C51" s="6">
        <f>IF(A51="","", "Y")</f>
        <v/>
      </c>
      <c r="D51" s="6">
        <f>IF(A51="","", XLOOKUP(A51, INPUT_Rooms!$B:$B, INPUT_Rooms!$AE:$AE, ""))</f>
        <v/>
      </c>
      <c r="E51" s="6">
        <f>IF(A51="","", XLOOKUP(A51, INPUT_Rooms!$B:$B, INPUT_Rooms!$H:$H, "")/12)</f>
        <v/>
      </c>
      <c r="F51" s="6">
        <f>IF(A51="","", LOOKUP(E51, Constants!$H$10:$H$40, Constants!$I$10:$I$40))</f>
        <v/>
      </c>
      <c r="G51" s="6">
        <f>IF(A51="","", XLOOKUP(A51, INPUT_Rooms!$B:$B, INPUT_Rooms!$P:$P, ""))</f>
        <v/>
      </c>
      <c r="H51" s="6">
        <f>IF(A51="","", XLOOKUP(A51, INPUT_Rooms!$B:$B, INPUT_Rooms!$Q:$Q, ""))</f>
        <v/>
      </c>
      <c r="I51" s="6">
        <f>IF(A51="","", IF(XLOOKUP(A51, INPUT_Rooms!$B:$B, INPUT_Rooms!$R:$R, "")="", $B$5, XLOOKUP(A51, INPUT_Rooms!$B:$B, INPUT_Rooms!$R:$R, "")))</f>
        <v/>
      </c>
      <c r="J51" s="6">
        <f>IF(A51="","", D51*XLOOKUP("PrepMinsPerSqft",Constants!$F$20:$F$40,Constants!$G$20:$G$40)*XLOOKUP(I51,Constants!$E$10:$E$30,Constants!$F$10:$F$30)*F51)</f>
        <v/>
      </c>
      <c r="K51" s="6">
        <f>IF(A51="","", D51*XLOOKUP("PaintMinsPerSqftPerCoat",Constants!$F$20:$F$40,Constants!$G$20:$G$40)*H51*F51)</f>
        <v/>
      </c>
      <c r="L51" s="6">
        <f>IF(A51="","", IF(G51="Full", D51*XLOOKUP("PrimerFullMinsPerSqft",Constants!$F$20:$F$40,Constants!$G$20:$G$40)*F51, IF(G51="Spot", D51*XLOOKUP("PrimerFullMinsPerSqft",Constants!$F$20:$F$40,Constants!$G$20:$G$40)*XLOOKUP("PrimerSpotFactor",Constants!$F$20:$F$40,Constants!$G$20:$G$40)*F51, 0)))</f>
        <v/>
      </c>
      <c r="M51" s="6">
        <f>IF($A51="","", IFERROR(XLOOKUP($A51, INPUT_Rooms!$B:$B, INPUT_Rooms!$S:$S, 0),0) + $W51)</f>
        <v/>
      </c>
      <c r="N51">
        <f>IF($A51="","",IF($C51&lt;&gt;"Y","",IF($D51="", "",IFERROR(CEILING( ($D51*$H51) / IFERROR(XLOOKUP(XLOOKUP('Job Control'!$B$3, INPUT_JobSettings!$A:$A, INPUT_JobSettings!$C:$C, ""), Constants!$A:$A, Constants!$D:$D, ""), ""), 0.25), ""))))</f>
        <v/>
      </c>
      <c r="O51">
        <f>IF($A51="","",IF($C51&lt;&gt;"Y",0,IF($G51="None",0,IF($D51="",0,CEILING(($D51*IF($G51="Full",1, XLOOKUP("PrimerSpotFactor",Constants!$A:$A,Constants!$B:$B,0.35))) / IFERROR(XLOOKUP(XLOOKUP('Job Control'!$B$3, INPUT_JobSettings!$A:$A, INPUT_JobSettings!$E:$E, ""),Constants!$A:$A,Constants!$D:$D),350),0.25)))))</f>
        <v/>
      </c>
      <c r="P51">
        <f>IF($A51="","",IFERROR($N51*IFERROR(XLOOKUP(XLOOKUP('Job Control'!$B$3, INPUT_JobSettings!$A:$A, INPUT_JobSettings!$C:$C, ""), Constants!$A:$A, Constants!$C:$C, 0), 0) + $O51*IFERROR(XLOOKUP(XLOOKUP('Job Control'!$B$3, INPUT_JobSettings!$A:$A, INPUT_JobSettings!$E:$E, ""), Constants!$A:$A, Constants!$C:$C, 0), 0) + $M51,0))</f>
        <v/>
      </c>
      <c r="Q51" s="6">
        <f>IF($A51="","", ($J51+$K51+$L51)*$V51 )</f>
        <v/>
      </c>
      <c r="R51" s="6">
        <f>IF($A51="","", $Q51/60)</f>
        <v/>
      </c>
      <c r="S51" s="6">
        <f>IF($A51="","", $R51*IFERROR(IF(XLOOKUP('Job Control'!$B$3, INPUT_JobSettings!$A:$A, INPUT_JobSettings!$F:$F, "")&lt;&gt;"", XLOOKUP('Job Control'!$B$3, INPUT_JobSettings!$A:$A, INPUT_JobSettings!$F:$F, ""), $B$6), $B$6) + $M51)</f>
        <v/>
      </c>
      <c r="T51" s="6">
        <f>IF($A51="","", ($S51+$P51)*IFERROR(IF(XLOOKUP('Job Control'!$B$3, INPUT_JobSettings!$A:$A, INPUT_JobSettings!$G:$G, "")&lt;&gt;"", XLOOKUP('Job Control'!$B$3, INPUT_JobSettings!$A:$A, INPUT_JobSettings!$G:$G, ""), $B$7), $B$7))</f>
        <v/>
      </c>
      <c r="U51" s="6">
        <f>IF($A51="","", IFERROR(XLOOKUP($A51, INPUT_Rooms!$B:$B, INPUT_Rooms!$AI:$AI, ""), ""))</f>
        <v/>
      </c>
      <c r="V51" s="6">
        <f>IF($C51&lt;&gt;"Y",0,IF($A51="","", IF($U51="", 1, IFERROR(XLOOKUP($U51, Constants!$A$160:$A$190, Constants!$C$160:$C$190, 1), 1))))</f>
        <v/>
      </c>
      <c r="W51" s="6">
        <f>IF($C51&lt;&gt;"Y",0,IF($A51="","", ($D51*IF($U51="",0,IFERROR(XLOOKUP($U51, Constants!$A$160:$A$190, Constants!$D$160:$D$190, 0),0))) ))</f>
        <v/>
      </c>
    </row>
    <row r="52">
      <c r="A52" s="6">
        <f>IFERROR(INDEX(FILTER(INPUT_Rooms!$B$4:$B$83, INPUT_Rooms!$A$4:$A$83=$B$4, INPUT_Rooms!$O$4:$O$83="Y"), 42), "")</f>
        <v/>
      </c>
      <c r="B52" s="6">
        <f>IF(A52="","", XLOOKUP(A52, FILTER(INPUT_Rooms!$B$4:$B$83, INPUT_Rooms!$A$4:$A$83=$B$4), FILTER(INPUT_Rooms!$C$4:$C$83, INPUT_Rooms!$A$4:$A$83=$B$4), ""))</f>
        <v/>
      </c>
      <c r="C52" s="6">
        <f>IF(A52="","", "Y")</f>
        <v/>
      </c>
      <c r="D52" s="6">
        <f>IF(A52="","", XLOOKUP(A52, INPUT_Rooms!$B:$B, INPUT_Rooms!$AE:$AE, ""))</f>
        <v/>
      </c>
      <c r="E52" s="6">
        <f>IF(A52="","", XLOOKUP(A52, INPUT_Rooms!$B:$B, INPUT_Rooms!$H:$H, "")/12)</f>
        <v/>
      </c>
      <c r="F52" s="6">
        <f>IF(A52="","", LOOKUP(E52, Constants!$H$10:$H$40, Constants!$I$10:$I$40))</f>
        <v/>
      </c>
      <c r="G52" s="6">
        <f>IF(A52="","", XLOOKUP(A52, INPUT_Rooms!$B:$B, INPUT_Rooms!$P:$P, ""))</f>
        <v/>
      </c>
      <c r="H52" s="6">
        <f>IF(A52="","", XLOOKUP(A52, INPUT_Rooms!$B:$B, INPUT_Rooms!$Q:$Q, ""))</f>
        <v/>
      </c>
      <c r="I52" s="6">
        <f>IF(A52="","", IF(XLOOKUP(A52, INPUT_Rooms!$B:$B, INPUT_Rooms!$R:$R, "")="", $B$5, XLOOKUP(A52, INPUT_Rooms!$B:$B, INPUT_Rooms!$R:$R, "")))</f>
        <v/>
      </c>
      <c r="J52" s="6">
        <f>IF(A52="","", D52*XLOOKUP("PrepMinsPerSqft",Constants!$F$20:$F$40,Constants!$G$20:$G$40)*XLOOKUP(I52,Constants!$E$10:$E$30,Constants!$F$10:$F$30)*F52)</f>
        <v/>
      </c>
      <c r="K52" s="6">
        <f>IF(A52="","", D52*XLOOKUP("PaintMinsPerSqftPerCoat",Constants!$F$20:$F$40,Constants!$G$20:$G$40)*H52*F52)</f>
        <v/>
      </c>
      <c r="L52" s="6">
        <f>IF(A52="","", IF(G52="Full", D52*XLOOKUP("PrimerFullMinsPerSqft",Constants!$F$20:$F$40,Constants!$G$20:$G$40)*F52, IF(G52="Spot", D52*XLOOKUP("PrimerFullMinsPerSqft",Constants!$F$20:$F$40,Constants!$G$20:$G$40)*XLOOKUP("PrimerSpotFactor",Constants!$F$20:$F$40,Constants!$G$20:$G$40)*F52, 0)))</f>
        <v/>
      </c>
      <c r="M52" s="6">
        <f>IF($A52="","", IFERROR(XLOOKUP($A52, INPUT_Rooms!$B:$B, INPUT_Rooms!$S:$S, 0),0) + $W52)</f>
        <v/>
      </c>
      <c r="N52">
        <f>IF($A52="","",IF($C52&lt;&gt;"Y","",IF($D52="", "",IFERROR(CEILING( ($D52*$H52) / IFERROR(XLOOKUP(XLOOKUP('Job Control'!$B$3, INPUT_JobSettings!$A:$A, INPUT_JobSettings!$C:$C, ""), Constants!$A:$A, Constants!$D:$D, ""), ""), 0.25), ""))))</f>
        <v/>
      </c>
      <c r="O52">
        <f>IF($A52="","",IF($C52&lt;&gt;"Y",0,IF($G52="None",0,IF($D52="",0,CEILING(($D52*IF($G52="Full",1, XLOOKUP("PrimerSpotFactor",Constants!$A:$A,Constants!$B:$B,0.35))) / IFERROR(XLOOKUP(XLOOKUP('Job Control'!$B$3, INPUT_JobSettings!$A:$A, INPUT_JobSettings!$E:$E, ""),Constants!$A:$A,Constants!$D:$D),350),0.25)))))</f>
        <v/>
      </c>
      <c r="P52">
        <f>IF($A52="","",IFERROR($N52*IFERROR(XLOOKUP(XLOOKUP('Job Control'!$B$3, INPUT_JobSettings!$A:$A, INPUT_JobSettings!$C:$C, ""), Constants!$A:$A, Constants!$C:$C, 0), 0) + $O52*IFERROR(XLOOKUP(XLOOKUP('Job Control'!$B$3, INPUT_JobSettings!$A:$A, INPUT_JobSettings!$E:$E, ""), Constants!$A:$A, Constants!$C:$C, 0), 0) + $M52,0))</f>
        <v/>
      </c>
      <c r="Q52" s="6">
        <f>IF($A52="","", ($J52+$K52+$L52)*$V52 )</f>
        <v/>
      </c>
      <c r="R52" s="6">
        <f>IF($A52="","", $Q52/60)</f>
        <v/>
      </c>
      <c r="S52" s="6">
        <f>IF($A52="","", $R52*IFERROR(IF(XLOOKUP('Job Control'!$B$3, INPUT_JobSettings!$A:$A, INPUT_JobSettings!$F:$F, "")&lt;&gt;"", XLOOKUP('Job Control'!$B$3, INPUT_JobSettings!$A:$A, INPUT_JobSettings!$F:$F, ""), $B$6), $B$6) + $M52)</f>
        <v/>
      </c>
      <c r="T52" s="6">
        <f>IF($A52="","", ($S52+$P52)*IFERROR(IF(XLOOKUP('Job Control'!$B$3, INPUT_JobSettings!$A:$A, INPUT_JobSettings!$G:$G, "")&lt;&gt;"", XLOOKUP('Job Control'!$B$3, INPUT_JobSettings!$A:$A, INPUT_JobSettings!$G:$G, ""), $B$7), $B$7))</f>
        <v/>
      </c>
      <c r="U52" s="6">
        <f>IF($A52="","", IFERROR(XLOOKUP($A52, INPUT_Rooms!$B:$B, INPUT_Rooms!$AI:$AI, ""), ""))</f>
        <v/>
      </c>
      <c r="V52" s="6">
        <f>IF($C52&lt;&gt;"Y",0,IF($A52="","", IF($U52="", 1, IFERROR(XLOOKUP($U52, Constants!$A$160:$A$190, Constants!$C$160:$C$190, 1), 1))))</f>
        <v/>
      </c>
      <c r="W52" s="6">
        <f>IF($C52&lt;&gt;"Y",0,IF($A52="","", ($D52*IF($U52="",0,IFERROR(XLOOKUP($U52, Constants!$A$160:$A$190, Constants!$D$160:$D$190, 0),0))) ))</f>
        <v/>
      </c>
    </row>
    <row r="53">
      <c r="A53" s="6">
        <f>IFERROR(INDEX(FILTER(INPUT_Rooms!$B$4:$B$83, INPUT_Rooms!$A$4:$A$83=$B$4, INPUT_Rooms!$O$4:$O$83="Y"), 43), "")</f>
        <v/>
      </c>
      <c r="B53" s="6">
        <f>IF(A53="","", XLOOKUP(A53, FILTER(INPUT_Rooms!$B$4:$B$83, INPUT_Rooms!$A$4:$A$83=$B$4), FILTER(INPUT_Rooms!$C$4:$C$83, INPUT_Rooms!$A$4:$A$83=$B$4), ""))</f>
        <v/>
      </c>
      <c r="C53" s="6">
        <f>IF(A53="","", "Y")</f>
        <v/>
      </c>
      <c r="D53" s="6">
        <f>IF(A53="","", XLOOKUP(A53, INPUT_Rooms!$B:$B, INPUT_Rooms!$AE:$AE, ""))</f>
        <v/>
      </c>
      <c r="E53" s="6">
        <f>IF(A53="","", XLOOKUP(A53, INPUT_Rooms!$B:$B, INPUT_Rooms!$H:$H, "")/12)</f>
        <v/>
      </c>
      <c r="F53" s="6">
        <f>IF(A53="","", LOOKUP(E53, Constants!$H$10:$H$40, Constants!$I$10:$I$40))</f>
        <v/>
      </c>
      <c r="G53" s="6">
        <f>IF(A53="","", XLOOKUP(A53, INPUT_Rooms!$B:$B, INPUT_Rooms!$P:$P, ""))</f>
        <v/>
      </c>
      <c r="H53" s="6">
        <f>IF(A53="","", XLOOKUP(A53, INPUT_Rooms!$B:$B, INPUT_Rooms!$Q:$Q, ""))</f>
        <v/>
      </c>
      <c r="I53" s="6">
        <f>IF(A53="","", IF(XLOOKUP(A53, INPUT_Rooms!$B:$B, INPUT_Rooms!$R:$R, "")="", $B$5, XLOOKUP(A53, INPUT_Rooms!$B:$B, INPUT_Rooms!$R:$R, "")))</f>
        <v/>
      </c>
      <c r="J53" s="6">
        <f>IF(A53="","", D53*XLOOKUP("PrepMinsPerSqft",Constants!$F$20:$F$40,Constants!$G$20:$G$40)*XLOOKUP(I53,Constants!$E$10:$E$30,Constants!$F$10:$F$30)*F53)</f>
        <v/>
      </c>
      <c r="K53" s="6">
        <f>IF(A53="","", D53*XLOOKUP("PaintMinsPerSqftPerCoat",Constants!$F$20:$F$40,Constants!$G$20:$G$40)*H53*F53)</f>
        <v/>
      </c>
      <c r="L53" s="6">
        <f>IF(A53="","", IF(G53="Full", D53*XLOOKUP("PrimerFullMinsPerSqft",Constants!$F$20:$F$40,Constants!$G$20:$G$40)*F53, IF(G53="Spot", D53*XLOOKUP("PrimerFullMinsPerSqft",Constants!$F$20:$F$40,Constants!$G$20:$G$40)*XLOOKUP("PrimerSpotFactor",Constants!$F$20:$F$40,Constants!$G$20:$G$40)*F53, 0)))</f>
        <v/>
      </c>
      <c r="M53" s="6">
        <f>IF($A53="","", IFERROR(XLOOKUP($A53, INPUT_Rooms!$B:$B, INPUT_Rooms!$S:$S, 0),0) + $W53)</f>
        <v/>
      </c>
      <c r="N53">
        <f>IF($A53="","",IF($C53&lt;&gt;"Y","",IF($D53="", "",IFERROR(CEILING( ($D53*$H53) / IFERROR(XLOOKUP(XLOOKUP('Job Control'!$B$3, INPUT_JobSettings!$A:$A, INPUT_JobSettings!$C:$C, ""), Constants!$A:$A, Constants!$D:$D, ""), ""), 0.25), ""))))</f>
        <v/>
      </c>
      <c r="O53">
        <f>IF($A53="","",IF($C53&lt;&gt;"Y",0,IF($G53="None",0,IF($D53="",0,CEILING(($D53*IF($G53="Full",1, XLOOKUP("PrimerSpotFactor",Constants!$A:$A,Constants!$B:$B,0.35))) / IFERROR(XLOOKUP(XLOOKUP('Job Control'!$B$3, INPUT_JobSettings!$A:$A, INPUT_JobSettings!$E:$E, ""),Constants!$A:$A,Constants!$D:$D),350),0.25)))))</f>
        <v/>
      </c>
      <c r="P53">
        <f>IF($A53="","",IFERROR($N53*IFERROR(XLOOKUP(XLOOKUP('Job Control'!$B$3, INPUT_JobSettings!$A:$A, INPUT_JobSettings!$C:$C, ""), Constants!$A:$A, Constants!$C:$C, 0), 0) + $O53*IFERROR(XLOOKUP(XLOOKUP('Job Control'!$B$3, INPUT_JobSettings!$A:$A, INPUT_JobSettings!$E:$E, ""), Constants!$A:$A, Constants!$C:$C, 0), 0) + $M53,0))</f>
        <v/>
      </c>
      <c r="Q53" s="6">
        <f>IF($A53="","", ($J53+$K53+$L53)*$V53 )</f>
        <v/>
      </c>
      <c r="R53" s="6">
        <f>IF($A53="","", $Q53/60)</f>
        <v/>
      </c>
      <c r="S53" s="6">
        <f>IF($A53="","", $R53*IFERROR(IF(XLOOKUP('Job Control'!$B$3, INPUT_JobSettings!$A:$A, INPUT_JobSettings!$F:$F, "")&lt;&gt;"", XLOOKUP('Job Control'!$B$3, INPUT_JobSettings!$A:$A, INPUT_JobSettings!$F:$F, ""), $B$6), $B$6) + $M53)</f>
        <v/>
      </c>
      <c r="T53" s="6">
        <f>IF($A53="","", ($S53+$P53)*IFERROR(IF(XLOOKUP('Job Control'!$B$3, INPUT_JobSettings!$A:$A, INPUT_JobSettings!$G:$G, "")&lt;&gt;"", XLOOKUP('Job Control'!$B$3, INPUT_JobSettings!$A:$A, INPUT_JobSettings!$G:$G, ""), $B$7), $B$7))</f>
        <v/>
      </c>
      <c r="U53" s="6">
        <f>IF($A53="","", IFERROR(XLOOKUP($A53, INPUT_Rooms!$B:$B, INPUT_Rooms!$AI:$AI, ""), ""))</f>
        <v/>
      </c>
      <c r="V53" s="6">
        <f>IF($C53&lt;&gt;"Y",0,IF($A53="","", IF($U53="", 1, IFERROR(XLOOKUP($U53, Constants!$A$160:$A$190, Constants!$C$160:$C$190, 1), 1))))</f>
        <v/>
      </c>
      <c r="W53" s="6">
        <f>IF($C53&lt;&gt;"Y",0,IF($A53="","", ($D53*IF($U53="",0,IFERROR(XLOOKUP($U53, Constants!$A$160:$A$190, Constants!$D$160:$D$190, 0),0))) ))</f>
        <v/>
      </c>
    </row>
    <row r="54">
      <c r="A54" s="6">
        <f>IFERROR(INDEX(FILTER(INPUT_Rooms!$B$4:$B$83, INPUT_Rooms!$A$4:$A$83=$B$4, INPUT_Rooms!$O$4:$O$83="Y"), 44), "")</f>
        <v/>
      </c>
      <c r="B54" s="6">
        <f>IF(A54="","", XLOOKUP(A54, FILTER(INPUT_Rooms!$B$4:$B$83, INPUT_Rooms!$A$4:$A$83=$B$4), FILTER(INPUT_Rooms!$C$4:$C$83, INPUT_Rooms!$A$4:$A$83=$B$4), ""))</f>
        <v/>
      </c>
      <c r="C54" s="6">
        <f>IF(A54="","", "Y")</f>
        <v/>
      </c>
      <c r="D54" s="6">
        <f>IF(A54="","", XLOOKUP(A54, INPUT_Rooms!$B:$B, INPUT_Rooms!$AE:$AE, ""))</f>
        <v/>
      </c>
      <c r="E54" s="6">
        <f>IF(A54="","", XLOOKUP(A54, INPUT_Rooms!$B:$B, INPUT_Rooms!$H:$H, "")/12)</f>
        <v/>
      </c>
      <c r="F54" s="6">
        <f>IF(A54="","", LOOKUP(E54, Constants!$H$10:$H$40, Constants!$I$10:$I$40))</f>
        <v/>
      </c>
      <c r="G54" s="6">
        <f>IF(A54="","", XLOOKUP(A54, INPUT_Rooms!$B:$B, INPUT_Rooms!$P:$P, ""))</f>
        <v/>
      </c>
      <c r="H54" s="6">
        <f>IF(A54="","", XLOOKUP(A54, INPUT_Rooms!$B:$B, INPUT_Rooms!$Q:$Q, ""))</f>
        <v/>
      </c>
      <c r="I54" s="6">
        <f>IF(A54="","", IF(XLOOKUP(A54, INPUT_Rooms!$B:$B, INPUT_Rooms!$R:$R, "")="", $B$5, XLOOKUP(A54, INPUT_Rooms!$B:$B, INPUT_Rooms!$R:$R, "")))</f>
        <v/>
      </c>
      <c r="J54" s="6">
        <f>IF(A54="","", D54*XLOOKUP("PrepMinsPerSqft",Constants!$F$20:$F$40,Constants!$G$20:$G$40)*XLOOKUP(I54,Constants!$E$10:$E$30,Constants!$F$10:$F$30)*F54)</f>
        <v/>
      </c>
      <c r="K54" s="6">
        <f>IF(A54="","", D54*XLOOKUP("PaintMinsPerSqftPerCoat",Constants!$F$20:$F$40,Constants!$G$20:$G$40)*H54*F54)</f>
        <v/>
      </c>
      <c r="L54" s="6">
        <f>IF(A54="","", IF(G54="Full", D54*XLOOKUP("PrimerFullMinsPerSqft",Constants!$F$20:$F$40,Constants!$G$20:$G$40)*F54, IF(G54="Spot", D54*XLOOKUP("PrimerFullMinsPerSqft",Constants!$F$20:$F$40,Constants!$G$20:$G$40)*XLOOKUP("PrimerSpotFactor",Constants!$F$20:$F$40,Constants!$G$20:$G$40)*F54, 0)))</f>
        <v/>
      </c>
      <c r="M54" s="6">
        <f>IF($A54="","", IFERROR(XLOOKUP($A54, INPUT_Rooms!$B:$B, INPUT_Rooms!$S:$S, 0),0) + $W54)</f>
        <v/>
      </c>
      <c r="N54">
        <f>IF($A54="","",IF($C54&lt;&gt;"Y","",IF($D54="", "",IFERROR(CEILING( ($D54*$H54) / IFERROR(XLOOKUP(XLOOKUP('Job Control'!$B$3, INPUT_JobSettings!$A:$A, INPUT_JobSettings!$C:$C, ""), Constants!$A:$A, Constants!$D:$D, ""), ""), 0.25), ""))))</f>
        <v/>
      </c>
      <c r="O54">
        <f>IF($A54="","",IF($C54&lt;&gt;"Y",0,IF($G54="None",0,IF($D54="",0,CEILING(($D54*IF($G54="Full",1, XLOOKUP("PrimerSpotFactor",Constants!$A:$A,Constants!$B:$B,0.35))) / IFERROR(XLOOKUP(XLOOKUP('Job Control'!$B$3, INPUT_JobSettings!$A:$A, INPUT_JobSettings!$E:$E, ""),Constants!$A:$A,Constants!$D:$D),350),0.25)))))</f>
        <v/>
      </c>
      <c r="P54">
        <f>IF($A54="","",IFERROR($N54*IFERROR(XLOOKUP(XLOOKUP('Job Control'!$B$3, INPUT_JobSettings!$A:$A, INPUT_JobSettings!$C:$C, ""), Constants!$A:$A, Constants!$C:$C, 0), 0) + $O54*IFERROR(XLOOKUP(XLOOKUP('Job Control'!$B$3, INPUT_JobSettings!$A:$A, INPUT_JobSettings!$E:$E, ""), Constants!$A:$A, Constants!$C:$C, 0), 0) + $M54,0))</f>
        <v/>
      </c>
      <c r="Q54" s="6">
        <f>IF($A54="","", ($J54+$K54+$L54)*$V54 )</f>
        <v/>
      </c>
      <c r="R54" s="6">
        <f>IF($A54="","", $Q54/60)</f>
        <v/>
      </c>
      <c r="S54" s="6">
        <f>IF($A54="","", $R54*IFERROR(IF(XLOOKUP('Job Control'!$B$3, INPUT_JobSettings!$A:$A, INPUT_JobSettings!$F:$F, "")&lt;&gt;"", XLOOKUP('Job Control'!$B$3, INPUT_JobSettings!$A:$A, INPUT_JobSettings!$F:$F, ""), $B$6), $B$6) + $M54)</f>
        <v/>
      </c>
      <c r="T54" s="6">
        <f>IF($A54="","", ($S54+$P54)*IFERROR(IF(XLOOKUP('Job Control'!$B$3, INPUT_JobSettings!$A:$A, INPUT_JobSettings!$G:$G, "")&lt;&gt;"", XLOOKUP('Job Control'!$B$3, INPUT_JobSettings!$A:$A, INPUT_JobSettings!$G:$G, ""), $B$7), $B$7))</f>
        <v/>
      </c>
      <c r="U54" s="6">
        <f>IF($A54="","", IFERROR(XLOOKUP($A54, INPUT_Rooms!$B:$B, INPUT_Rooms!$AI:$AI, ""), ""))</f>
        <v/>
      </c>
      <c r="V54" s="6">
        <f>IF($C54&lt;&gt;"Y",0,IF($A54="","", IF($U54="", 1, IFERROR(XLOOKUP($U54, Constants!$A$160:$A$190, Constants!$C$160:$C$190, 1), 1))))</f>
        <v/>
      </c>
      <c r="W54" s="6">
        <f>IF($C54&lt;&gt;"Y",0,IF($A54="","", ($D54*IF($U54="",0,IFERROR(XLOOKUP($U54, Constants!$A$160:$A$190, Constants!$D$160:$D$190, 0),0))) ))</f>
        <v/>
      </c>
    </row>
    <row r="55">
      <c r="A55" s="6">
        <f>IFERROR(INDEX(FILTER(INPUT_Rooms!$B$4:$B$83, INPUT_Rooms!$A$4:$A$83=$B$4, INPUT_Rooms!$O$4:$O$83="Y"), 45), "")</f>
        <v/>
      </c>
      <c r="B55" s="6">
        <f>IF(A55="","", XLOOKUP(A55, FILTER(INPUT_Rooms!$B$4:$B$83, INPUT_Rooms!$A$4:$A$83=$B$4), FILTER(INPUT_Rooms!$C$4:$C$83, INPUT_Rooms!$A$4:$A$83=$B$4), ""))</f>
        <v/>
      </c>
      <c r="C55" s="6">
        <f>IF(A55="","", "Y")</f>
        <v/>
      </c>
      <c r="D55" s="6">
        <f>IF(A55="","", XLOOKUP(A55, INPUT_Rooms!$B:$B, INPUT_Rooms!$AE:$AE, ""))</f>
        <v/>
      </c>
      <c r="E55" s="6">
        <f>IF(A55="","", XLOOKUP(A55, INPUT_Rooms!$B:$B, INPUT_Rooms!$H:$H, "")/12)</f>
        <v/>
      </c>
      <c r="F55" s="6">
        <f>IF(A55="","", LOOKUP(E55, Constants!$H$10:$H$40, Constants!$I$10:$I$40))</f>
        <v/>
      </c>
      <c r="G55" s="6">
        <f>IF(A55="","", XLOOKUP(A55, INPUT_Rooms!$B:$B, INPUT_Rooms!$P:$P, ""))</f>
        <v/>
      </c>
      <c r="H55" s="6">
        <f>IF(A55="","", XLOOKUP(A55, INPUT_Rooms!$B:$B, INPUT_Rooms!$Q:$Q, ""))</f>
        <v/>
      </c>
      <c r="I55" s="6">
        <f>IF(A55="","", IF(XLOOKUP(A55, INPUT_Rooms!$B:$B, INPUT_Rooms!$R:$R, "")="", $B$5, XLOOKUP(A55, INPUT_Rooms!$B:$B, INPUT_Rooms!$R:$R, "")))</f>
        <v/>
      </c>
      <c r="J55" s="6">
        <f>IF(A55="","", D55*XLOOKUP("PrepMinsPerSqft",Constants!$F$20:$F$40,Constants!$G$20:$G$40)*XLOOKUP(I55,Constants!$E$10:$E$30,Constants!$F$10:$F$30)*F55)</f>
        <v/>
      </c>
      <c r="K55" s="6">
        <f>IF(A55="","", D55*XLOOKUP("PaintMinsPerSqftPerCoat",Constants!$F$20:$F$40,Constants!$G$20:$G$40)*H55*F55)</f>
        <v/>
      </c>
      <c r="L55" s="6">
        <f>IF(A55="","", IF(G55="Full", D55*XLOOKUP("PrimerFullMinsPerSqft",Constants!$F$20:$F$40,Constants!$G$20:$G$40)*F55, IF(G55="Spot", D55*XLOOKUP("PrimerFullMinsPerSqft",Constants!$F$20:$F$40,Constants!$G$20:$G$40)*XLOOKUP("PrimerSpotFactor",Constants!$F$20:$F$40,Constants!$G$20:$G$40)*F55, 0)))</f>
        <v/>
      </c>
      <c r="M55" s="6">
        <f>IF($A55="","", IFERROR(XLOOKUP($A55, INPUT_Rooms!$B:$B, INPUT_Rooms!$S:$S, 0),0) + $W55)</f>
        <v/>
      </c>
      <c r="N55">
        <f>IF($A55="","",IF($C55&lt;&gt;"Y","",IF($D55="", "",IFERROR(CEILING( ($D55*$H55) / IFERROR(XLOOKUP(XLOOKUP('Job Control'!$B$3, INPUT_JobSettings!$A:$A, INPUT_JobSettings!$C:$C, ""), Constants!$A:$A, Constants!$D:$D, ""), ""), 0.25), ""))))</f>
        <v/>
      </c>
      <c r="O55">
        <f>IF($A55="","",IF($C55&lt;&gt;"Y",0,IF($G55="None",0,IF($D55="",0,CEILING(($D55*IF($G55="Full",1, XLOOKUP("PrimerSpotFactor",Constants!$A:$A,Constants!$B:$B,0.35))) / IFERROR(XLOOKUP(XLOOKUP('Job Control'!$B$3, INPUT_JobSettings!$A:$A, INPUT_JobSettings!$E:$E, ""),Constants!$A:$A,Constants!$D:$D),350),0.25)))))</f>
        <v/>
      </c>
      <c r="P55">
        <f>IF($A55="","",IFERROR($N55*IFERROR(XLOOKUP(XLOOKUP('Job Control'!$B$3, INPUT_JobSettings!$A:$A, INPUT_JobSettings!$C:$C, ""), Constants!$A:$A, Constants!$C:$C, 0), 0) + $O55*IFERROR(XLOOKUP(XLOOKUP('Job Control'!$B$3, INPUT_JobSettings!$A:$A, INPUT_JobSettings!$E:$E, ""), Constants!$A:$A, Constants!$C:$C, 0), 0) + $M55,0))</f>
        <v/>
      </c>
      <c r="Q55" s="6">
        <f>IF($A55="","", ($J55+$K55+$L55)*$V55 )</f>
        <v/>
      </c>
      <c r="R55" s="6">
        <f>IF($A55="","", $Q55/60)</f>
        <v/>
      </c>
      <c r="S55" s="6">
        <f>IF($A55="","", $R55*IFERROR(IF(XLOOKUP('Job Control'!$B$3, INPUT_JobSettings!$A:$A, INPUT_JobSettings!$F:$F, "")&lt;&gt;"", XLOOKUP('Job Control'!$B$3, INPUT_JobSettings!$A:$A, INPUT_JobSettings!$F:$F, ""), $B$6), $B$6) + $M55)</f>
        <v/>
      </c>
      <c r="T55" s="6">
        <f>IF($A55="","", ($S55+$P55)*IFERROR(IF(XLOOKUP('Job Control'!$B$3, INPUT_JobSettings!$A:$A, INPUT_JobSettings!$G:$G, "")&lt;&gt;"", XLOOKUP('Job Control'!$B$3, INPUT_JobSettings!$A:$A, INPUT_JobSettings!$G:$G, ""), $B$7), $B$7))</f>
        <v/>
      </c>
      <c r="U55" s="6">
        <f>IF($A55="","", IFERROR(XLOOKUP($A55, INPUT_Rooms!$B:$B, INPUT_Rooms!$AI:$AI, ""), ""))</f>
        <v/>
      </c>
      <c r="V55" s="6">
        <f>IF($C55&lt;&gt;"Y",0,IF($A55="","", IF($U55="", 1, IFERROR(XLOOKUP($U55, Constants!$A$160:$A$190, Constants!$C$160:$C$190, 1), 1))))</f>
        <v/>
      </c>
      <c r="W55" s="6">
        <f>IF($C55&lt;&gt;"Y",0,IF($A55="","", ($D55*IF($U55="",0,IFERROR(XLOOKUP($U55, Constants!$A$160:$A$190, Constants!$D$160:$D$190, 0),0))) ))</f>
        <v/>
      </c>
    </row>
    <row r="56">
      <c r="A56" s="6">
        <f>IFERROR(INDEX(FILTER(INPUT_Rooms!$B$4:$B$83, INPUT_Rooms!$A$4:$A$83=$B$4, INPUT_Rooms!$O$4:$O$83="Y"), 46), "")</f>
        <v/>
      </c>
      <c r="B56" s="6">
        <f>IF(A56="","", XLOOKUP(A56, FILTER(INPUT_Rooms!$B$4:$B$83, INPUT_Rooms!$A$4:$A$83=$B$4), FILTER(INPUT_Rooms!$C$4:$C$83, INPUT_Rooms!$A$4:$A$83=$B$4), ""))</f>
        <v/>
      </c>
      <c r="C56" s="6">
        <f>IF(A56="","", "Y")</f>
        <v/>
      </c>
      <c r="D56" s="6">
        <f>IF(A56="","", XLOOKUP(A56, INPUT_Rooms!$B:$B, INPUT_Rooms!$AE:$AE, ""))</f>
        <v/>
      </c>
      <c r="E56" s="6">
        <f>IF(A56="","", XLOOKUP(A56, INPUT_Rooms!$B:$B, INPUT_Rooms!$H:$H, "")/12)</f>
        <v/>
      </c>
      <c r="F56" s="6">
        <f>IF(A56="","", LOOKUP(E56, Constants!$H$10:$H$40, Constants!$I$10:$I$40))</f>
        <v/>
      </c>
      <c r="G56" s="6">
        <f>IF(A56="","", XLOOKUP(A56, INPUT_Rooms!$B:$B, INPUT_Rooms!$P:$P, ""))</f>
        <v/>
      </c>
      <c r="H56" s="6">
        <f>IF(A56="","", XLOOKUP(A56, INPUT_Rooms!$B:$B, INPUT_Rooms!$Q:$Q, ""))</f>
        <v/>
      </c>
      <c r="I56" s="6">
        <f>IF(A56="","", IF(XLOOKUP(A56, INPUT_Rooms!$B:$B, INPUT_Rooms!$R:$R, "")="", $B$5, XLOOKUP(A56, INPUT_Rooms!$B:$B, INPUT_Rooms!$R:$R, "")))</f>
        <v/>
      </c>
      <c r="J56" s="6">
        <f>IF(A56="","", D56*XLOOKUP("PrepMinsPerSqft",Constants!$F$20:$F$40,Constants!$G$20:$G$40)*XLOOKUP(I56,Constants!$E$10:$E$30,Constants!$F$10:$F$30)*F56)</f>
        <v/>
      </c>
      <c r="K56" s="6">
        <f>IF(A56="","", D56*XLOOKUP("PaintMinsPerSqftPerCoat",Constants!$F$20:$F$40,Constants!$G$20:$G$40)*H56*F56)</f>
        <v/>
      </c>
      <c r="L56" s="6">
        <f>IF(A56="","", IF(G56="Full", D56*XLOOKUP("PrimerFullMinsPerSqft",Constants!$F$20:$F$40,Constants!$G$20:$G$40)*F56, IF(G56="Spot", D56*XLOOKUP("PrimerFullMinsPerSqft",Constants!$F$20:$F$40,Constants!$G$20:$G$40)*XLOOKUP("PrimerSpotFactor",Constants!$F$20:$F$40,Constants!$G$20:$G$40)*F56, 0)))</f>
        <v/>
      </c>
      <c r="M56" s="6">
        <f>IF($A56="","", IFERROR(XLOOKUP($A56, INPUT_Rooms!$B:$B, INPUT_Rooms!$S:$S, 0),0) + $W56)</f>
        <v/>
      </c>
      <c r="N56">
        <f>IF($A56="","",IF($C56&lt;&gt;"Y","",IF($D56="", "",IFERROR(CEILING( ($D56*$H56) / IFERROR(XLOOKUP(XLOOKUP('Job Control'!$B$3, INPUT_JobSettings!$A:$A, INPUT_JobSettings!$C:$C, ""), Constants!$A:$A, Constants!$D:$D, ""), ""), 0.25), ""))))</f>
        <v/>
      </c>
      <c r="O56">
        <f>IF($A56="","",IF($C56&lt;&gt;"Y",0,IF($G56="None",0,IF($D56="",0,CEILING(($D56*IF($G56="Full",1, XLOOKUP("PrimerSpotFactor",Constants!$A:$A,Constants!$B:$B,0.35))) / IFERROR(XLOOKUP(XLOOKUP('Job Control'!$B$3, INPUT_JobSettings!$A:$A, INPUT_JobSettings!$E:$E, ""),Constants!$A:$A,Constants!$D:$D),350),0.25)))))</f>
        <v/>
      </c>
      <c r="P56">
        <f>IF($A56="","",IFERROR($N56*IFERROR(XLOOKUP(XLOOKUP('Job Control'!$B$3, INPUT_JobSettings!$A:$A, INPUT_JobSettings!$C:$C, ""), Constants!$A:$A, Constants!$C:$C, 0), 0) + $O56*IFERROR(XLOOKUP(XLOOKUP('Job Control'!$B$3, INPUT_JobSettings!$A:$A, INPUT_JobSettings!$E:$E, ""), Constants!$A:$A, Constants!$C:$C, 0), 0) + $M56,0))</f>
        <v/>
      </c>
      <c r="Q56" s="6">
        <f>IF($A56="","", ($J56+$K56+$L56)*$V56 )</f>
        <v/>
      </c>
      <c r="R56" s="6">
        <f>IF($A56="","", $Q56/60)</f>
        <v/>
      </c>
      <c r="S56" s="6">
        <f>IF($A56="","", $R56*IFERROR(IF(XLOOKUP('Job Control'!$B$3, INPUT_JobSettings!$A:$A, INPUT_JobSettings!$F:$F, "")&lt;&gt;"", XLOOKUP('Job Control'!$B$3, INPUT_JobSettings!$A:$A, INPUT_JobSettings!$F:$F, ""), $B$6), $B$6) + $M56)</f>
        <v/>
      </c>
      <c r="T56" s="6">
        <f>IF($A56="","", ($S56+$P56)*IFERROR(IF(XLOOKUP('Job Control'!$B$3, INPUT_JobSettings!$A:$A, INPUT_JobSettings!$G:$G, "")&lt;&gt;"", XLOOKUP('Job Control'!$B$3, INPUT_JobSettings!$A:$A, INPUT_JobSettings!$G:$G, ""), $B$7), $B$7))</f>
        <v/>
      </c>
      <c r="U56" s="6">
        <f>IF($A56="","", IFERROR(XLOOKUP($A56, INPUT_Rooms!$B:$B, INPUT_Rooms!$AI:$AI, ""), ""))</f>
        <v/>
      </c>
      <c r="V56" s="6">
        <f>IF($C56&lt;&gt;"Y",0,IF($A56="","", IF($U56="", 1, IFERROR(XLOOKUP($U56, Constants!$A$160:$A$190, Constants!$C$160:$C$190, 1), 1))))</f>
        <v/>
      </c>
      <c r="W56" s="6">
        <f>IF($C56&lt;&gt;"Y",0,IF($A56="","", ($D56*IF($U56="",0,IFERROR(XLOOKUP($U56, Constants!$A$160:$A$190, Constants!$D$160:$D$190, 0),0))) ))</f>
        <v/>
      </c>
    </row>
    <row r="57">
      <c r="A57" s="6">
        <f>IFERROR(INDEX(FILTER(INPUT_Rooms!$B$4:$B$83, INPUT_Rooms!$A$4:$A$83=$B$4, INPUT_Rooms!$O$4:$O$83="Y"), 47), "")</f>
        <v/>
      </c>
      <c r="B57" s="6">
        <f>IF(A57="","", XLOOKUP(A57, FILTER(INPUT_Rooms!$B$4:$B$83, INPUT_Rooms!$A$4:$A$83=$B$4), FILTER(INPUT_Rooms!$C$4:$C$83, INPUT_Rooms!$A$4:$A$83=$B$4), ""))</f>
        <v/>
      </c>
      <c r="C57" s="6">
        <f>IF(A57="","", "Y")</f>
        <v/>
      </c>
      <c r="D57" s="6">
        <f>IF(A57="","", XLOOKUP(A57, INPUT_Rooms!$B:$B, INPUT_Rooms!$AE:$AE, ""))</f>
        <v/>
      </c>
      <c r="E57" s="6">
        <f>IF(A57="","", XLOOKUP(A57, INPUT_Rooms!$B:$B, INPUT_Rooms!$H:$H, "")/12)</f>
        <v/>
      </c>
      <c r="F57" s="6">
        <f>IF(A57="","", LOOKUP(E57, Constants!$H$10:$H$40, Constants!$I$10:$I$40))</f>
        <v/>
      </c>
      <c r="G57" s="6">
        <f>IF(A57="","", XLOOKUP(A57, INPUT_Rooms!$B:$B, INPUT_Rooms!$P:$P, ""))</f>
        <v/>
      </c>
      <c r="H57" s="6">
        <f>IF(A57="","", XLOOKUP(A57, INPUT_Rooms!$B:$B, INPUT_Rooms!$Q:$Q, ""))</f>
        <v/>
      </c>
      <c r="I57" s="6">
        <f>IF(A57="","", IF(XLOOKUP(A57, INPUT_Rooms!$B:$B, INPUT_Rooms!$R:$R, "")="", $B$5, XLOOKUP(A57, INPUT_Rooms!$B:$B, INPUT_Rooms!$R:$R, "")))</f>
        <v/>
      </c>
      <c r="J57" s="6">
        <f>IF(A57="","", D57*XLOOKUP("PrepMinsPerSqft",Constants!$F$20:$F$40,Constants!$G$20:$G$40)*XLOOKUP(I57,Constants!$E$10:$E$30,Constants!$F$10:$F$30)*F57)</f>
        <v/>
      </c>
      <c r="K57" s="6">
        <f>IF(A57="","", D57*XLOOKUP("PaintMinsPerSqftPerCoat",Constants!$F$20:$F$40,Constants!$G$20:$G$40)*H57*F57)</f>
        <v/>
      </c>
      <c r="L57" s="6">
        <f>IF(A57="","", IF(G57="Full", D57*XLOOKUP("PrimerFullMinsPerSqft",Constants!$F$20:$F$40,Constants!$G$20:$G$40)*F57, IF(G57="Spot", D57*XLOOKUP("PrimerFullMinsPerSqft",Constants!$F$20:$F$40,Constants!$G$20:$G$40)*XLOOKUP("PrimerSpotFactor",Constants!$F$20:$F$40,Constants!$G$20:$G$40)*F57, 0)))</f>
        <v/>
      </c>
      <c r="M57" s="6">
        <f>IF($A57="","", IFERROR(XLOOKUP($A57, INPUT_Rooms!$B:$B, INPUT_Rooms!$S:$S, 0),0) + $W57)</f>
        <v/>
      </c>
      <c r="N57">
        <f>IF($A57="","",IF($C57&lt;&gt;"Y","",IF($D57="", "",IFERROR(CEILING( ($D57*$H57) / IFERROR(XLOOKUP(XLOOKUP('Job Control'!$B$3, INPUT_JobSettings!$A:$A, INPUT_JobSettings!$C:$C, ""), Constants!$A:$A, Constants!$D:$D, ""), ""), 0.25), ""))))</f>
        <v/>
      </c>
      <c r="O57">
        <f>IF($A57="","",IF($C57&lt;&gt;"Y",0,IF($G57="None",0,IF($D57="",0,CEILING(($D57*IF($G57="Full",1, XLOOKUP("PrimerSpotFactor",Constants!$A:$A,Constants!$B:$B,0.35))) / IFERROR(XLOOKUP(XLOOKUP('Job Control'!$B$3, INPUT_JobSettings!$A:$A, INPUT_JobSettings!$E:$E, ""),Constants!$A:$A,Constants!$D:$D),350),0.25)))))</f>
        <v/>
      </c>
      <c r="P57">
        <f>IF($A57="","",IFERROR($N57*IFERROR(XLOOKUP(XLOOKUP('Job Control'!$B$3, INPUT_JobSettings!$A:$A, INPUT_JobSettings!$C:$C, ""), Constants!$A:$A, Constants!$C:$C, 0), 0) + $O57*IFERROR(XLOOKUP(XLOOKUP('Job Control'!$B$3, INPUT_JobSettings!$A:$A, INPUT_JobSettings!$E:$E, ""), Constants!$A:$A, Constants!$C:$C, 0), 0) + $M57,0))</f>
        <v/>
      </c>
      <c r="Q57" s="6">
        <f>IF($A57="","", ($J57+$K57+$L57)*$V57 )</f>
        <v/>
      </c>
      <c r="R57" s="6">
        <f>IF($A57="","", $Q57/60)</f>
        <v/>
      </c>
      <c r="S57" s="6">
        <f>IF($A57="","", $R57*IFERROR(IF(XLOOKUP('Job Control'!$B$3, INPUT_JobSettings!$A:$A, INPUT_JobSettings!$F:$F, "")&lt;&gt;"", XLOOKUP('Job Control'!$B$3, INPUT_JobSettings!$A:$A, INPUT_JobSettings!$F:$F, ""), $B$6), $B$6) + $M57)</f>
        <v/>
      </c>
      <c r="T57" s="6">
        <f>IF($A57="","", ($S57+$P57)*IFERROR(IF(XLOOKUP('Job Control'!$B$3, INPUT_JobSettings!$A:$A, INPUT_JobSettings!$G:$G, "")&lt;&gt;"", XLOOKUP('Job Control'!$B$3, INPUT_JobSettings!$A:$A, INPUT_JobSettings!$G:$G, ""), $B$7), $B$7))</f>
        <v/>
      </c>
      <c r="U57" s="6">
        <f>IF($A57="","", IFERROR(XLOOKUP($A57, INPUT_Rooms!$B:$B, INPUT_Rooms!$AI:$AI, ""), ""))</f>
        <v/>
      </c>
      <c r="V57" s="6">
        <f>IF($C57&lt;&gt;"Y",0,IF($A57="","", IF($U57="", 1, IFERROR(XLOOKUP($U57, Constants!$A$160:$A$190, Constants!$C$160:$C$190, 1), 1))))</f>
        <v/>
      </c>
      <c r="W57" s="6">
        <f>IF($C57&lt;&gt;"Y",0,IF($A57="","", ($D57*IF($U57="",0,IFERROR(XLOOKUP($U57, Constants!$A$160:$A$190, Constants!$D$160:$D$190, 0),0))) ))</f>
        <v/>
      </c>
    </row>
    <row r="58">
      <c r="A58" s="6">
        <f>IFERROR(INDEX(FILTER(INPUT_Rooms!$B$4:$B$83, INPUT_Rooms!$A$4:$A$83=$B$4, INPUT_Rooms!$O$4:$O$83="Y"), 48), "")</f>
        <v/>
      </c>
      <c r="B58" s="6">
        <f>IF(A58="","", XLOOKUP(A58, FILTER(INPUT_Rooms!$B$4:$B$83, INPUT_Rooms!$A$4:$A$83=$B$4), FILTER(INPUT_Rooms!$C$4:$C$83, INPUT_Rooms!$A$4:$A$83=$B$4), ""))</f>
        <v/>
      </c>
      <c r="C58" s="6">
        <f>IF(A58="","", "Y")</f>
        <v/>
      </c>
      <c r="D58" s="6">
        <f>IF(A58="","", XLOOKUP(A58, INPUT_Rooms!$B:$B, INPUT_Rooms!$AE:$AE, ""))</f>
        <v/>
      </c>
      <c r="E58" s="6">
        <f>IF(A58="","", XLOOKUP(A58, INPUT_Rooms!$B:$B, INPUT_Rooms!$H:$H, "")/12)</f>
        <v/>
      </c>
      <c r="F58" s="6">
        <f>IF(A58="","", LOOKUP(E58, Constants!$H$10:$H$40, Constants!$I$10:$I$40))</f>
        <v/>
      </c>
      <c r="G58" s="6">
        <f>IF(A58="","", XLOOKUP(A58, INPUT_Rooms!$B:$B, INPUT_Rooms!$P:$P, ""))</f>
        <v/>
      </c>
      <c r="H58" s="6">
        <f>IF(A58="","", XLOOKUP(A58, INPUT_Rooms!$B:$B, INPUT_Rooms!$Q:$Q, ""))</f>
        <v/>
      </c>
      <c r="I58" s="6">
        <f>IF(A58="","", IF(XLOOKUP(A58, INPUT_Rooms!$B:$B, INPUT_Rooms!$R:$R, "")="", $B$5, XLOOKUP(A58, INPUT_Rooms!$B:$B, INPUT_Rooms!$R:$R, "")))</f>
        <v/>
      </c>
      <c r="J58" s="6">
        <f>IF(A58="","", D58*XLOOKUP("PrepMinsPerSqft",Constants!$F$20:$F$40,Constants!$G$20:$G$40)*XLOOKUP(I58,Constants!$E$10:$E$30,Constants!$F$10:$F$30)*F58)</f>
        <v/>
      </c>
      <c r="K58" s="6">
        <f>IF(A58="","", D58*XLOOKUP("PaintMinsPerSqftPerCoat",Constants!$F$20:$F$40,Constants!$G$20:$G$40)*H58*F58)</f>
        <v/>
      </c>
      <c r="L58" s="6">
        <f>IF(A58="","", IF(G58="Full", D58*XLOOKUP("PrimerFullMinsPerSqft",Constants!$F$20:$F$40,Constants!$G$20:$G$40)*F58, IF(G58="Spot", D58*XLOOKUP("PrimerFullMinsPerSqft",Constants!$F$20:$F$40,Constants!$G$20:$G$40)*XLOOKUP("PrimerSpotFactor",Constants!$F$20:$F$40,Constants!$G$20:$G$40)*F58, 0)))</f>
        <v/>
      </c>
      <c r="M58" s="6">
        <f>IF($A58="","", IFERROR(XLOOKUP($A58, INPUT_Rooms!$B:$B, INPUT_Rooms!$S:$S, 0),0) + $W58)</f>
        <v/>
      </c>
      <c r="N58">
        <f>IF($A58="","",IF($C58&lt;&gt;"Y","",IF($D58="", "",IFERROR(CEILING( ($D58*$H58) / IFERROR(XLOOKUP(XLOOKUP('Job Control'!$B$3, INPUT_JobSettings!$A:$A, INPUT_JobSettings!$C:$C, ""), Constants!$A:$A, Constants!$D:$D, ""), ""), 0.25), ""))))</f>
        <v/>
      </c>
      <c r="O58">
        <f>IF($A58="","",IF($C58&lt;&gt;"Y",0,IF($G58="None",0,IF($D58="",0,CEILING(($D58*IF($G58="Full",1, XLOOKUP("PrimerSpotFactor",Constants!$A:$A,Constants!$B:$B,0.35))) / IFERROR(XLOOKUP(XLOOKUP('Job Control'!$B$3, INPUT_JobSettings!$A:$A, INPUT_JobSettings!$E:$E, ""),Constants!$A:$A,Constants!$D:$D),350),0.25)))))</f>
        <v/>
      </c>
      <c r="P58">
        <f>IF($A58="","",IFERROR($N58*IFERROR(XLOOKUP(XLOOKUP('Job Control'!$B$3, INPUT_JobSettings!$A:$A, INPUT_JobSettings!$C:$C, ""), Constants!$A:$A, Constants!$C:$C, 0), 0) + $O58*IFERROR(XLOOKUP(XLOOKUP('Job Control'!$B$3, INPUT_JobSettings!$A:$A, INPUT_JobSettings!$E:$E, ""), Constants!$A:$A, Constants!$C:$C, 0), 0) + $M58,0))</f>
        <v/>
      </c>
      <c r="Q58" s="6">
        <f>IF($A58="","", ($J58+$K58+$L58)*$V58 )</f>
        <v/>
      </c>
      <c r="R58" s="6">
        <f>IF($A58="","", $Q58/60)</f>
        <v/>
      </c>
      <c r="S58" s="6">
        <f>IF($A58="","", $R58*IFERROR(IF(XLOOKUP('Job Control'!$B$3, INPUT_JobSettings!$A:$A, INPUT_JobSettings!$F:$F, "")&lt;&gt;"", XLOOKUP('Job Control'!$B$3, INPUT_JobSettings!$A:$A, INPUT_JobSettings!$F:$F, ""), $B$6), $B$6) + $M58)</f>
        <v/>
      </c>
      <c r="T58" s="6">
        <f>IF($A58="","", ($S58+$P58)*IFERROR(IF(XLOOKUP('Job Control'!$B$3, INPUT_JobSettings!$A:$A, INPUT_JobSettings!$G:$G, "")&lt;&gt;"", XLOOKUP('Job Control'!$B$3, INPUT_JobSettings!$A:$A, INPUT_JobSettings!$G:$G, ""), $B$7), $B$7))</f>
        <v/>
      </c>
      <c r="U58" s="6">
        <f>IF($A58="","", IFERROR(XLOOKUP($A58, INPUT_Rooms!$B:$B, INPUT_Rooms!$AI:$AI, ""), ""))</f>
        <v/>
      </c>
      <c r="V58" s="6">
        <f>IF($C58&lt;&gt;"Y",0,IF($A58="","", IF($U58="", 1, IFERROR(XLOOKUP($U58, Constants!$A$160:$A$190, Constants!$C$160:$C$190, 1), 1))))</f>
        <v/>
      </c>
      <c r="W58" s="6">
        <f>IF($C58&lt;&gt;"Y",0,IF($A58="","", ($D58*IF($U58="",0,IFERROR(XLOOKUP($U58, Constants!$A$160:$A$190, Constants!$D$160:$D$190, 0),0))) ))</f>
        <v/>
      </c>
    </row>
    <row r="59">
      <c r="A59" s="6">
        <f>IFERROR(INDEX(FILTER(INPUT_Rooms!$B$4:$B$83, INPUT_Rooms!$A$4:$A$83=$B$4, INPUT_Rooms!$O$4:$O$83="Y"), 49), "")</f>
        <v/>
      </c>
      <c r="B59" s="6">
        <f>IF(A59="","", XLOOKUP(A59, FILTER(INPUT_Rooms!$B$4:$B$83, INPUT_Rooms!$A$4:$A$83=$B$4), FILTER(INPUT_Rooms!$C$4:$C$83, INPUT_Rooms!$A$4:$A$83=$B$4), ""))</f>
        <v/>
      </c>
      <c r="C59" s="6">
        <f>IF(A59="","", "Y")</f>
        <v/>
      </c>
      <c r="D59" s="6">
        <f>IF(A59="","", XLOOKUP(A59, INPUT_Rooms!$B:$B, INPUT_Rooms!$AE:$AE, ""))</f>
        <v/>
      </c>
      <c r="E59" s="6">
        <f>IF(A59="","", XLOOKUP(A59, INPUT_Rooms!$B:$B, INPUT_Rooms!$H:$H, "")/12)</f>
        <v/>
      </c>
      <c r="F59" s="6">
        <f>IF(A59="","", LOOKUP(E59, Constants!$H$10:$H$40, Constants!$I$10:$I$40))</f>
        <v/>
      </c>
      <c r="G59" s="6">
        <f>IF(A59="","", XLOOKUP(A59, INPUT_Rooms!$B:$B, INPUT_Rooms!$P:$P, ""))</f>
        <v/>
      </c>
      <c r="H59" s="6">
        <f>IF(A59="","", XLOOKUP(A59, INPUT_Rooms!$B:$B, INPUT_Rooms!$Q:$Q, ""))</f>
        <v/>
      </c>
      <c r="I59" s="6">
        <f>IF(A59="","", IF(XLOOKUP(A59, INPUT_Rooms!$B:$B, INPUT_Rooms!$R:$R, "")="", $B$5, XLOOKUP(A59, INPUT_Rooms!$B:$B, INPUT_Rooms!$R:$R, "")))</f>
        <v/>
      </c>
      <c r="J59" s="6">
        <f>IF(A59="","", D59*XLOOKUP("PrepMinsPerSqft",Constants!$F$20:$F$40,Constants!$G$20:$G$40)*XLOOKUP(I59,Constants!$E$10:$E$30,Constants!$F$10:$F$30)*F59)</f>
        <v/>
      </c>
      <c r="K59" s="6">
        <f>IF(A59="","", D59*XLOOKUP("PaintMinsPerSqftPerCoat",Constants!$F$20:$F$40,Constants!$G$20:$G$40)*H59*F59)</f>
        <v/>
      </c>
      <c r="L59" s="6">
        <f>IF(A59="","", IF(G59="Full", D59*XLOOKUP("PrimerFullMinsPerSqft",Constants!$F$20:$F$40,Constants!$G$20:$G$40)*F59, IF(G59="Spot", D59*XLOOKUP("PrimerFullMinsPerSqft",Constants!$F$20:$F$40,Constants!$G$20:$G$40)*XLOOKUP("PrimerSpotFactor",Constants!$F$20:$F$40,Constants!$G$20:$G$40)*F59, 0)))</f>
        <v/>
      </c>
      <c r="M59" s="6">
        <f>IF($A59="","", IFERROR(XLOOKUP($A59, INPUT_Rooms!$B:$B, INPUT_Rooms!$S:$S, 0),0) + $W59)</f>
        <v/>
      </c>
      <c r="N59">
        <f>IF($A59="","",IF($C59&lt;&gt;"Y","",IF($D59="", "",IFERROR(CEILING( ($D59*$H59) / IFERROR(XLOOKUP(XLOOKUP('Job Control'!$B$3, INPUT_JobSettings!$A:$A, INPUT_JobSettings!$C:$C, ""), Constants!$A:$A, Constants!$D:$D, ""), ""), 0.25), ""))))</f>
        <v/>
      </c>
      <c r="O59">
        <f>IF($A59="","",IF($C59&lt;&gt;"Y",0,IF($G59="None",0,IF($D59="",0,CEILING(($D59*IF($G59="Full",1, XLOOKUP("PrimerSpotFactor",Constants!$A:$A,Constants!$B:$B,0.35))) / IFERROR(XLOOKUP(XLOOKUP('Job Control'!$B$3, INPUT_JobSettings!$A:$A, INPUT_JobSettings!$E:$E, ""),Constants!$A:$A,Constants!$D:$D),350),0.25)))))</f>
        <v/>
      </c>
      <c r="P59">
        <f>IF($A59="","",IFERROR($N59*IFERROR(XLOOKUP(XLOOKUP('Job Control'!$B$3, INPUT_JobSettings!$A:$A, INPUT_JobSettings!$C:$C, ""), Constants!$A:$A, Constants!$C:$C, 0), 0) + $O59*IFERROR(XLOOKUP(XLOOKUP('Job Control'!$B$3, INPUT_JobSettings!$A:$A, INPUT_JobSettings!$E:$E, ""), Constants!$A:$A, Constants!$C:$C, 0), 0) + $M59,0))</f>
        <v/>
      </c>
      <c r="Q59" s="6">
        <f>IF($A59="","", ($J59+$K59+$L59)*$V59 )</f>
        <v/>
      </c>
      <c r="R59" s="6">
        <f>IF($A59="","", $Q59/60)</f>
        <v/>
      </c>
      <c r="S59" s="6">
        <f>IF($A59="","", $R59*IFERROR(IF(XLOOKUP('Job Control'!$B$3, INPUT_JobSettings!$A:$A, INPUT_JobSettings!$F:$F, "")&lt;&gt;"", XLOOKUP('Job Control'!$B$3, INPUT_JobSettings!$A:$A, INPUT_JobSettings!$F:$F, ""), $B$6), $B$6) + $M59)</f>
        <v/>
      </c>
      <c r="T59" s="6">
        <f>IF($A59="","", ($S59+$P59)*IFERROR(IF(XLOOKUP('Job Control'!$B$3, INPUT_JobSettings!$A:$A, INPUT_JobSettings!$G:$G, "")&lt;&gt;"", XLOOKUP('Job Control'!$B$3, INPUT_JobSettings!$A:$A, INPUT_JobSettings!$G:$G, ""), $B$7), $B$7))</f>
        <v/>
      </c>
      <c r="U59" s="6">
        <f>IF($A59="","", IFERROR(XLOOKUP($A59, INPUT_Rooms!$B:$B, INPUT_Rooms!$AI:$AI, ""), ""))</f>
        <v/>
      </c>
      <c r="V59" s="6">
        <f>IF($C59&lt;&gt;"Y",0,IF($A59="","", IF($U59="", 1, IFERROR(XLOOKUP($U59, Constants!$A$160:$A$190, Constants!$C$160:$C$190, 1), 1))))</f>
        <v/>
      </c>
      <c r="W59" s="6">
        <f>IF($C59&lt;&gt;"Y",0,IF($A59="","", ($D59*IF($U59="",0,IFERROR(XLOOKUP($U59, Constants!$A$160:$A$190, Constants!$D$160:$D$190, 0),0))) ))</f>
        <v/>
      </c>
    </row>
    <row r="60">
      <c r="A60" s="6">
        <f>IFERROR(INDEX(FILTER(INPUT_Rooms!$B$4:$B$83, INPUT_Rooms!$A$4:$A$83=$B$4, INPUT_Rooms!$O$4:$O$83="Y"), 50), "")</f>
        <v/>
      </c>
      <c r="B60" s="6">
        <f>IF(A60="","", XLOOKUP(A60, FILTER(INPUT_Rooms!$B$4:$B$83, INPUT_Rooms!$A$4:$A$83=$B$4), FILTER(INPUT_Rooms!$C$4:$C$83, INPUT_Rooms!$A$4:$A$83=$B$4), ""))</f>
        <v/>
      </c>
      <c r="C60" s="6">
        <f>IF(A60="","", "Y")</f>
        <v/>
      </c>
      <c r="D60" s="6">
        <f>IF(A60="","", XLOOKUP(A60, INPUT_Rooms!$B:$B, INPUT_Rooms!$AE:$AE, ""))</f>
        <v/>
      </c>
      <c r="E60" s="6">
        <f>IF(A60="","", XLOOKUP(A60, INPUT_Rooms!$B:$B, INPUT_Rooms!$H:$H, "")/12)</f>
        <v/>
      </c>
      <c r="F60" s="6">
        <f>IF(A60="","", LOOKUP(E60, Constants!$H$10:$H$40, Constants!$I$10:$I$40))</f>
        <v/>
      </c>
      <c r="G60" s="6">
        <f>IF(A60="","", XLOOKUP(A60, INPUT_Rooms!$B:$B, INPUT_Rooms!$P:$P, ""))</f>
        <v/>
      </c>
      <c r="H60" s="6">
        <f>IF(A60="","", XLOOKUP(A60, INPUT_Rooms!$B:$B, INPUT_Rooms!$Q:$Q, ""))</f>
        <v/>
      </c>
      <c r="I60" s="6">
        <f>IF(A60="","", IF(XLOOKUP(A60, INPUT_Rooms!$B:$B, INPUT_Rooms!$R:$R, "")="", $B$5, XLOOKUP(A60, INPUT_Rooms!$B:$B, INPUT_Rooms!$R:$R, "")))</f>
        <v/>
      </c>
      <c r="J60" s="6">
        <f>IF(A60="","", D60*XLOOKUP("PrepMinsPerSqft",Constants!$F$20:$F$40,Constants!$G$20:$G$40)*XLOOKUP(I60,Constants!$E$10:$E$30,Constants!$F$10:$F$30)*F60)</f>
        <v/>
      </c>
      <c r="K60" s="6">
        <f>IF(A60="","", D60*XLOOKUP("PaintMinsPerSqftPerCoat",Constants!$F$20:$F$40,Constants!$G$20:$G$40)*H60*F60)</f>
        <v/>
      </c>
      <c r="L60" s="6">
        <f>IF(A60="","", IF(G60="Full", D60*XLOOKUP("PrimerFullMinsPerSqft",Constants!$F$20:$F$40,Constants!$G$20:$G$40)*F60, IF(G60="Spot", D60*XLOOKUP("PrimerFullMinsPerSqft",Constants!$F$20:$F$40,Constants!$G$20:$G$40)*XLOOKUP("PrimerSpotFactor",Constants!$F$20:$F$40,Constants!$G$20:$G$40)*F60, 0)))</f>
        <v/>
      </c>
      <c r="M60" s="6">
        <f>IF($A60="","", IFERROR(XLOOKUP($A60, INPUT_Rooms!$B:$B, INPUT_Rooms!$S:$S, 0),0) + $W60)</f>
        <v/>
      </c>
      <c r="N60">
        <f>IF($A60="","",IF($C60&lt;&gt;"Y","",IF($D60="", "",IFERROR(CEILING( ($D60*$H60) / IFERROR(XLOOKUP(XLOOKUP('Job Control'!$B$3, INPUT_JobSettings!$A:$A, INPUT_JobSettings!$C:$C, ""), Constants!$A:$A, Constants!$D:$D, ""), ""), 0.25), ""))))</f>
        <v/>
      </c>
      <c r="O60">
        <f>IF($A60="","",IF($C60&lt;&gt;"Y",0,IF($G60="None",0,IF($D60="",0,CEILING(($D60*IF($G60="Full",1, XLOOKUP("PrimerSpotFactor",Constants!$A:$A,Constants!$B:$B,0.35))) / IFERROR(XLOOKUP(XLOOKUP('Job Control'!$B$3, INPUT_JobSettings!$A:$A, INPUT_JobSettings!$E:$E, ""),Constants!$A:$A,Constants!$D:$D),350),0.25)))))</f>
        <v/>
      </c>
      <c r="P60">
        <f>IF($A60="","",IFERROR($N60*IFERROR(XLOOKUP(XLOOKUP('Job Control'!$B$3, INPUT_JobSettings!$A:$A, INPUT_JobSettings!$C:$C, ""), Constants!$A:$A, Constants!$C:$C, 0), 0) + $O60*IFERROR(XLOOKUP(XLOOKUP('Job Control'!$B$3, INPUT_JobSettings!$A:$A, INPUT_JobSettings!$E:$E, ""), Constants!$A:$A, Constants!$C:$C, 0), 0) + $M60,0))</f>
        <v/>
      </c>
      <c r="Q60" s="6">
        <f>IF($A60="","", ($J60+$K60+$L60)*$V60 )</f>
        <v/>
      </c>
      <c r="R60" s="6">
        <f>IF($A60="","", $Q60/60)</f>
        <v/>
      </c>
      <c r="S60" s="6">
        <f>IF($A60="","", $R60*IFERROR(IF(XLOOKUP('Job Control'!$B$3, INPUT_JobSettings!$A:$A, INPUT_JobSettings!$F:$F, "")&lt;&gt;"", XLOOKUP('Job Control'!$B$3, INPUT_JobSettings!$A:$A, INPUT_JobSettings!$F:$F, ""), $B$6), $B$6) + $M60)</f>
        <v/>
      </c>
      <c r="T60" s="6">
        <f>IF($A60="","", ($S60+$P60)*IFERROR(IF(XLOOKUP('Job Control'!$B$3, INPUT_JobSettings!$A:$A, INPUT_JobSettings!$G:$G, "")&lt;&gt;"", XLOOKUP('Job Control'!$B$3, INPUT_JobSettings!$A:$A, INPUT_JobSettings!$G:$G, ""), $B$7), $B$7))</f>
        <v/>
      </c>
      <c r="U60" s="6">
        <f>IF($A60="","", IFERROR(XLOOKUP($A60, INPUT_Rooms!$B:$B, INPUT_Rooms!$AI:$AI, ""), ""))</f>
        <v/>
      </c>
      <c r="V60" s="6">
        <f>IF($C60&lt;&gt;"Y",0,IF($A60="","", IF($U60="", 1, IFERROR(XLOOKUP($U60, Constants!$A$160:$A$190, Constants!$C$160:$C$190, 1), 1))))</f>
        <v/>
      </c>
      <c r="W60" s="6">
        <f>IF($C60&lt;&gt;"Y",0,IF($A60="","", ($D60*IF($U60="",0,IFERROR(XLOOKUP($U60, Constants!$A$160:$A$190, Constants!$D$160:$D$190, 0),0))) ))</f>
        <v/>
      </c>
    </row>
    <row r="61">
      <c r="A61" s="6">
        <f>IFERROR(INDEX(FILTER(INPUT_Rooms!$B$4:$B$83, INPUT_Rooms!$A$4:$A$83=$B$4, INPUT_Rooms!$O$4:$O$83="Y"), 51), "")</f>
        <v/>
      </c>
      <c r="B61" s="6">
        <f>IF(A61="","", XLOOKUP(A61, FILTER(INPUT_Rooms!$B$4:$B$83, INPUT_Rooms!$A$4:$A$83=$B$4), FILTER(INPUT_Rooms!$C$4:$C$83, INPUT_Rooms!$A$4:$A$83=$B$4), ""))</f>
        <v/>
      </c>
      <c r="C61" s="6">
        <f>IF(A61="","", "Y")</f>
        <v/>
      </c>
      <c r="D61" s="6">
        <f>IF(A61="","", XLOOKUP(A61, INPUT_Rooms!$B:$B, INPUT_Rooms!$AE:$AE, ""))</f>
        <v/>
      </c>
      <c r="E61" s="6">
        <f>IF(A61="","", XLOOKUP(A61, INPUT_Rooms!$B:$B, INPUT_Rooms!$H:$H, "")/12)</f>
        <v/>
      </c>
      <c r="F61" s="6">
        <f>IF(A61="","", LOOKUP(E61, Constants!$H$10:$H$40, Constants!$I$10:$I$40))</f>
        <v/>
      </c>
      <c r="G61" s="6">
        <f>IF(A61="","", XLOOKUP(A61, INPUT_Rooms!$B:$B, INPUT_Rooms!$P:$P, ""))</f>
        <v/>
      </c>
      <c r="H61" s="6">
        <f>IF(A61="","", XLOOKUP(A61, INPUT_Rooms!$B:$B, INPUT_Rooms!$Q:$Q, ""))</f>
        <v/>
      </c>
      <c r="I61" s="6">
        <f>IF(A61="","", IF(XLOOKUP(A61, INPUT_Rooms!$B:$B, INPUT_Rooms!$R:$R, "")="", $B$5, XLOOKUP(A61, INPUT_Rooms!$B:$B, INPUT_Rooms!$R:$R, "")))</f>
        <v/>
      </c>
      <c r="J61" s="6">
        <f>IF(A61="","", D61*XLOOKUP("PrepMinsPerSqft",Constants!$F$20:$F$40,Constants!$G$20:$G$40)*XLOOKUP(I61,Constants!$E$10:$E$30,Constants!$F$10:$F$30)*F61)</f>
        <v/>
      </c>
      <c r="K61" s="6">
        <f>IF(A61="","", D61*XLOOKUP("PaintMinsPerSqftPerCoat",Constants!$F$20:$F$40,Constants!$G$20:$G$40)*H61*F61)</f>
        <v/>
      </c>
      <c r="L61" s="6">
        <f>IF(A61="","", IF(G61="Full", D61*XLOOKUP("PrimerFullMinsPerSqft",Constants!$F$20:$F$40,Constants!$G$20:$G$40)*F61, IF(G61="Spot", D61*XLOOKUP("PrimerFullMinsPerSqft",Constants!$F$20:$F$40,Constants!$G$20:$G$40)*XLOOKUP("PrimerSpotFactor",Constants!$F$20:$F$40,Constants!$G$20:$G$40)*F61, 0)))</f>
        <v/>
      </c>
      <c r="M61" s="6">
        <f>IF($A61="","", IFERROR(XLOOKUP($A61, INPUT_Rooms!$B:$B, INPUT_Rooms!$S:$S, 0),0) + $W61)</f>
        <v/>
      </c>
      <c r="N61">
        <f>IF($A61="","",IF($C61&lt;&gt;"Y","",IF($D61="", "",IFERROR(CEILING( ($D61*$H61) / IFERROR(XLOOKUP(XLOOKUP('Job Control'!$B$3, INPUT_JobSettings!$A:$A, INPUT_JobSettings!$C:$C, ""), Constants!$A:$A, Constants!$D:$D, ""), ""), 0.25), ""))))</f>
        <v/>
      </c>
      <c r="O61">
        <f>IF($A61="","",IF($C61&lt;&gt;"Y",0,IF($G61="None",0,IF($D61="",0,CEILING(($D61*IF($G61="Full",1, XLOOKUP("PrimerSpotFactor",Constants!$A:$A,Constants!$B:$B,0.35))) / IFERROR(XLOOKUP(XLOOKUP('Job Control'!$B$3, INPUT_JobSettings!$A:$A, INPUT_JobSettings!$E:$E, ""),Constants!$A:$A,Constants!$D:$D),350),0.25)))))</f>
        <v/>
      </c>
      <c r="P61">
        <f>IF($A61="","",IFERROR($N61*IFERROR(XLOOKUP(XLOOKUP('Job Control'!$B$3, INPUT_JobSettings!$A:$A, INPUT_JobSettings!$C:$C, ""), Constants!$A:$A, Constants!$C:$C, 0), 0) + $O61*IFERROR(XLOOKUP(XLOOKUP('Job Control'!$B$3, INPUT_JobSettings!$A:$A, INPUT_JobSettings!$E:$E, ""), Constants!$A:$A, Constants!$C:$C, 0), 0) + $M61,0))</f>
        <v/>
      </c>
      <c r="Q61" s="6">
        <f>IF($A61="","", ($J61+$K61+$L61)*$V61 )</f>
        <v/>
      </c>
      <c r="R61" s="6">
        <f>IF($A61="","", $Q61/60)</f>
        <v/>
      </c>
      <c r="S61" s="6">
        <f>IF($A61="","", $R61*IFERROR(IF(XLOOKUP('Job Control'!$B$3, INPUT_JobSettings!$A:$A, INPUT_JobSettings!$F:$F, "")&lt;&gt;"", XLOOKUP('Job Control'!$B$3, INPUT_JobSettings!$A:$A, INPUT_JobSettings!$F:$F, ""), $B$6), $B$6) + $M61)</f>
        <v/>
      </c>
      <c r="T61" s="6">
        <f>IF($A61="","", ($S61+$P61)*IFERROR(IF(XLOOKUP('Job Control'!$B$3, INPUT_JobSettings!$A:$A, INPUT_JobSettings!$G:$G, "")&lt;&gt;"", XLOOKUP('Job Control'!$B$3, INPUT_JobSettings!$A:$A, INPUT_JobSettings!$G:$G, ""), $B$7), $B$7))</f>
        <v/>
      </c>
      <c r="U61" s="6">
        <f>IF($A61="","", IFERROR(XLOOKUP($A61, INPUT_Rooms!$B:$B, INPUT_Rooms!$AI:$AI, ""), ""))</f>
        <v/>
      </c>
      <c r="V61" s="6">
        <f>IF($C61&lt;&gt;"Y",0,IF($A61="","", IF($U61="", 1, IFERROR(XLOOKUP($U61, Constants!$A$160:$A$190, Constants!$C$160:$C$190, 1), 1))))</f>
        <v/>
      </c>
      <c r="W61" s="6">
        <f>IF($C61&lt;&gt;"Y",0,IF($A61="","", ($D61*IF($U61="",0,IFERROR(XLOOKUP($U61, Constants!$A$160:$A$190, Constants!$D$160:$D$190, 0),0))) ))</f>
        <v/>
      </c>
    </row>
    <row r="62">
      <c r="A62" s="6">
        <f>IFERROR(INDEX(FILTER(INPUT_Rooms!$B$4:$B$83, INPUT_Rooms!$A$4:$A$83=$B$4, INPUT_Rooms!$O$4:$O$83="Y"), 52), "")</f>
        <v/>
      </c>
      <c r="B62" s="6">
        <f>IF(A62="","", XLOOKUP(A62, FILTER(INPUT_Rooms!$B$4:$B$83, INPUT_Rooms!$A$4:$A$83=$B$4), FILTER(INPUT_Rooms!$C$4:$C$83, INPUT_Rooms!$A$4:$A$83=$B$4), ""))</f>
        <v/>
      </c>
      <c r="C62" s="6">
        <f>IF(A62="","", "Y")</f>
        <v/>
      </c>
      <c r="D62" s="6">
        <f>IF(A62="","", XLOOKUP(A62, INPUT_Rooms!$B:$B, INPUT_Rooms!$AE:$AE, ""))</f>
        <v/>
      </c>
      <c r="E62" s="6">
        <f>IF(A62="","", XLOOKUP(A62, INPUT_Rooms!$B:$B, INPUT_Rooms!$H:$H, "")/12)</f>
        <v/>
      </c>
      <c r="F62" s="6">
        <f>IF(A62="","", LOOKUP(E62, Constants!$H$10:$H$40, Constants!$I$10:$I$40))</f>
        <v/>
      </c>
      <c r="G62" s="6">
        <f>IF(A62="","", XLOOKUP(A62, INPUT_Rooms!$B:$B, INPUT_Rooms!$P:$P, ""))</f>
        <v/>
      </c>
      <c r="H62" s="6">
        <f>IF(A62="","", XLOOKUP(A62, INPUT_Rooms!$B:$B, INPUT_Rooms!$Q:$Q, ""))</f>
        <v/>
      </c>
      <c r="I62" s="6">
        <f>IF(A62="","", IF(XLOOKUP(A62, INPUT_Rooms!$B:$B, INPUT_Rooms!$R:$R, "")="", $B$5, XLOOKUP(A62, INPUT_Rooms!$B:$B, INPUT_Rooms!$R:$R, "")))</f>
        <v/>
      </c>
      <c r="J62" s="6">
        <f>IF(A62="","", D62*XLOOKUP("PrepMinsPerSqft",Constants!$F$20:$F$40,Constants!$G$20:$G$40)*XLOOKUP(I62,Constants!$E$10:$E$30,Constants!$F$10:$F$30)*F62)</f>
        <v/>
      </c>
      <c r="K62" s="6">
        <f>IF(A62="","", D62*XLOOKUP("PaintMinsPerSqftPerCoat",Constants!$F$20:$F$40,Constants!$G$20:$G$40)*H62*F62)</f>
        <v/>
      </c>
      <c r="L62" s="6">
        <f>IF(A62="","", IF(G62="Full", D62*XLOOKUP("PrimerFullMinsPerSqft",Constants!$F$20:$F$40,Constants!$G$20:$G$40)*F62, IF(G62="Spot", D62*XLOOKUP("PrimerFullMinsPerSqft",Constants!$F$20:$F$40,Constants!$G$20:$G$40)*XLOOKUP("PrimerSpotFactor",Constants!$F$20:$F$40,Constants!$G$20:$G$40)*F62, 0)))</f>
        <v/>
      </c>
      <c r="M62" s="6">
        <f>IF($A62="","", IFERROR(XLOOKUP($A62, INPUT_Rooms!$B:$B, INPUT_Rooms!$S:$S, 0),0) + $W62)</f>
        <v/>
      </c>
      <c r="N62">
        <f>IF($A62="","",IF($C62&lt;&gt;"Y","",IF($D62="", "",IFERROR(CEILING( ($D62*$H62) / IFERROR(XLOOKUP(XLOOKUP('Job Control'!$B$3, INPUT_JobSettings!$A:$A, INPUT_JobSettings!$C:$C, ""), Constants!$A:$A, Constants!$D:$D, ""), ""), 0.25), ""))))</f>
        <v/>
      </c>
      <c r="O62">
        <f>IF($A62="","",IF($C62&lt;&gt;"Y",0,IF($G62="None",0,IF($D62="",0,CEILING(($D62*IF($G62="Full",1, XLOOKUP("PrimerSpotFactor",Constants!$A:$A,Constants!$B:$B,0.35))) / IFERROR(XLOOKUP(XLOOKUP('Job Control'!$B$3, INPUT_JobSettings!$A:$A, INPUT_JobSettings!$E:$E, ""),Constants!$A:$A,Constants!$D:$D),350),0.25)))))</f>
        <v/>
      </c>
      <c r="P62">
        <f>IF($A62="","",IFERROR($N62*IFERROR(XLOOKUP(XLOOKUP('Job Control'!$B$3, INPUT_JobSettings!$A:$A, INPUT_JobSettings!$C:$C, ""), Constants!$A:$A, Constants!$C:$C, 0), 0) + $O62*IFERROR(XLOOKUP(XLOOKUP('Job Control'!$B$3, INPUT_JobSettings!$A:$A, INPUT_JobSettings!$E:$E, ""), Constants!$A:$A, Constants!$C:$C, 0), 0) + $M62,0))</f>
        <v/>
      </c>
      <c r="Q62" s="6">
        <f>IF($A62="","", ($J62+$K62+$L62)*$V62 )</f>
        <v/>
      </c>
      <c r="R62" s="6">
        <f>IF($A62="","", $Q62/60)</f>
        <v/>
      </c>
      <c r="S62" s="6">
        <f>IF($A62="","", $R62*IFERROR(IF(XLOOKUP('Job Control'!$B$3, INPUT_JobSettings!$A:$A, INPUT_JobSettings!$F:$F, "")&lt;&gt;"", XLOOKUP('Job Control'!$B$3, INPUT_JobSettings!$A:$A, INPUT_JobSettings!$F:$F, ""), $B$6), $B$6) + $M62)</f>
        <v/>
      </c>
      <c r="T62" s="6">
        <f>IF($A62="","", ($S62+$P62)*IFERROR(IF(XLOOKUP('Job Control'!$B$3, INPUT_JobSettings!$A:$A, INPUT_JobSettings!$G:$G, "")&lt;&gt;"", XLOOKUP('Job Control'!$B$3, INPUT_JobSettings!$A:$A, INPUT_JobSettings!$G:$G, ""), $B$7), $B$7))</f>
        <v/>
      </c>
      <c r="U62" s="6">
        <f>IF($A62="","", IFERROR(XLOOKUP($A62, INPUT_Rooms!$B:$B, INPUT_Rooms!$AI:$AI, ""), ""))</f>
        <v/>
      </c>
      <c r="V62" s="6">
        <f>IF($C62&lt;&gt;"Y",0,IF($A62="","", IF($U62="", 1, IFERROR(XLOOKUP($U62, Constants!$A$160:$A$190, Constants!$C$160:$C$190, 1), 1))))</f>
        <v/>
      </c>
      <c r="W62" s="6">
        <f>IF($C62&lt;&gt;"Y",0,IF($A62="","", ($D62*IF($U62="",0,IFERROR(XLOOKUP($U62, Constants!$A$160:$A$190, Constants!$D$160:$D$190, 0),0))) ))</f>
        <v/>
      </c>
    </row>
    <row r="63">
      <c r="A63" s="6">
        <f>IFERROR(INDEX(FILTER(INPUT_Rooms!$B$4:$B$83, INPUT_Rooms!$A$4:$A$83=$B$4, INPUT_Rooms!$O$4:$O$83="Y"), 53), "")</f>
        <v/>
      </c>
      <c r="B63" s="6">
        <f>IF(A63="","", XLOOKUP(A63, FILTER(INPUT_Rooms!$B$4:$B$83, INPUT_Rooms!$A$4:$A$83=$B$4), FILTER(INPUT_Rooms!$C$4:$C$83, INPUT_Rooms!$A$4:$A$83=$B$4), ""))</f>
        <v/>
      </c>
      <c r="C63" s="6">
        <f>IF(A63="","", "Y")</f>
        <v/>
      </c>
      <c r="D63" s="6">
        <f>IF(A63="","", XLOOKUP(A63, INPUT_Rooms!$B:$B, INPUT_Rooms!$AE:$AE, ""))</f>
        <v/>
      </c>
      <c r="E63" s="6">
        <f>IF(A63="","", XLOOKUP(A63, INPUT_Rooms!$B:$B, INPUT_Rooms!$H:$H, "")/12)</f>
        <v/>
      </c>
      <c r="F63" s="6">
        <f>IF(A63="","", LOOKUP(E63, Constants!$H$10:$H$40, Constants!$I$10:$I$40))</f>
        <v/>
      </c>
      <c r="G63" s="6">
        <f>IF(A63="","", XLOOKUP(A63, INPUT_Rooms!$B:$B, INPUT_Rooms!$P:$P, ""))</f>
        <v/>
      </c>
      <c r="H63" s="6">
        <f>IF(A63="","", XLOOKUP(A63, INPUT_Rooms!$B:$B, INPUT_Rooms!$Q:$Q, ""))</f>
        <v/>
      </c>
      <c r="I63" s="6">
        <f>IF(A63="","", IF(XLOOKUP(A63, INPUT_Rooms!$B:$B, INPUT_Rooms!$R:$R, "")="", $B$5, XLOOKUP(A63, INPUT_Rooms!$B:$B, INPUT_Rooms!$R:$R, "")))</f>
        <v/>
      </c>
      <c r="J63" s="6">
        <f>IF(A63="","", D63*XLOOKUP("PrepMinsPerSqft",Constants!$F$20:$F$40,Constants!$G$20:$G$40)*XLOOKUP(I63,Constants!$E$10:$E$30,Constants!$F$10:$F$30)*F63)</f>
        <v/>
      </c>
      <c r="K63" s="6">
        <f>IF(A63="","", D63*XLOOKUP("PaintMinsPerSqftPerCoat",Constants!$F$20:$F$40,Constants!$G$20:$G$40)*H63*F63)</f>
        <v/>
      </c>
      <c r="L63" s="6">
        <f>IF(A63="","", IF(G63="Full", D63*XLOOKUP("PrimerFullMinsPerSqft",Constants!$F$20:$F$40,Constants!$G$20:$G$40)*F63, IF(G63="Spot", D63*XLOOKUP("PrimerFullMinsPerSqft",Constants!$F$20:$F$40,Constants!$G$20:$G$40)*XLOOKUP("PrimerSpotFactor",Constants!$F$20:$F$40,Constants!$G$20:$G$40)*F63, 0)))</f>
        <v/>
      </c>
      <c r="M63" s="6">
        <f>IF($A63="","", IFERROR(XLOOKUP($A63, INPUT_Rooms!$B:$B, INPUT_Rooms!$S:$S, 0),0) + $W63)</f>
        <v/>
      </c>
      <c r="N63">
        <f>IF($A63="","",IF($C63&lt;&gt;"Y","",IF($D63="", "",IFERROR(CEILING( ($D63*$H63) / IFERROR(XLOOKUP(XLOOKUP('Job Control'!$B$3, INPUT_JobSettings!$A:$A, INPUT_JobSettings!$C:$C, ""), Constants!$A:$A, Constants!$D:$D, ""), ""), 0.25), ""))))</f>
        <v/>
      </c>
      <c r="O63">
        <f>IF($A63="","",IF($C63&lt;&gt;"Y",0,IF($G63="None",0,IF($D63="",0,CEILING(($D63*IF($G63="Full",1, XLOOKUP("PrimerSpotFactor",Constants!$A:$A,Constants!$B:$B,0.35))) / IFERROR(XLOOKUP(XLOOKUP('Job Control'!$B$3, INPUT_JobSettings!$A:$A, INPUT_JobSettings!$E:$E, ""),Constants!$A:$A,Constants!$D:$D),350),0.25)))))</f>
        <v/>
      </c>
      <c r="P63">
        <f>IF($A63="","",IFERROR($N63*IFERROR(XLOOKUP(XLOOKUP('Job Control'!$B$3, INPUT_JobSettings!$A:$A, INPUT_JobSettings!$C:$C, ""), Constants!$A:$A, Constants!$C:$C, 0), 0) + $O63*IFERROR(XLOOKUP(XLOOKUP('Job Control'!$B$3, INPUT_JobSettings!$A:$A, INPUT_JobSettings!$E:$E, ""), Constants!$A:$A, Constants!$C:$C, 0), 0) + $M63,0))</f>
        <v/>
      </c>
      <c r="Q63" s="6">
        <f>IF($A63="","", ($J63+$K63+$L63)*$V63 )</f>
        <v/>
      </c>
      <c r="R63" s="6">
        <f>IF($A63="","", $Q63/60)</f>
        <v/>
      </c>
      <c r="S63" s="6">
        <f>IF($A63="","", $R63*IFERROR(IF(XLOOKUP('Job Control'!$B$3, INPUT_JobSettings!$A:$A, INPUT_JobSettings!$F:$F, "")&lt;&gt;"", XLOOKUP('Job Control'!$B$3, INPUT_JobSettings!$A:$A, INPUT_JobSettings!$F:$F, ""), $B$6), $B$6) + $M63)</f>
        <v/>
      </c>
      <c r="T63" s="6">
        <f>IF($A63="","", ($S63+$P63)*IFERROR(IF(XLOOKUP('Job Control'!$B$3, INPUT_JobSettings!$A:$A, INPUT_JobSettings!$G:$G, "")&lt;&gt;"", XLOOKUP('Job Control'!$B$3, INPUT_JobSettings!$A:$A, INPUT_JobSettings!$G:$G, ""), $B$7), $B$7))</f>
        <v/>
      </c>
      <c r="U63" s="6">
        <f>IF($A63="","", IFERROR(XLOOKUP($A63, INPUT_Rooms!$B:$B, INPUT_Rooms!$AI:$AI, ""), ""))</f>
        <v/>
      </c>
      <c r="V63" s="6">
        <f>IF($C63&lt;&gt;"Y",0,IF($A63="","", IF($U63="", 1, IFERROR(XLOOKUP($U63, Constants!$A$160:$A$190, Constants!$C$160:$C$190, 1), 1))))</f>
        <v/>
      </c>
      <c r="W63" s="6">
        <f>IF($C63&lt;&gt;"Y",0,IF($A63="","", ($D63*IF($U63="",0,IFERROR(XLOOKUP($U63, Constants!$A$160:$A$190, Constants!$D$160:$D$190, 0),0))) ))</f>
        <v/>
      </c>
    </row>
    <row r="64">
      <c r="A64" s="6">
        <f>IFERROR(INDEX(FILTER(INPUT_Rooms!$B$4:$B$83, INPUT_Rooms!$A$4:$A$83=$B$4, INPUT_Rooms!$O$4:$O$83="Y"), 54), "")</f>
        <v/>
      </c>
      <c r="B64" s="6">
        <f>IF(A64="","", XLOOKUP(A64, FILTER(INPUT_Rooms!$B$4:$B$83, INPUT_Rooms!$A$4:$A$83=$B$4), FILTER(INPUT_Rooms!$C$4:$C$83, INPUT_Rooms!$A$4:$A$83=$B$4), ""))</f>
        <v/>
      </c>
      <c r="C64" s="6">
        <f>IF(A64="","", "Y")</f>
        <v/>
      </c>
      <c r="D64" s="6">
        <f>IF(A64="","", XLOOKUP(A64, INPUT_Rooms!$B:$B, INPUT_Rooms!$AE:$AE, ""))</f>
        <v/>
      </c>
      <c r="E64" s="6">
        <f>IF(A64="","", XLOOKUP(A64, INPUT_Rooms!$B:$B, INPUT_Rooms!$H:$H, "")/12)</f>
        <v/>
      </c>
      <c r="F64" s="6">
        <f>IF(A64="","", LOOKUP(E64, Constants!$H$10:$H$40, Constants!$I$10:$I$40))</f>
        <v/>
      </c>
      <c r="G64" s="6">
        <f>IF(A64="","", XLOOKUP(A64, INPUT_Rooms!$B:$B, INPUT_Rooms!$P:$P, ""))</f>
        <v/>
      </c>
      <c r="H64" s="6">
        <f>IF(A64="","", XLOOKUP(A64, INPUT_Rooms!$B:$B, INPUT_Rooms!$Q:$Q, ""))</f>
        <v/>
      </c>
      <c r="I64" s="6">
        <f>IF(A64="","", IF(XLOOKUP(A64, INPUT_Rooms!$B:$B, INPUT_Rooms!$R:$R, "")="", $B$5, XLOOKUP(A64, INPUT_Rooms!$B:$B, INPUT_Rooms!$R:$R, "")))</f>
        <v/>
      </c>
      <c r="J64" s="6">
        <f>IF(A64="","", D64*XLOOKUP("PrepMinsPerSqft",Constants!$F$20:$F$40,Constants!$G$20:$G$40)*XLOOKUP(I64,Constants!$E$10:$E$30,Constants!$F$10:$F$30)*F64)</f>
        <v/>
      </c>
      <c r="K64" s="6">
        <f>IF(A64="","", D64*XLOOKUP("PaintMinsPerSqftPerCoat",Constants!$F$20:$F$40,Constants!$G$20:$G$40)*H64*F64)</f>
        <v/>
      </c>
      <c r="L64" s="6">
        <f>IF(A64="","", IF(G64="Full", D64*XLOOKUP("PrimerFullMinsPerSqft",Constants!$F$20:$F$40,Constants!$G$20:$G$40)*F64, IF(G64="Spot", D64*XLOOKUP("PrimerFullMinsPerSqft",Constants!$F$20:$F$40,Constants!$G$20:$G$40)*XLOOKUP("PrimerSpotFactor",Constants!$F$20:$F$40,Constants!$G$20:$G$40)*F64, 0)))</f>
        <v/>
      </c>
      <c r="M64" s="6">
        <f>IF($A64="","", IFERROR(XLOOKUP($A64, INPUT_Rooms!$B:$B, INPUT_Rooms!$S:$S, 0),0) + $W64)</f>
        <v/>
      </c>
      <c r="N64">
        <f>IF($A64="","",IF($C64&lt;&gt;"Y","",IF($D64="", "",IFERROR(CEILING( ($D64*$H64) / IFERROR(XLOOKUP(XLOOKUP('Job Control'!$B$3, INPUT_JobSettings!$A:$A, INPUT_JobSettings!$C:$C, ""), Constants!$A:$A, Constants!$D:$D, ""), ""), 0.25), ""))))</f>
        <v/>
      </c>
      <c r="O64">
        <f>IF($A64="","",IF($C64&lt;&gt;"Y",0,IF($G64="None",0,IF($D64="",0,CEILING(($D64*IF($G64="Full",1, XLOOKUP("PrimerSpotFactor",Constants!$A:$A,Constants!$B:$B,0.35))) / IFERROR(XLOOKUP(XLOOKUP('Job Control'!$B$3, INPUT_JobSettings!$A:$A, INPUT_JobSettings!$E:$E, ""),Constants!$A:$A,Constants!$D:$D),350),0.25)))))</f>
        <v/>
      </c>
      <c r="P64">
        <f>IF($A64="","",IFERROR($N64*IFERROR(XLOOKUP(XLOOKUP('Job Control'!$B$3, INPUT_JobSettings!$A:$A, INPUT_JobSettings!$C:$C, ""), Constants!$A:$A, Constants!$C:$C, 0), 0) + $O64*IFERROR(XLOOKUP(XLOOKUP('Job Control'!$B$3, INPUT_JobSettings!$A:$A, INPUT_JobSettings!$E:$E, ""), Constants!$A:$A, Constants!$C:$C, 0), 0) + $M64,0))</f>
        <v/>
      </c>
      <c r="Q64" s="6">
        <f>IF($A64="","", ($J64+$K64+$L64)*$V64 )</f>
        <v/>
      </c>
      <c r="R64" s="6">
        <f>IF($A64="","", $Q64/60)</f>
        <v/>
      </c>
      <c r="S64" s="6">
        <f>IF($A64="","", $R64*IFERROR(IF(XLOOKUP('Job Control'!$B$3, INPUT_JobSettings!$A:$A, INPUT_JobSettings!$F:$F, "")&lt;&gt;"", XLOOKUP('Job Control'!$B$3, INPUT_JobSettings!$A:$A, INPUT_JobSettings!$F:$F, ""), $B$6), $B$6) + $M64)</f>
        <v/>
      </c>
      <c r="T64" s="6">
        <f>IF($A64="","", ($S64+$P64)*IFERROR(IF(XLOOKUP('Job Control'!$B$3, INPUT_JobSettings!$A:$A, INPUT_JobSettings!$G:$G, "")&lt;&gt;"", XLOOKUP('Job Control'!$B$3, INPUT_JobSettings!$A:$A, INPUT_JobSettings!$G:$G, ""), $B$7), $B$7))</f>
        <v/>
      </c>
      <c r="U64" s="6">
        <f>IF($A64="","", IFERROR(XLOOKUP($A64, INPUT_Rooms!$B:$B, INPUT_Rooms!$AI:$AI, ""), ""))</f>
        <v/>
      </c>
      <c r="V64" s="6">
        <f>IF($C64&lt;&gt;"Y",0,IF($A64="","", IF($U64="", 1, IFERROR(XLOOKUP($U64, Constants!$A$160:$A$190, Constants!$C$160:$C$190, 1), 1))))</f>
        <v/>
      </c>
      <c r="W64" s="6">
        <f>IF($C64&lt;&gt;"Y",0,IF($A64="","", ($D64*IF($U64="",0,IFERROR(XLOOKUP($U64, Constants!$A$160:$A$190, Constants!$D$160:$D$190, 0),0))) ))</f>
        <v/>
      </c>
    </row>
    <row r="65">
      <c r="A65" s="6">
        <f>IFERROR(INDEX(FILTER(INPUT_Rooms!$B$4:$B$83, INPUT_Rooms!$A$4:$A$83=$B$4, INPUT_Rooms!$O$4:$O$83="Y"), 55), "")</f>
        <v/>
      </c>
      <c r="B65" s="6">
        <f>IF(A65="","", XLOOKUP(A65, FILTER(INPUT_Rooms!$B$4:$B$83, INPUT_Rooms!$A$4:$A$83=$B$4), FILTER(INPUT_Rooms!$C$4:$C$83, INPUT_Rooms!$A$4:$A$83=$B$4), ""))</f>
        <v/>
      </c>
      <c r="C65" s="6">
        <f>IF(A65="","", "Y")</f>
        <v/>
      </c>
      <c r="D65" s="6">
        <f>IF(A65="","", XLOOKUP(A65, INPUT_Rooms!$B:$B, INPUT_Rooms!$AE:$AE, ""))</f>
        <v/>
      </c>
      <c r="E65" s="6">
        <f>IF(A65="","", XLOOKUP(A65, INPUT_Rooms!$B:$B, INPUT_Rooms!$H:$H, "")/12)</f>
        <v/>
      </c>
      <c r="F65" s="6">
        <f>IF(A65="","", LOOKUP(E65, Constants!$H$10:$H$40, Constants!$I$10:$I$40))</f>
        <v/>
      </c>
      <c r="G65" s="6">
        <f>IF(A65="","", XLOOKUP(A65, INPUT_Rooms!$B:$B, INPUT_Rooms!$P:$P, ""))</f>
        <v/>
      </c>
      <c r="H65" s="6">
        <f>IF(A65="","", XLOOKUP(A65, INPUT_Rooms!$B:$B, INPUT_Rooms!$Q:$Q, ""))</f>
        <v/>
      </c>
      <c r="I65" s="6">
        <f>IF(A65="","", IF(XLOOKUP(A65, INPUT_Rooms!$B:$B, INPUT_Rooms!$R:$R, "")="", $B$5, XLOOKUP(A65, INPUT_Rooms!$B:$B, INPUT_Rooms!$R:$R, "")))</f>
        <v/>
      </c>
      <c r="J65" s="6">
        <f>IF(A65="","", D65*XLOOKUP("PrepMinsPerSqft",Constants!$F$20:$F$40,Constants!$G$20:$G$40)*XLOOKUP(I65,Constants!$E$10:$E$30,Constants!$F$10:$F$30)*F65)</f>
        <v/>
      </c>
      <c r="K65" s="6">
        <f>IF(A65="","", D65*XLOOKUP("PaintMinsPerSqftPerCoat",Constants!$F$20:$F$40,Constants!$G$20:$G$40)*H65*F65)</f>
        <v/>
      </c>
      <c r="L65" s="6">
        <f>IF(A65="","", IF(G65="Full", D65*XLOOKUP("PrimerFullMinsPerSqft",Constants!$F$20:$F$40,Constants!$G$20:$G$40)*F65, IF(G65="Spot", D65*XLOOKUP("PrimerFullMinsPerSqft",Constants!$F$20:$F$40,Constants!$G$20:$G$40)*XLOOKUP("PrimerSpotFactor",Constants!$F$20:$F$40,Constants!$G$20:$G$40)*F65, 0)))</f>
        <v/>
      </c>
      <c r="M65" s="6">
        <f>IF($A65="","", IFERROR(XLOOKUP($A65, INPUT_Rooms!$B:$B, INPUT_Rooms!$S:$S, 0),0) + $W65)</f>
        <v/>
      </c>
      <c r="N65">
        <f>IF($A65="","",IF($C65&lt;&gt;"Y","",IF($D65="", "",IFERROR(CEILING( ($D65*$H65) / IFERROR(XLOOKUP(XLOOKUP('Job Control'!$B$3, INPUT_JobSettings!$A:$A, INPUT_JobSettings!$C:$C, ""), Constants!$A:$A, Constants!$D:$D, ""), ""), 0.25), ""))))</f>
        <v/>
      </c>
      <c r="O65">
        <f>IF($A65="","",IF($C65&lt;&gt;"Y",0,IF($G65="None",0,IF($D65="",0,CEILING(($D65*IF($G65="Full",1, XLOOKUP("PrimerSpotFactor",Constants!$A:$A,Constants!$B:$B,0.35))) / IFERROR(XLOOKUP(XLOOKUP('Job Control'!$B$3, INPUT_JobSettings!$A:$A, INPUT_JobSettings!$E:$E, ""),Constants!$A:$A,Constants!$D:$D),350),0.25)))))</f>
        <v/>
      </c>
      <c r="P65">
        <f>IF($A65="","",IFERROR($N65*IFERROR(XLOOKUP(XLOOKUP('Job Control'!$B$3, INPUT_JobSettings!$A:$A, INPUT_JobSettings!$C:$C, ""), Constants!$A:$A, Constants!$C:$C, 0), 0) + $O65*IFERROR(XLOOKUP(XLOOKUP('Job Control'!$B$3, INPUT_JobSettings!$A:$A, INPUT_JobSettings!$E:$E, ""), Constants!$A:$A, Constants!$C:$C, 0), 0) + $M65,0))</f>
        <v/>
      </c>
      <c r="Q65" s="6">
        <f>IF($A65="","", ($J65+$K65+$L65)*$V65 )</f>
        <v/>
      </c>
      <c r="R65" s="6">
        <f>IF($A65="","", $Q65/60)</f>
        <v/>
      </c>
      <c r="S65" s="6">
        <f>IF($A65="","", $R65*IFERROR(IF(XLOOKUP('Job Control'!$B$3, INPUT_JobSettings!$A:$A, INPUT_JobSettings!$F:$F, "")&lt;&gt;"", XLOOKUP('Job Control'!$B$3, INPUT_JobSettings!$A:$A, INPUT_JobSettings!$F:$F, ""), $B$6), $B$6) + $M65)</f>
        <v/>
      </c>
      <c r="T65" s="6">
        <f>IF($A65="","", ($S65+$P65)*IFERROR(IF(XLOOKUP('Job Control'!$B$3, INPUT_JobSettings!$A:$A, INPUT_JobSettings!$G:$G, "")&lt;&gt;"", XLOOKUP('Job Control'!$B$3, INPUT_JobSettings!$A:$A, INPUT_JobSettings!$G:$G, ""), $B$7), $B$7))</f>
        <v/>
      </c>
      <c r="U65" s="6">
        <f>IF($A65="","", IFERROR(XLOOKUP($A65, INPUT_Rooms!$B:$B, INPUT_Rooms!$AI:$AI, ""), ""))</f>
        <v/>
      </c>
      <c r="V65" s="6">
        <f>IF($C65&lt;&gt;"Y",0,IF($A65="","", IF($U65="", 1, IFERROR(XLOOKUP($U65, Constants!$A$160:$A$190, Constants!$C$160:$C$190, 1), 1))))</f>
        <v/>
      </c>
      <c r="W65" s="6">
        <f>IF($C65&lt;&gt;"Y",0,IF($A65="","", ($D65*IF($U65="",0,IFERROR(XLOOKUP($U65, Constants!$A$160:$A$190, Constants!$D$160:$D$190, 0),0))) ))</f>
        <v/>
      </c>
    </row>
    <row r="66">
      <c r="A66" s="6">
        <f>IFERROR(INDEX(FILTER(INPUT_Rooms!$B$4:$B$83, INPUT_Rooms!$A$4:$A$83=$B$4, INPUT_Rooms!$O$4:$O$83="Y"), 56), "")</f>
        <v/>
      </c>
      <c r="B66" s="6">
        <f>IF(A66="","", XLOOKUP(A66, FILTER(INPUT_Rooms!$B$4:$B$83, INPUT_Rooms!$A$4:$A$83=$B$4), FILTER(INPUT_Rooms!$C$4:$C$83, INPUT_Rooms!$A$4:$A$83=$B$4), ""))</f>
        <v/>
      </c>
      <c r="C66" s="6">
        <f>IF(A66="","", "Y")</f>
        <v/>
      </c>
      <c r="D66" s="6">
        <f>IF(A66="","", XLOOKUP(A66, INPUT_Rooms!$B:$B, INPUT_Rooms!$AE:$AE, ""))</f>
        <v/>
      </c>
      <c r="E66" s="6">
        <f>IF(A66="","", XLOOKUP(A66, INPUT_Rooms!$B:$B, INPUT_Rooms!$H:$H, "")/12)</f>
        <v/>
      </c>
      <c r="F66" s="6">
        <f>IF(A66="","", LOOKUP(E66, Constants!$H$10:$H$40, Constants!$I$10:$I$40))</f>
        <v/>
      </c>
      <c r="G66" s="6">
        <f>IF(A66="","", XLOOKUP(A66, INPUT_Rooms!$B:$B, INPUT_Rooms!$P:$P, ""))</f>
        <v/>
      </c>
      <c r="H66" s="6">
        <f>IF(A66="","", XLOOKUP(A66, INPUT_Rooms!$B:$B, INPUT_Rooms!$Q:$Q, ""))</f>
        <v/>
      </c>
      <c r="I66" s="6">
        <f>IF(A66="","", IF(XLOOKUP(A66, INPUT_Rooms!$B:$B, INPUT_Rooms!$R:$R, "")="", $B$5, XLOOKUP(A66, INPUT_Rooms!$B:$B, INPUT_Rooms!$R:$R, "")))</f>
        <v/>
      </c>
      <c r="J66" s="6">
        <f>IF(A66="","", D66*XLOOKUP("PrepMinsPerSqft",Constants!$F$20:$F$40,Constants!$G$20:$G$40)*XLOOKUP(I66,Constants!$E$10:$E$30,Constants!$F$10:$F$30)*F66)</f>
        <v/>
      </c>
      <c r="K66" s="6">
        <f>IF(A66="","", D66*XLOOKUP("PaintMinsPerSqftPerCoat",Constants!$F$20:$F$40,Constants!$G$20:$G$40)*H66*F66)</f>
        <v/>
      </c>
      <c r="L66" s="6">
        <f>IF(A66="","", IF(G66="Full", D66*XLOOKUP("PrimerFullMinsPerSqft",Constants!$F$20:$F$40,Constants!$G$20:$G$40)*F66, IF(G66="Spot", D66*XLOOKUP("PrimerFullMinsPerSqft",Constants!$F$20:$F$40,Constants!$G$20:$G$40)*XLOOKUP("PrimerSpotFactor",Constants!$F$20:$F$40,Constants!$G$20:$G$40)*F66, 0)))</f>
        <v/>
      </c>
      <c r="M66" s="6">
        <f>IF($A66="","", IFERROR(XLOOKUP($A66, INPUT_Rooms!$B:$B, INPUT_Rooms!$S:$S, 0),0) + $W66)</f>
        <v/>
      </c>
      <c r="N66">
        <f>IF($A66="","",IF($C66&lt;&gt;"Y","",IF($D66="", "",IFERROR(CEILING( ($D66*$H66) / IFERROR(XLOOKUP(XLOOKUP('Job Control'!$B$3, INPUT_JobSettings!$A:$A, INPUT_JobSettings!$C:$C, ""), Constants!$A:$A, Constants!$D:$D, ""), ""), 0.25), ""))))</f>
        <v/>
      </c>
      <c r="O66">
        <f>IF($A66="","",IF($C66&lt;&gt;"Y",0,IF($G66="None",0,IF($D66="",0,CEILING(($D66*IF($G66="Full",1, XLOOKUP("PrimerSpotFactor",Constants!$A:$A,Constants!$B:$B,0.35))) / IFERROR(XLOOKUP(XLOOKUP('Job Control'!$B$3, INPUT_JobSettings!$A:$A, INPUT_JobSettings!$E:$E, ""),Constants!$A:$A,Constants!$D:$D),350),0.25)))))</f>
        <v/>
      </c>
      <c r="P66">
        <f>IF($A66="","",IFERROR($N66*IFERROR(XLOOKUP(XLOOKUP('Job Control'!$B$3, INPUT_JobSettings!$A:$A, INPUT_JobSettings!$C:$C, ""), Constants!$A:$A, Constants!$C:$C, 0), 0) + $O66*IFERROR(XLOOKUP(XLOOKUP('Job Control'!$B$3, INPUT_JobSettings!$A:$A, INPUT_JobSettings!$E:$E, ""), Constants!$A:$A, Constants!$C:$C, 0), 0) + $M66,0))</f>
        <v/>
      </c>
      <c r="Q66" s="6">
        <f>IF($A66="","", ($J66+$K66+$L66)*$V66 )</f>
        <v/>
      </c>
      <c r="R66" s="6">
        <f>IF($A66="","", $Q66/60)</f>
        <v/>
      </c>
      <c r="S66" s="6">
        <f>IF($A66="","", $R66*IFERROR(IF(XLOOKUP('Job Control'!$B$3, INPUT_JobSettings!$A:$A, INPUT_JobSettings!$F:$F, "")&lt;&gt;"", XLOOKUP('Job Control'!$B$3, INPUT_JobSettings!$A:$A, INPUT_JobSettings!$F:$F, ""), $B$6), $B$6) + $M66)</f>
        <v/>
      </c>
      <c r="T66" s="6">
        <f>IF($A66="","", ($S66+$P66)*IFERROR(IF(XLOOKUP('Job Control'!$B$3, INPUT_JobSettings!$A:$A, INPUT_JobSettings!$G:$G, "")&lt;&gt;"", XLOOKUP('Job Control'!$B$3, INPUT_JobSettings!$A:$A, INPUT_JobSettings!$G:$G, ""), $B$7), $B$7))</f>
        <v/>
      </c>
      <c r="U66" s="6">
        <f>IF($A66="","", IFERROR(XLOOKUP($A66, INPUT_Rooms!$B:$B, INPUT_Rooms!$AI:$AI, ""), ""))</f>
        <v/>
      </c>
      <c r="V66" s="6">
        <f>IF($C66&lt;&gt;"Y",0,IF($A66="","", IF($U66="", 1, IFERROR(XLOOKUP($U66, Constants!$A$160:$A$190, Constants!$C$160:$C$190, 1), 1))))</f>
        <v/>
      </c>
      <c r="W66" s="6">
        <f>IF($C66&lt;&gt;"Y",0,IF($A66="","", ($D66*IF($U66="",0,IFERROR(XLOOKUP($U66, Constants!$A$160:$A$190, Constants!$D$160:$D$190, 0),0))) ))</f>
        <v/>
      </c>
    </row>
    <row r="67">
      <c r="A67" s="6">
        <f>IFERROR(INDEX(FILTER(INPUT_Rooms!$B$4:$B$83, INPUT_Rooms!$A$4:$A$83=$B$4, INPUT_Rooms!$O$4:$O$83="Y"), 57), "")</f>
        <v/>
      </c>
      <c r="B67" s="6">
        <f>IF(A67="","", XLOOKUP(A67, FILTER(INPUT_Rooms!$B$4:$B$83, INPUT_Rooms!$A$4:$A$83=$B$4), FILTER(INPUT_Rooms!$C$4:$C$83, INPUT_Rooms!$A$4:$A$83=$B$4), ""))</f>
        <v/>
      </c>
      <c r="C67" s="6">
        <f>IF(A67="","", "Y")</f>
        <v/>
      </c>
      <c r="D67" s="6">
        <f>IF(A67="","", XLOOKUP(A67, INPUT_Rooms!$B:$B, INPUT_Rooms!$AE:$AE, ""))</f>
        <v/>
      </c>
      <c r="E67" s="6">
        <f>IF(A67="","", XLOOKUP(A67, INPUT_Rooms!$B:$B, INPUT_Rooms!$H:$H, "")/12)</f>
        <v/>
      </c>
      <c r="F67" s="6">
        <f>IF(A67="","", LOOKUP(E67, Constants!$H$10:$H$40, Constants!$I$10:$I$40))</f>
        <v/>
      </c>
      <c r="G67" s="6">
        <f>IF(A67="","", XLOOKUP(A67, INPUT_Rooms!$B:$B, INPUT_Rooms!$P:$P, ""))</f>
        <v/>
      </c>
      <c r="H67" s="6">
        <f>IF(A67="","", XLOOKUP(A67, INPUT_Rooms!$B:$B, INPUT_Rooms!$Q:$Q, ""))</f>
        <v/>
      </c>
      <c r="I67" s="6">
        <f>IF(A67="","", IF(XLOOKUP(A67, INPUT_Rooms!$B:$B, INPUT_Rooms!$R:$R, "")="", $B$5, XLOOKUP(A67, INPUT_Rooms!$B:$B, INPUT_Rooms!$R:$R, "")))</f>
        <v/>
      </c>
      <c r="J67" s="6">
        <f>IF(A67="","", D67*XLOOKUP("PrepMinsPerSqft",Constants!$F$20:$F$40,Constants!$G$20:$G$40)*XLOOKUP(I67,Constants!$E$10:$E$30,Constants!$F$10:$F$30)*F67)</f>
        <v/>
      </c>
      <c r="K67" s="6">
        <f>IF(A67="","", D67*XLOOKUP("PaintMinsPerSqftPerCoat",Constants!$F$20:$F$40,Constants!$G$20:$G$40)*H67*F67)</f>
        <v/>
      </c>
      <c r="L67" s="6">
        <f>IF(A67="","", IF(G67="Full", D67*XLOOKUP("PrimerFullMinsPerSqft",Constants!$F$20:$F$40,Constants!$G$20:$G$40)*F67, IF(G67="Spot", D67*XLOOKUP("PrimerFullMinsPerSqft",Constants!$F$20:$F$40,Constants!$G$20:$G$40)*XLOOKUP("PrimerSpotFactor",Constants!$F$20:$F$40,Constants!$G$20:$G$40)*F67, 0)))</f>
        <v/>
      </c>
      <c r="M67" s="6">
        <f>IF($A67="","", IFERROR(XLOOKUP($A67, INPUT_Rooms!$B:$B, INPUT_Rooms!$S:$S, 0),0) + $W67)</f>
        <v/>
      </c>
      <c r="N67">
        <f>IF($A67="","",IF($C67&lt;&gt;"Y","",IF($D67="", "",IFERROR(CEILING( ($D67*$H67) / IFERROR(XLOOKUP(XLOOKUP('Job Control'!$B$3, INPUT_JobSettings!$A:$A, INPUT_JobSettings!$C:$C, ""), Constants!$A:$A, Constants!$D:$D, ""), ""), 0.25), ""))))</f>
        <v/>
      </c>
      <c r="O67">
        <f>IF($A67="","",IF($C67&lt;&gt;"Y",0,IF($G67="None",0,IF($D67="",0,CEILING(($D67*IF($G67="Full",1, XLOOKUP("PrimerSpotFactor",Constants!$A:$A,Constants!$B:$B,0.35))) / IFERROR(XLOOKUP(XLOOKUP('Job Control'!$B$3, INPUT_JobSettings!$A:$A, INPUT_JobSettings!$E:$E, ""),Constants!$A:$A,Constants!$D:$D),350),0.25)))))</f>
        <v/>
      </c>
      <c r="P67">
        <f>IF($A67="","",IFERROR($N67*IFERROR(XLOOKUP(XLOOKUP('Job Control'!$B$3, INPUT_JobSettings!$A:$A, INPUT_JobSettings!$C:$C, ""), Constants!$A:$A, Constants!$C:$C, 0), 0) + $O67*IFERROR(XLOOKUP(XLOOKUP('Job Control'!$B$3, INPUT_JobSettings!$A:$A, INPUT_JobSettings!$E:$E, ""), Constants!$A:$A, Constants!$C:$C, 0), 0) + $M67,0))</f>
        <v/>
      </c>
      <c r="Q67" s="6">
        <f>IF($A67="","", ($J67+$K67+$L67)*$V67 )</f>
        <v/>
      </c>
      <c r="R67" s="6">
        <f>IF($A67="","", $Q67/60)</f>
        <v/>
      </c>
      <c r="S67" s="6">
        <f>IF($A67="","", $R67*IFERROR(IF(XLOOKUP('Job Control'!$B$3, INPUT_JobSettings!$A:$A, INPUT_JobSettings!$F:$F, "")&lt;&gt;"", XLOOKUP('Job Control'!$B$3, INPUT_JobSettings!$A:$A, INPUT_JobSettings!$F:$F, ""), $B$6), $B$6) + $M67)</f>
        <v/>
      </c>
      <c r="T67" s="6">
        <f>IF($A67="","", ($S67+$P67)*IFERROR(IF(XLOOKUP('Job Control'!$B$3, INPUT_JobSettings!$A:$A, INPUT_JobSettings!$G:$G, "")&lt;&gt;"", XLOOKUP('Job Control'!$B$3, INPUT_JobSettings!$A:$A, INPUT_JobSettings!$G:$G, ""), $B$7), $B$7))</f>
        <v/>
      </c>
      <c r="U67" s="6">
        <f>IF($A67="","", IFERROR(XLOOKUP($A67, INPUT_Rooms!$B:$B, INPUT_Rooms!$AI:$AI, ""), ""))</f>
        <v/>
      </c>
      <c r="V67" s="6">
        <f>IF($C67&lt;&gt;"Y",0,IF($A67="","", IF($U67="", 1, IFERROR(XLOOKUP($U67, Constants!$A$160:$A$190, Constants!$C$160:$C$190, 1), 1))))</f>
        <v/>
      </c>
      <c r="W67" s="6">
        <f>IF($C67&lt;&gt;"Y",0,IF($A67="","", ($D67*IF($U67="",0,IFERROR(XLOOKUP($U67, Constants!$A$160:$A$190, Constants!$D$160:$D$190, 0),0))) ))</f>
        <v/>
      </c>
    </row>
    <row r="68">
      <c r="A68" s="6">
        <f>IFERROR(INDEX(FILTER(INPUT_Rooms!$B$4:$B$83, INPUT_Rooms!$A$4:$A$83=$B$4, INPUT_Rooms!$O$4:$O$83="Y"), 58), "")</f>
        <v/>
      </c>
      <c r="B68" s="6">
        <f>IF(A68="","", XLOOKUP(A68, FILTER(INPUT_Rooms!$B$4:$B$83, INPUT_Rooms!$A$4:$A$83=$B$4), FILTER(INPUT_Rooms!$C$4:$C$83, INPUT_Rooms!$A$4:$A$83=$B$4), ""))</f>
        <v/>
      </c>
      <c r="C68" s="6">
        <f>IF(A68="","", "Y")</f>
        <v/>
      </c>
      <c r="D68" s="6">
        <f>IF(A68="","", XLOOKUP(A68, INPUT_Rooms!$B:$B, INPUT_Rooms!$AE:$AE, ""))</f>
        <v/>
      </c>
      <c r="E68" s="6">
        <f>IF(A68="","", XLOOKUP(A68, INPUT_Rooms!$B:$B, INPUT_Rooms!$H:$H, "")/12)</f>
        <v/>
      </c>
      <c r="F68" s="6">
        <f>IF(A68="","", LOOKUP(E68, Constants!$H$10:$H$40, Constants!$I$10:$I$40))</f>
        <v/>
      </c>
      <c r="G68" s="6">
        <f>IF(A68="","", XLOOKUP(A68, INPUT_Rooms!$B:$B, INPUT_Rooms!$P:$P, ""))</f>
        <v/>
      </c>
      <c r="H68" s="6">
        <f>IF(A68="","", XLOOKUP(A68, INPUT_Rooms!$B:$B, INPUT_Rooms!$Q:$Q, ""))</f>
        <v/>
      </c>
      <c r="I68" s="6">
        <f>IF(A68="","", IF(XLOOKUP(A68, INPUT_Rooms!$B:$B, INPUT_Rooms!$R:$R, "")="", $B$5, XLOOKUP(A68, INPUT_Rooms!$B:$B, INPUT_Rooms!$R:$R, "")))</f>
        <v/>
      </c>
      <c r="J68" s="6">
        <f>IF(A68="","", D68*XLOOKUP("PrepMinsPerSqft",Constants!$F$20:$F$40,Constants!$G$20:$G$40)*XLOOKUP(I68,Constants!$E$10:$E$30,Constants!$F$10:$F$30)*F68)</f>
        <v/>
      </c>
      <c r="K68" s="6">
        <f>IF(A68="","", D68*XLOOKUP("PaintMinsPerSqftPerCoat",Constants!$F$20:$F$40,Constants!$G$20:$G$40)*H68*F68)</f>
        <v/>
      </c>
      <c r="L68" s="6">
        <f>IF(A68="","", IF(G68="Full", D68*XLOOKUP("PrimerFullMinsPerSqft",Constants!$F$20:$F$40,Constants!$G$20:$G$40)*F68, IF(G68="Spot", D68*XLOOKUP("PrimerFullMinsPerSqft",Constants!$F$20:$F$40,Constants!$G$20:$G$40)*XLOOKUP("PrimerSpotFactor",Constants!$F$20:$F$40,Constants!$G$20:$G$40)*F68, 0)))</f>
        <v/>
      </c>
      <c r="M68" s="6">
        <f>IF($A68="","", IFERROR(XLOOKUP($A68, INPUT_Rooms!$B:$B, INPUT_Rooms!$S:$S, 0),0) + $W68)</f>
        <v/>
      </c>
      <c r="N68">
        <f>IF($A68="","",IF($C68&lt;&gt;"Y","",IF($D68="", "",IFERROR(CEILING( ($D68*$H68) / IFERROR(XLOOKUP(XLOOKUP('Job Control'!$B$3, INPUT_JobSettings!$A:$A, INPUT_JobSettings!$C:$C, ""), Constants!$A:$A, Constants!$D:$D, ""), ""), 0.25), ""))))</f>
        <v/>
      </c>
      <c r="O68">
        <f>IF($A68="","",IF($C68&lt;&gt;"Y",0,IF($G68="None",0,IF($D68="",0,CEILING(($D68*IF($G68="Full",1, XLOOKUP("PrimerSpotFactor",Constants!$A:$A,Constants!$B:$B,0.35))) / IFERROR(XLOOKUP(XLOOKUP('Job Control'!$B$3, INPUT_JobSettings!$A:$A, INPUT_JobSettings!$E:$E, ""),Constants!$A:$A,Constants!$D:$D),350),0.25)))))</f>
        <v/>
      </c>
      <c r="P68">
        <f>IF($A68="","",IFERROR($N68*IFERROR(XLOOKUP(XLOOKUP('Job Control'!$B$3, INPUT_JobSettings!$A:$A, INPUT_JobSettings!$C:$C, ""), Constants!$A:$A, Constants!$C:$C, 0), 0) + $O68*IFERROR(XLOOKUP(XLOOKUP('Job Control'!$B$3, INPUT_JobSettings!$A:$A, INPUT_JobSettings!$E:$E, ""), Constants!$A:$A, Constants!$C:$C, 0), 0) + $M68,0))</f>
        <v/>
      </c>
      <c r="Q68" s="6">
        <f>IF($A68="","", ($J68+$K68+$L68)*$V68 )</f>
        <v/>
      </c>
      <c r="R68" s="6">
        <f>IF($A68="","", $Q68/60)</f>
        <v/>
      </c>
      <c r="S68" s="6">
        <f>IF($A68="","", $R68*IFERROR(IF(XLOOKUP('Job Control'!$B$3, INPUT_JobSettings!$A:$A, INPUT_JobSettings!$F:$F, "")&lt;&gt;"", XLOOKUP('Job Control'!$B$3, INPUT_JobSettings!$A:$A, INPUT_JobSettings!$F:$F, ""), $B$6), $B$6) + $M68)</f>
        <v/>
      </c>
      <c r="T68" s="6">
        <f>IF($A68="","", ($S68+$P68)*IFERROR(IF(XLOOKUP('Job Control'!$B$3, INPUT_JobSettings!$A:$A, INPUT_JobSettings!$G:$G, "")&lt;&gt;"", XLOOKUP('Job Control'!$B$3, INPUT_JobSettings!$A:$A, INPUT_JobSettings!$G:$G, ""), $B$7), $B$7))</f>
        <v/>
      </c>
      <c r="U68" s="6">
        <f>IF($A68="","", IFERROR(XLOOKUP($A68, INPUT_Rooms!$B:$B, INPUT_Rooms!$AI:$AI, ""), ""))</f>
        <v/>
      </c>
      <c r="V68" s="6">
        <f>IF($C68&lt;&gt;"Y",0,IF($A68="","", IF($U68="", 1, IFERROR(XLOOKUP($U68, Constants!$A$160:$A$190, Constants!$C$160:$C$190, 1), 1))))</f>
        <v/>
      </c>
      <c r="W68" s="6">
        <f>IF($C68&lt;&gt;"Y",0,IF($A68="","", ($D68*IF($U68="",0,IFERROR(XLOOKUP($U68, Constants!$A$160:$A$190, Constants!$D$160:$D$190, 0),0))) ))</f>
        <v/>
      </c>
    </row>
    <row r="69">
      <c r="A69" s="6">
        <f>IFERROR(INDEX(FILTER(INPUT_Rooms!$B$4:$B$83, INPUT_Rooms!$A$4:$A$83=$B$4, INPUT_Rooms!$O$4:$O$83="Y"), 59), "")</f>
        <v/>
      </c>
      <c r="B69" s="6">
        <f>IF(A69="","", XLOOKUP(A69, FILTER(INPUT_Rooms!$B$4:$B$83, INPUT_Rooms!$A$4:$A$83=$B$4), FILTER(INPUT_Rooms!$C$4:$C$83, INPUT_Rooms!$A$4:$A$83=$B$4), ""))</f>
        <v/>
      </c>
      <c r="C69" s="6">
        <f>IF(A69="","", "Y")</f>
        <v/>
      </c>
      <c r="D69" s="6">
        <f>IF(A69="","", XLOOKUP(A69, INPUT_Rooms!$B:$B, INPUT_Rooms!$AE:$AE, ""))</f>
        <v/>
      </c>
      <c r="E69" s="6">
        <f>IF(A69="","", XLOOKUP(A69, INPUT_Rooms!$B:$B, INPUT_Rooms!$H:$H, "")/12)</f>
        <v/>
      </c>
      <c r="F69" s="6">
        <f>IF(A69="","", LOOKUP(E69, Constants!$H$10:$H$40, Constants!$I$10:$I$40))</f>
        <v/>
      </c>
      <c r="G69" s="6">
        <f>IF(A69="","", XLOOKUP(A69, INPUT_Rooms!$B:$B, INPUT_Rooms!$P:$P, ""))</f>
        <v/>
      </c>
      <c r="H69" s="6">
        <f>IF(A69="","", XLOOKUP(A69, INPUT_Rooms!$B:$B, INPUT_Rooms!$Q:$Q, ""))</f>
        <v/>
      </c>
      <c r="I69" s="6">
        <f>IF(A69="","", IF(XLOOKUP(A69, INPUT_Rooms!$B:$B, INPUT_Rooms!$R:$R, "")="", $B$5, XLOOKUP(A69, INPUT_Rooms!$B:$B, INPUT_Rooms!$R:$R, "")))</f>
        <v/>
      </c>
      <c r="J69" s="6">
        <f>IF(A69="","", D69*XLOOKUP("PrepMinsPerSqft",Constants!$F$20:$F$40,Constants!$G$20:$G$40)*XLOOKUP(I69,Constants!$E$10:$E$30,Constants!$F$10:$F$30)*F69)</f>
        <v/>
      </c>
      <c r="K69" s="6">
        <f>IF(A69="","", D69*XLOOKUP("PaintMinsPerSqftPerCoat",Constants!$F$20:$F$40,Constants!$G$20:$G$40)*H69*F69)</f>
        <v/>
      </c>
      <c r="L69" s="6">
        <f>IF(A69="","", IF(G69="Full", D69*XLOOKUP("PrimerFullMinsPerSqft",Constants!$F$20:$F$40,Constants!$G$20:$G$40)*F69, IF(G69="Spot", D69*XLOOKUP("PrimerFullMinsPerSqft",Constants!$F$20:$F$40,Constants!$G$20:$G$40)*XLOOKUP("PrimerSpotFactor",Constants!$F$20:$F$40,Constants!$G$20:$G$40)*F69, 0)))</f>
        <v/>
      </c>
      <c r="M69" s="6">
        <f>IF($A69="","", IFERROR(XLOOKUP($A69, INPUT_Rooms!$B:$B, INPUT_Rooms!$S:$S, 0),0) + $W69)</f>
        <v/>
      </c>
      <c r="N69">
        <f>IF($A69="","",IF($C69&lt;&gt;"Y","",IF($D69="", "",IFERROR(CEILING( ($D69*$H69) / IFERROR(XLOOKUP(XLOOKUP('Job Control'!$B$3, INPUT_JobSettings!$A:$A, INPUT_JobSettings!$C:$C, ""), Constants!$A:$A, Constants!$D:$D, ""), ""), 0.25), ""))))</f>
        <v/>
      </c>
      <c r="O69">
        <f>IF($A69="","",IF($C69&lt;&gt;"Y",0,IF($G69="None",0,IF($D69="",0,CEILING(($D69*IF($G69="Full",1, XLOOKUP("PrimerSpotFactor",Constants!$A:$A,Constants!$B:$B,0.35))) / IFERROR(XLOOKUP(XLOOKUP('Job Control'!$B$3, INPUT_JobSettings!$A:$A, INPUT_JobSettings!$E:$E, ""),Constants!$A:$A,Constants!$D:$D),350),0.25)))))</f>
        <v/>
      </c>
      <c r="P69">
        <f>IF($A69="","",IFERROR($N69*IFERROR(XLOOKUP(XLOOKUP('Job Control'!$B$3, INPUT_JobSettings!$A:$A, INPUT_JobSettings!$C:$C, ""), Constants!$A:$A, Constants!$C:$C, 0), 0) + $O69*IFERROR(XLOOKUP(XLOOKUP('Job Control'!$B$3, INPUT_JobSettings!$A:$A, INPUT_JobSettings!$E:$E, ""), Constants!$A:$A, Constants!$C:$C, 0), 0) + $M69,0))</f>
        <v/>
      </c>
      <c r="Q69" s="6">
        <f>IF($A69="","", ($J69+$K69+$L69)*$V69 )</f>
        <v/>
      </c>
      <c r="R69" s="6">
        <f>IF($A69="","", $Q69/60)</f>
        <v/>
      </c>
      <c r="S69" s="6">
        <f>IF($A69="","", $R69*IFERROR(IF(XLOOKUP('Job Control'!$B$3, INPUT_JobSettings!$A:$A, INPUT_JobSettings!$F:$F, "")&lt;&gt;"", XLOOKUP('Job Control'!$B$3, INPUT_JobSettings!$A:$A, INPUT_JobSettings!$F:$F, ""), $B$6), $B$6) + $M69)</f>
        <v/>
      </c>
      <c r="T69" s="6">
        <f>IF($A69="","", ($S69+$P69)*IFERROR(IF(XLOOKUP('Job Control'!$B$3, INPUT_JobSettings!$A:$A, INPUT_JobSettings!$G:$G, "")&lt;&gt;"", XLOOKUP('Job Control'!$B$3, INPUT_JobSettings!$A:$A, INPUT_JobSettings!$G:$G, ""), $B$7), $B$7))</f>
        <v/>
      </c>
      <c r="U69" s="6">
        <f>IF($A69="","", IFERROR(XLOOKUP($A69, INPUT_Rooms!$B:$B, INPUT_Rooms!$AI:$AI, ""), ""))</f>
        <v/>
      </c>
      <c r="V69" s="6">
        <f>IF($C69&lt;&gt;"Y",0,IF($A69="","", IF($U69="", 1, IFERROR(XLOOKUP($U69, Constants!$A$160:$A$190, Constants!$C$160:$C$190, 1), 1))))</f>
        <v/>
      </c>
      <c r="W69" s="6">
        <f>IF($C69&lt;&gt;"Y",0,IF($A69="","", ($D69*IF($U69="",0,IFERROR(XLOOKUP($U69, Constants!$A$160:$A$190, Constants!$D$160:$D$190, 0),0))) ))</f>
        <v/>
      </c>
    </row>
    <row r="70">
      <c r="A70" s="6">
        <f>IFERROR(INDEX(FILTER(INPUT_Rooms!$B$4:$B$83, INPUT_Rooms!$A$4:$A$83=$B$4, INPUT_Rooms!$O$4:$O$83="Y"), 60), "")</f>
        <v/>
      </c>
      <c r="B70" s="6">
        <f>IF(A70="","", XLOOKUP(A70, FILTER(INPUT_Rooms!$B$4:$B$83, INPUT_Rooms!$A$4:$A$83=$B$4), FILTER(INPUT_Rooms!$C$4:$C$83, INPUT_Rooms!$A$4:$A$83=$B$4), ""))</f>
        <v/>
      </c>
      <c r="C70" s="6">
        <f>IF(A70="","", "Y")</f>
        <v/>
      </c>
      <c r="D70" s="6">
        <f>IF(A70="","", XLOOKUP(A70, INPUT_Rooms!$B:$B, INPUT_Rooms!$AE:$AE, ""))</f>
        <v/>
      </c>
      <c r="E70" s="6">
        <f>IF(A70="","", XLOOKUP(A70, INPUT_Rooms!$B:$B, INPUT_Rooms!$H:$H, "")/12)</f>
        <v/>
      </c>
      <c r="F70" s="6">
        <f>IF(A70="","", LOOKUP(E70, Constants!$H$10:$H$40, Constants!$I$10:$I$40))</f>
        <v/>
      </c>
      <c r="G70" s="6">
        <f>IF(A70="","", XLOOKUP(A70, INPUT_Rooms!$B:$B, INPUT_Rooms!$P:$P, ""))</f>
        <v/>
      </c>
      <c r="H70" s="6">
        <f>IF(A70="","", XLOOKUP(A70, INPUT_Rooms!$B:$B, INPUT_Rooms!$Q:$Q, ""))</f>
        <v/>
      </c>
      <c r="I70" s="6">
        <f>IF(A70="","", IF(XLOOKUP(A70, INPUT_Rooms!$B:$B, INPUT_Rooms!$R:$R, "")="", $B$5, XLOOKUP(A70, INPUT_Rooms!$B:$B, INPUT_Rooms!$R:$R, "")))</f>
        <v/>
      </c>
      <c r="J70" s="6">
        <f>IF(A70="","", D70*XLOOKUP("PrepMinsPerSqft",Constants!$F$20:$F$40,Constants!$G$20:$G$40)*XLOOKUP(I70,Constants!$E$10:$E$30,Constants!$F$10:$F$30)*F70)</f>
        <v/>
      </c>
      <c r="K70" s="6">
        <f>IF(A70="","", D70*XLOOKUP("PaintMinsPerSqftPerCoat",Constants!$F$20:$F$40,Constants!$G$20:$G$40)*H70*F70)</f>
        <v/>
      </c>
      <c r="L70" s="6">
        <f>IF(A70="","", IF(G70="Full", D70*XLOOKUP("PrimerFullMinsPerSqft",Constants!$F$20:$F$40,Constants!$G$20:$G$40)*F70, IF(G70="Spot", D70*XLOOKUP("PrimerFullMinsPerSqft",Constants!$F$20:$F$40,Constants!$G$20:$G$40)*XLOOKUP("PrimerSpotFactor",Constants!$F$20:$F$40,Constants!$G$20:$G$40)*F70, 0)))</f>
        <v/>
      </c>
      <c r="M70" s="6">
        <f>IF($A70="","", IFERROR(XLOOKUP($A70, INPUT_Rooms!$B:$B, INPUT_Rooms!$S:$S, 0),0) + $W70)</f>
        <v/>
      </c>
      <c r="N70">
        <f>IF($A70="","",IF($C70&lt;&gt;"Y","",IF($D70="", "",IFERROR(CEILING( ($D70*$H70) / IFERROR(XLOOKUP(XLOOKUP('Job Control'!$B$3, INPUT_JobSettings!$A:$A, INPUT_JobSettings!$C:$C, ""), Constants!$A:$A, Constants!$D:$D, ""), ""), 0.25), ""))))</f>
        <v/>
      </c>
      <c r="O70">
        <f>IF($A70="","",IF($C70&lt;&gt;"Y",0,IF($G70="None",0,IF($D70="",0,CEILING(($D70*IF($G70="Full",1, XLOOKUP("PrimerSpotFactor",Constants!$A:$A,Constants!$B:$B,0.35))) / IFERROR(XLOOKUP(XLOOKUP('Job Control'!$B$3, INPUT_JobSettings!$A:$A, INPUT_JobSettings!$E:$E, ""),Constants!$A:$A,Constants!$D:$D),350),0.25)))))</f>
        <v/>
      </c>
      <c r="P70">
        <f>IF($A70="","",IFERROR($N70*IFERROR(XLOOKUP(XLOOKUP('Job Control'!$B$3, INPUT_JobSettings!$A:$A, INPUT_JobSettings!$C:$C, ""), Constants!$A:$A, Constants!$C:$C, 0), 0) + $O70*IFERROR(XLOOKUP(XLOOKUP('Job Control'!$B$3, INPUT_JobSettings!$A:$A, INPUT_JobSettings!$E:$E, ""), Constants!$A:$A, Constants!$C:$C, 0), 0) + $M70,0))</f>
        <v/>
      </c>
      <c r="Q70" s="6">
        <f>IF($A70="","", ($J70+$K70+$L70)*$V70 )</f>
        <v/>
      </c>
      <c r="R70" s="6">
        <f>IF($A70="","", $Q70/60)</f>
        <v/>
      </c>
      <c r="S70" s="6">
        <f>IF($A70="","", $R70*IFERROR(IF(XLOOKUP('Job Control'!$B$3, INPUT_JobSettings!$A:$A, INPUT_JobSettings!$F:$F, "")&lt;&gt;"", XLOOKUP('Job Control'!$B$3, INPUT_JobSettings!$A:$A, INPUT_JobSettings!$F:$F, ""), $B$6), $B$6) + $M70)</f>
        <v/>
      </c>
      <c r="T70" s="6">
        <f>IF($A70="","", ($S70+$P70)*IFERROR(IF(XLOOKUP('Job Control'!$B$3, INPUT_JobSettings!$A:$A, INPUT_JobSettings!$G:$G, "")&lt;&gt;"", XLOOKUP('Job Control'!$B$3, INPUT_JobSettings!$A:$A, INPUT_JobSettings!$G:$G, ""), $B$7), $B$7))</f>
        <v/>
      </c>
      <c r="U70" s="6">
        <f>IF($A70="","", IFERROR(XLOOKUP($A70, INPUT_Rooms!$B:$B, INPUT_Rooms!$AI:$AI, ""), ""))</f>
        <v/>
      </c>
      <c r="V70" s="6">
        <f>IF($C70&lt;&gt;"Y",0,IF($A70="","", IF($U70="", 1, IFERROR(XLOOKUP($U70, Constants!$A$160:$A$190, Constants!$C$160:$C$190, 1), 1))))</f>
        <v/>
      </c>
      <c r="W70" s="6">
        <f>IF($C70&lt;&gt;"Y",0,IF($A70="","", ($D70*IF($U70="",0,IFERROR(XLOOKUP($U70, Constants!$A$160:$A$190, Constants!$D$160:$D$190, 0),0))) ))</f>
        <v/>
      </c>
    </row>
    <row r="71">
      <c r="A71" s="6">
        <f>IFERROR(INDEX(FILTER(INPUT_Rooms!$B$4:$B$83, INPUT_Rooms!$A$4:$A$83=$B$4, INPUT_Rooms!$O$4:$O$83="Y"), 61), "")</f>
        <v/>
      </c>
      <c r="B71" s="6">
        <f>IF(A71="","", XLOOKUP(A71, FILTER(INPUT_Rooms!$B$4:$B$83, INPUT_Rooms!$A$4:$A$83=$B$4), FILTER(INPUT_Rooms!$C$4:$C$83, INPUT_Rooms!$A$4:$A$83=$B$4), ""))</f>
        <v/>
      </c>
      <c r="C71" s="6">
        <f>IF(A71="","", "Y")</f>
        <v/>
      </c>
      <c r="D71" s="6">
        <f>IF(A71="","", XLOOKUP(A71, INPUT_Rooms!$B:$B, INPUT_Rooms!$AE:$AE, ""))</f>
        <v/>
      </c>
      <c r="E71" s="6">
        <f>IF(A71="","", XLOOKUP(A71, INPUT_Rooms!$B:$B, INPUT_Rooms!$H:$H, "")/12)</f>
        <v/>
      </c>
      <c r="F71" s="6">
        <f>IF(A71="","", LOOKUP(E71, Constants!$H$10:$H$40, Constants!$I$10:$I$40))</f>
        <v/>
      </c>
      <c r="G71" s="6">
        <f>IF(A71="","", XLOOKUP(A71, INPUT_Rooms!$B:$B, INPUT_Rooms!$P:$P, ""))</f>
        <v/>
      </c>
      <c r="H71" s="6">
        <f>IF(A71="","", XLOOKUP(A71, INPUT_Rooms!$B:$B, INPUT_Rooms!$Q:$Q, ""))</f>
        <v/>
      </c>
      <c r="I71" s="6">
        <f>IF(A71="","", IF(XLOOKUP(A71, INPUT_Rooms!$B:$B, INPUT_Rooms!$R:$R, "")="", $B$5, XLOOKUP(A71, INPUT_Rooms!$B:$B, INPUT_Rooms!$R:$R, "")))</f>
        <v/>
      </c>
      <c r="J71" s="6">
        <f>IF(A71="","", D71*XLOOKUP("PrepMinsPerSqft",Constants!$F$20:$F$40,Constants!$G$20:$G$40)*XLOOKUP(I71,Constants!$E$10:$E$30,Constants!$F$10:$F$30)*F71)</f>
        <v/>
      </c>
      <c r="K71" s="6">
        <f>IF(A71="","", D71*XLOOKUP("PaintMinsPerSqftPerCoat",Constants!$F$20:$F$40,Constants!$G$20:$G$40)*H71*F71)</f>
        <v/>
      </c>
      <c r="L71" s="6">
        <f>IF(A71="","", IF(G71="Full", D71*XLOOKUP("PrimerFullMinsPerSqft",Constants!$F$20:$F$40,Constants!$G$20:$G$40)*F71, IF(G71="Spot", D71*XLOOKUP("PrimerFullMinsPerSqft",Constants!$F$20:$F$40,Constants!$G$20:$G$40)*XLOOKUP("PrimerSpotFactor",Constants!$F$20:$F$40,Constants!$G$20:$G$40)*F71, 0)))</f>
        <v/>
      </c>
      <c r="M71" s="6">
        <f>IF($A71="","", IFERROR(XLOOKUP($A71, INPUT_Rooms!$B:$B, INPUT_Rooms!$S:$S, 0),0) + $W71)</f>
        <v/>
      </c>
      <c r="N71">
        <f>IF($A71="","",IF($C71&lt;&gt;"Y","",IF($D71="", "",IFERROR(CEILING( ($D71*$H71) / IFERROR(XLOOKUP(XLOOKUP('Job Control'!$B$3, INPUT_JobSettings!$A:$A, INPUT_JobSettings!$C:$C, ""), Constants!$A:$A, Constants!$D:$D, ""), ""), 0.25), ""))))</f>
        <v/>
      </c>
      <c r="O71">
        <f>IF($A71="","",IF($C71&lt;&gt;"Y",0,IF($G71="None",0,IF($D71="",0,CEILING(($D71*IF($G71="Full",1, XLOOKUP("PrimerSpotFactor",Constants!$A:$A,Constants!$B:$B,0.35))) / IFERROR(XLOOKUP(XLOOKUP('Job Control'!$B$3, INPUT_JobSettings!$A:$A, INPUT_JobSettings!$E:$E, ""),Constants!$A:$A,Constants!$D:$D),350),0.25)))))</f>
        <v/>
      </c>
      <c r="P71">
        <f>IF($A71="","",IFERROR($N71*IFERROR(XLOOKUP(XLOOKUP('Job Control'!$B$3, INPUT_JobSettings!$A:$A, INPUT_JobSettings!$C:$C, ""), Constants!$A:$A, Constants!$C:$C, 0), 0) + $O71*IFERROR(XLOOKUP(XLOOKUP('Job Control'!$B$3, INPUT_JobSettings!$A:$A, INPUT_JobSettings!$E:$E, ""), Constants!$A:$A, Constants!$C:$C, 0), 0) + $M71,0))</f>
        <v/>
      </c>
      <c r="Q71" s="6">
        <f>IF($A71="","", ($J71+$K71+$L71)*$V71 )</f>
        <v/>
      </c>
      <c r="R71" s="6">
        <f>IF($A71="","", $Q71/60)</f>
        <v/>
      </c>
      <c r="S71" s="6">
        <f>IF($A71="","", $R71*IFERROR(IF(XLOOKUP('Job Control'!$B$3, INPUT_JobSettings!$A:$A, INPUT_JobSettings!$F:$F, "")&lt;&gt;"", XLOOKUP('Job Control'!$B$3, INPUT_JobSettings!$A:$A, INPUT_JobSettings!$F:$F, ""), $B$6), $B$6) + $M71)</f>
        <v/>
      </c>
      <c r="T71" s="6">
        <f>IF($A71="","", ($S71+$P71)*IFERROR(IF(XLOOKUP('Job Control'!$B$3, INPUT_JobSettings!$A:$A, INPUT_JobSettings!$G:$G, "")&lt;&gt;"", XLOOKUP('Job Control'!$B$3, INPUT_JobSettings!$A:$A, INPUT_JobSettings!$G:$G, ""), $B$7), $B$7))</f>
        <v/>
      </c>
      <c r="U71" s="6">
        <f>IF($A71="","", IFERROR(XLOOKUP($A71, INPUT_Rooms!$B:$B, INPUT_Rooms!$AI:$AI, ""), ""))</f>
        <v/>
      </c>
      <c r="V71" s="6">
        <f>IF($C71&lt;&gt;"Y",0,IF($A71="","", IF($U71="", 1, IFERROR(XLOOKUP($U71, Constants!$A$160:$A$190, Constants!$C$160:$C$190, 1), 1))))</f>
        <v/>
      </c>
      <c r="W71" s="6">
        <f>IF($C71&lt;&gt;"Y",0,IF($A71="","", ($D71*IF($U71="",0,IFERROR(XLOOKUP($U71, Constants!$A$160:$A$190, Constants!$D$160:$D$190, 0),0))) ))</f>
        <v/>
      </c>
    </row>
    <row r="72">
      <c r="A72" s="6">
        <f>IFERROR(INDEX(FILTER(INPUT_Rooms!$B$4:$B$83, INPUT_Rooms!$A$4:$A$83=$B$4, INPUT_Rooms!$O$4:$O$83="Y"), 62), "")</f>
        <v/>
      </c>
      <c r="B72" s="6">
        <f>IF(A72="","", XLOOKUP(A72, FILTER(INPUT_Rooms!$B$4:$B$83, INPUT_Rooms!$A$4:$A$83=$B$4), FILTER(INPUT_Rooms!$C$4:$C$83, INPUT_Rooms!$A$4:$A$83=$B$4), ""))</f>
        <v/>
      </c>
      <c r="C72" s="6">
        <f>IF(A72="","", "Y")</f>
        <v/>
      </c>
      <c r="D72" s="6">
        <f>IF(A72="","", XLOOKUP(A72, INPUT_Rooms!$B:$B, INPUT_Rooms!$AE:$AE, ""))</f>
        <v/>
      </c>
      <c r="E72" s="6">
        <f>IF(A72="","", XLOOKUP(A72, INPUT_Rooms!$B:$B, INPUT_Rooms!$H:$H, "")/12)</f>
        <v/>
      </c>
      <c r="F72" s="6">
        <f>IF(A72="","", LOOKUP(E72, Constants!$H$10:$H$40, Constants!$I$10:$I$40))</f>
        <v/>
      </c>
      <c r="G72" s="6">
        <f>IF(A72="","", XLOOKUP(A72, INPUT_Rooms!$B:$B, INPUT_Rooms!$P:$P, ""))</f>
        <v/>
      </c>
      <c r="H72" s="6">
        <f>IF(A72="","", XLOOKUP(A72, INPUT_Rooms!$B:$B, INPUT_Rooms!$Q:$Q, ""))</f>
        <v/>
      </c>
      <c r="I72" s="6">
        <f>IF(A72="","", IF(XLOOKUP(A72, INPUT_Rooms!$B:$B, INPUT_Rooms!$R:$R, "")="", $B$5, XLOOKUP(A72, INPUT_Rooms!$B:$B, INPUT_Rooms!$R:$R, "")))</f>
        <v/>
      </c>
      <c r="J72" s="6">
        <f>IF(A72="","", D72*XLOOKUP("PrepMinsPerSqft",Constants!$F$20:$F$40,Constants!$G$20:$G$40)*XLOOKUP(I72,Constants!$E$10:$E$30,Constants!$F$10:$F$30)*F72)</f>
        <v/>
      </c>
      <c r="K72" s="6">
        <f>IF(A72="","", D72*XLOOKUP("PaintMinsPerSqftPerCoat",Constants!$F$20:$F$40,Constants!$G$20:$G$40)*H72*F72)</f>
        <v/>
      </c>
      <c r="L72" s="6">
        <f>IF(A72="","", IF(G72="Full", D72*XLOOKUP("PrimerFullMinsPerSqft",Constants!$F$20:$F$40,Constants!$G$20:$G$40)*F72, IF(G72="Spot", D72*XLOOKUP("PrimerFullMinsPerSqft",Constants!$F$20:$F$40,Constants!$G$20:$G$40)*XLOOKUP("PrimerSpotFactor",Constants!$F$20:$F$40,Constants!$G$20:$G$40)*F72, 0)))</f>
        <v/>
      </c>
      <c r="M72" s="6">
        <f>IF($A72="","", IFERROR(XLOOKUP($A72, INPUT_Rooms!$B:$B, INPUT_Rooms!$S:$S, 0),0) + $W72)</f>
        <v/>
      </c>
      <c r="N72">
        <f>IF($A72="","",IF($C72&lt;&gt;"Y","",IF($D72="", "",IFERROR(CEILING( ($D72*$H72) / IFERROR(XLOOKUP(XLOOKUP('Job Control'!$B$3, INPUT_JobSettings!$A:$A, INPUT_JobSettings!$C:$C, ""), Constants!$A:$A, Constants!$D:$D, ""), ""), 0.25), ""))))</f>
        <v/>
      </c>
      <c r="O72">
        <f>IF($A72="","",IF($C72&lt;&gt;"Y",0,IF($G72="None",0,IF($D72="",0,CEILING(($D72*IF($G72="Full",1, XLOOKUP("PrimerSpotFactor",Constants!$A:$A,Constants!$B:$B,0.35))) / IFERROR(XLOOKUP(XLOOKUP('Job Control'!$B$3, INPUT_JobSettings!$A:$A, INPUT_JobSettings!$E:$E, ""),Constants!$A:$A,Constants!$D:$D),350),0.25)))))</f>
        <v/>
      </c>
      <c r="P72">
        <f>IF($A72="","",IFERROR($N72*IFERROR(XLOOKUP(XLOOKUP('Job Control'!$B$3, INPUT_JobSettings!$A:$A, INPUT_JobSettings!$C:$C, ""), Constants!$A:$A, Constants!$C:$C, 0), 0) + $O72*IFERROR(XLOOKUP(XLOOKUP('Job Control'!$B$3, INPUT_JobSettings!$A:$A, INPUT_JobSettings!$E:$E, ""), Constants!$A:$A, Constants!$C:$C, 0), 0) + $M72,0))</f>
        <v/>
      </c>
      <c r="Q72" s="6">
        <f>IF($A72="","", ($J72+$K72+$L72)*$V72 )</f>
        <v/>
      </c>
      <c r="R72" s="6">
        <f>IF($A72="","", $Q72/60)</f>
        <v/>
      </c>
      <c r="S72" s="6">
        <f>IF($A72="","", $R72*IFERROR(IF(XLOOKUP('Job Control'!$B$3, INPUT_JobSettings!$A:$A, INPUT_JobSettings!$F:$F, "")&lt;&gt;"", XLOOKUP('Job Control'!$B$3, INPUT_JobSettings!$A:$A, INPUT_JobSettings!$F:$F, ""), $B$6), $B$6) + $M72)</f>
        <v/>
      </c>
      <c r="T72" s="6">
        <f>IF($A72="","", ($S72+$P72)*IFERROR(IF(XLOOKUP('Job Control'!$B$3, INPUT_JobSettings!$A:$A, INPUT_JobSettings!$G:$G, "")&lt;&gt;"", XLOOKUP('Job Control'!$B$3, INPUT_JobSettings!$A:$A, INPUT_JobSettings!$G:$G, ""), $B$7), $B$7))</f>
        <v/>
      </c>
      <c r="U72" s="6">
        <f>IF($A72="","", IFERROR(XLOOKUP($A72, INPUT_Rooms!$B:$B, INPUT_Rooms!$AI:$AI, ""), ""))</f>
        <v/>
      </c>
      <c r="V72" s="6">
        <f>IF($C72&lt;&gt;"Y",0,IF($A72="","", IF($U72="", 1, IFERROR(XLOOKUP($U72, Constants!$A$160:$A$190, Constants!$C$160:$C$190, 1), 1))))</f>
        <v/>
      </c>
      <c r="W72" s="6">
        <f>IF($C72&lt;&gt;"Y",0,IF($A72="","", ($D72*IF($U72="",0,IFERROR(XLOOKUP($U72, Constants!$A$160:$A$190, Constants!$D$160:$D$190, 0),0))) ))</f>
        <v/>
      </c>
    </row>
    <row r="73">
      <c r="A73" s="6">
        <f>IFERROR(INDEX(FILTER(INPUT_Rooms!$B$4:$B$83, INPUT_Rooms!$A$4:$A$83=$B$4, INPUT_Rooms!$O$4:$O$83="Y"), 63), "")</f>
        <v/>
      </c>
      <c r="B73" s="6">
        <f>IF(A73="","", XLOOKUP(A73, FILTER(INPUT_Rooms!$B$4:$B$83, INPUT_Rooms!$A$4:$A$83=$B$4), FILTER(INPUT_Rooms!$C$4:$C$83, INPUT_Rooms!$A$4:$A$83=$B$4), ""))</f>
        <v/>
      </c>
      <c r="C73" s="6">
        <f>IF(A73="","", "Y")</f>
        <v/>
      </c>
      <c r="D73" s="6">
        <f>IF(A73="","", XLOOKUP(A73, INPUT_Rooms!$B:$B, INPUT_Rooms!$AE:$AE, ""))</f>
        <v/>
      </c>
      <c r="E73" s="6">
        <f>IF(A73="","", XLOOKUP(A73, INPUT_Rooms!$B:$B, INPUT_Rooms!$H:$H, "")/12)</f>
        <v/>
      </c>
      <c r="F73" s="6">
        <f>IF(A73="","", LOOKUP(E73, Constants!$H$10:$H$40, Constants!$I$10:$I$40))</f>
        <v/>
      </c>
      <c r="G73" s="6">
        <f>IF(A73="","", XLOOKUP(A73, INPUT_Rooms!$B:$B, INPUT_Rooms!$P:$P, ""))</f>
        <v/>
      </c>
      <c r="H73" s="6">
        <f>IF(A73="","", XLOOKUP(A73, INPUT_Rooms!$B:$B, INPUT_Rooms!$Q:$Q, ""))</f>
        <v/>
      </c>
      <c r="I73" s="6">
        <f>IF(A73="","", IF(XLOOKUP(A73, INPUT_Rooms!$B:$B, INPUT_Rooms!$R:$R, "")="", $B$5, XLOOKUP(A73, INPUT_Rooms!$B:$B, INPUT_Rooms!$R:$R, "")))</f>
        <v/>
      </c>
      <c r="J73" s="6">
        <f>IF(A73="","", D73*XLOOKUP("PrepMinsPerSqft",Constants!$F$20:$F$40,Constants!$G$20:$G$40)*XLOOKUP(I73,Constants!$E$10:$E$30,Constants!$F$10:$F$30)*F73)</f>
        <v/>
      </c>
      <c r="K73" s="6">
        <f>IF(A73="","", D73*XLOOKUP("PaintMinsPerSqftPerCoat",Constants!$F$20:$F$40,Constants!$G$20:$G$40)*H73*F73)</f>
        <v/>
      </c>
      <c r="L73" s="6">
        <f>IF(A73="","", IF(G73="Full", D73*XLOOKUP("PrimerFullMinsPerSqft",Constants!$F$20:$F$40,Constants!$G$20:$G$40)*F73, IF(G73="Spot", D73*XLOOKUP("PrimerFullMinsPerSqft",Constants!$F$20:$F$40,Constants!$G$20:$G$40)*XLOOKUP("PrimerSpotFactor",Constants!$F$20:$F$40,Constants!$G$20:$G$40)*F73, 0)))</f>
        <v/>
      </c>
      <c r="M73" s="6">
        <f>IF($A73="","", IFERROR(XLOOKUP($A73, INPUT_Rooms!$B:$B, INPUT_Rooms!$S:$S, 0),0) + $W73)</f>
        <v/>
      </c>
      <c r="N73">
        <f>IF($A73="","",IF($C73&lt;&gt;"Y","",IF($D73="", "",IFERROR(CEILING( ($D73*$H73) / IFERROR(XLOOKUP(XLOOKUP('Job Control'!$B$3, INPUT_JobSettings!$A:$A, INPUT_JobSettings!$C:$C, ""), Constants!$A:$A, Constants!$D:$D, ""), ""), 0.25), ""))))</f>
        <v/>
      </c>
      <c r="O73">
        <f>IF($A73="","",IF($C73&lt;&gt;"Y",0,IF($G73="None",0,IF($D73="",0,CEILING(($D73*IF($G73="Full",1, XLOOKUP("PrimerSpotFactor",Constants!$A:$A,Constants!$B:$B,0.35))) / IFERROR(XLOOKUP(XLOOKUP('Job Control'!$B$3, INPUT_JobSettings!$A:$A, INPUT_JobSettings!$E:$E, ""),Constants!$A:$A,Constants!$D:$D),350),0.25)))))</f>
        <v/>
      </c>
      <c r="P73">
        <f>IF($A73="","",IFERROR($N73*IFERROR(XLOOKUP(XLOOKUP('Job Control'!$B$3, INPUT_JobSettings!$A:$A, INPUT_JobSettings!$C:$C, ""), Constants!$A:$A, Constants!$C:$C, 0), 0) + $O73*IFERROR(XLOOKUP(XLOOKUP('Job Control'!$B$3, INPUT_JobSettings!$A:$A, INPUT_JobSettings!$E:$E, ""), Constants!$A:$A, Constants!$C:$C, 0), 0) + $M73,0))</f>
        <v/>
      </c>
      <c r="Q73" s="6">
        <f>IF($A73="","", ($J73+$K73+$L73)*$V73 )</f>
        <v/>
      </c>
      <c r="R73" s="6">
        <f>IF($A73="","", $Q73/60)</f>
        <v/>
      </c>
      <c r="S73" s="6">
        <f>IF($A73="","", $R73*IFERROR(IF(XLOOKUP('Job Control'!$B$3, INPUT_JobSettings!$A:$A, INPUT_JobSettings!$F:$F, "")&lt;&gt;"", XLOOKUP('Job Control'!$B$3, INPUT_JobSettings!$A:$A, INPUT_JobSettings!$F:$F, ""), $B$6), $B$6) + $M73)</f>
        <v/>
      </c>
      <c r="T73" s="6">
        <f>IF($A73="","", ($S73+$P73)*IFERROR(IF(XLOOKUP('Job Control'!$B$3, INPUT_JobSettings!$A:$A, INPUT_JobSettings!$G:$G, "")&lt;&gt;"", XLOOKUP('Job Control'!$B$3, INPUT_JobSettings!$A:$A, INPUT_JobSettings!$G:$G, ""), $B$7), $B$7))</f>
        <v/>
      </c>
      <c r="U73" s="6">
        <f>IF($A73="","", IFERROR(XLOOKUP($A73, INPUT_Rooms!$B:$B, INPUT_Rooms!$AI:$AI, ""), ""))</f>
        <v/>
      </c>
      <c r="V73" s="6">
        <f>IF($C73&lt;&gt;"Y",0,IF($A73="","", IF($U73="", 1, IFERROR(XLOOKUP($U73, Constants!$A$160:$A$190, Constants!$C$160:$C$190, 1), 1))))</f>
        <v/>
      </c>
      <c r="W73" s="6">
        <f>IF($C73&lt;&gt;"Y",0,IF($A73="","", ($D73*IF($U73="",0,IFERROR(XLOOKUP($U73, Constants!$A$160:$A$190, Constants!$D$160:$D$190, 0),0))) ))</f>
        <v/>
      </c>
    </row>
    <row r="74">
      <c r="A74" s="6">
        <f>IFERROR(INDEX(FILTER(INPUT_Rooms!$B$4:$B$83, INPUT_Rooms!$A$4:$A$83=$B$4, INPUT_Rooms!$O$4:$O$83="Y"), 64), "")</f>
        <v/>
      </c>
      <c r="B74" s="6">
        <f>IF(A74="","", XLOOKUP(A74, FILTER(INPUT_Rooms!$B$4:$B$83, INPUT_Rooms!$A$4:$A$83=$B$4), FILTER(INPUT_Rooms!$C$4:$C$83, INPUT_Rooms!$A$4:$A$83=$B$4), ""))</f>
        <v/>
      </c>
      <c r="C74" s="6">
        <f>IF(A74="","", "Y")</f>
        <v/>
      </c>
      <c r="D74" s="6">
        <f>IF(A74="","", XLOOKUP(A74, INPUT_Rooms!$B:$B, INPUT_Rooms!$AE:$AE, ""))</f>
        <v/>
      </c>
      <c r="E74" s="6">
        <f>IF(A74="","", XLOOKUP(A74, INPUT_Rooms!$B:$B, INPUT_Rooms!$H:$H, "")/12)</f>
        <v/>
      </c>
      <c r="F74" s="6">
        <f>IF(A74="","", LOOKUP(E74, Constants!$H$10:$H$40, Constants!$I$10:$I$40))</f>
        <v/>
      </c>
      <c r="G74" s="6">
        <f>IF(A74="","", XLOOKUP(A74, INPUT_Rooms!$B:$B, INPUT_Rooms!$P:$P, ""))</f>
        <v/>
      </c>
      <c r="H74" s="6">
        <f>IF(A74="","", XLOOKUP(A74, INPUT_Rooms!$B:$B, INPUT_Rooms!$Q:$Q, ""))</f>
        <v/>
      </c>
      <c r="I74" s="6">
        <f>IF(A74="","", IF(XLOOKUP(A74, INPUT_Rooms!$B:$B, INPUT_Rooms!$R:$R, "")="", $B$5, XLOOKUP(A74, INPUT_Rooms!$B:$B, INPUT_Rooms!$R:$R, "")))</f>
        <v/>
      </c>
      <c r="J74" s="6">
        <f>IF(A74="","", D74*XLOOKUP("PrepMinsPerSqft",Constants!$F$20:$F$40,Constants!$G$20:$G$40)*XLOOKUP(I74,Constants!$E$10:$E$30,Constants!$F$10:$F$30)*F74)</f>
        <v/>
      </c>
      <c r="K74" s="6">
        <f>IF(A74="","", D74*XLOOKUP("PaintMinsPerSqftPerCoat",Constants!$F$20:$F$40,Constants!$G$20:$G$40)*H74*F74)</f>
        <v/>
      </c>
      <c r="L74" s="6">
        <f>IF(A74="","", IF(G74="Full", D74*XLOOKUP("PrimerFullMinsPerSqft",Constants!$F$20:$F$40,Constants!$G$20:$G$40)*F74, IF(G74="Spot", D74*XLOOKUP("PrimerFullMinsPerSqft",Constants!$F$20:$F$40,Constants!$G$20:$G$40)*XLOOKUP("PrimerSpotFactor",Constants!$F$20:$F$40,Constants!$G$20:$G$40)*F74, 0)))</f>
        <v/>
      </c>
      <c r="M74" s="6">
        <f>IF($A74="","", IFERROR(XLOOKUP($A74, INPUT_Rooms!$B:$B, INPUT_Rooms!$S:$S, 0),0) + $W74)</f>
        <v/>
      </c>
      <c r="N74">
        <f>IF($A74="","",IF($C74&lt;&gt;"Y","",IF($D74="", "",IFERROR(CEILING( ($D74*$H74) / IFERROR(XLOOKUP(XLOOKUP('Job Control'!$B$3, INPUT_JobSettings!$A:$A, INPUT_JobSettings!$C:$C, ""), Constants!$A:$A, Constants!$D:$D, ""), ""), 0.25), ""))))</f>
        <v/>
      </c>
      <c r="O74">
        <f>IF($A74="","",IF($C74&lt;&gt;"Y",0,IF($G74="None",0,IF($D74="",0,CEILING(($D74*IF($G74="Full",1, XLOOKUP("PrimerSpotFactor",Constants!$A:$A,Constants!$B:$B,0.35))) / IFERROR(XLOOKUP(XLOOKUP('Job Control'!$B$3, INPUT_JobSettings!$A:$A, INPUT_JobSettings!$E:$E, ""),Constants!$A:$A,Constants!$D:$D),350),0.25)))))</f>
        <v/>
      </c>
      <c r="P74">
        <f>IF($A74="","",IFERROR($N74*IFERROR(XLOOKUP(XLOOKUP('Job Control'!$B$3, INPUT_JobSettings!$A:$A, INPUT_JobSettings!$C:$C, ""), Constants!$A:$A, Constants!$C:$C, 0), 0) + $O74*IFERROR(XLOOKUP(XLOOKUP('Job Control'!$B$3, INPUT_JobSettings!$A:$A, INPUT_JobSettings!$E:$E, ""), Constants!$A:$A, Constants!$C:$C, 0), 0) + $M74,0))</f>
        <v/>
      </c>
      <c r="Q74" s="6">
        <f>IF($A74="","", ($J74+$K74+$L74)*$V74 )</f>
        <v/>
      </c>
      <c r="R74" s="6">
        <f>IF($A74="","", $Q74/60)</f>
        <v/>
      </c>
      <c r="S74" s="6">
        <f>IF($A74="","", $R74*IFERROR(IF(XLOOKUP('Job Control'!$B$3, INPUT_JobSettings!$A:$A, INPUT_JobSettings!$F:$F, "")&lt;&gt;"", XLOOKUP('Job Control'!$B$3, INPUT_JobSettings!$A:$A, INPUT_JobSettings!$F:$F, ""), $B$6), $B$6) + $M74)</f>
        <v/>
      </c>
      <c r="T74" s="6">
        <f>IF($A74="","", ($S74+$P74)*IFERROR(IF(XLOOKUP('Job Control'!$B$3, INPUT_JobSettings!$A:$A, INPUT_JobSettings!$G:$G, "")&lt;&gt;"", XLOOKUP('Job Control'!$B$3, INPUT_JobSettings!$A:$A, INPUT_JobSettings!$G:$G, ""), $B$7), $B$7))</f>
        <v/>
      </c>
      <c r="U74" s="6">
        <f>IF($A74="","", IFERROR(XLOOKUP($A74, INPUT_Rooms!$B:$B, INPUT_Rooms!$AI:$AI, ""), ""))</f>
        <v/>
      </c>
      <c r="V74" s="6">
        <f>IF($C74&lt;&gt;"Y",0,IF($A74="","", IF($U74="", 1, IFERROR(XLOOKUP($U74, Constants!$A$160:$A$190, Constants!$C$160:$C$190, 1), 1))))</f>
        <v/>
      </c>
      <c r="W74" s="6">
        <f>IF($C74&lt;&gt;"Y",0,IF($A74="","", ($D74*IF($U74="",0,IFERROR(XLOOKUP($U74, Constants!$A$160:$A$190, Constants!$D$160:$D$190, 0),0))) ))</f>
        <v/>
      </c>
    </row>
    <row r="75">
      <c r="A75" s="6">
        <f>IFERROR(INDEX(FILTER(INPUT_Rooms!$B$4:$B$83, INPUT_Rooms!$A$4:$A$83=$B$4, INPUT_Rooms!$O$4:$O$83="Y"), 65), "")</f>
        <v/>
      </c>
      <c r="B75" s="6">
        <f>IF(A75="","", XLOOKUP(A75, FILTER(INPUT_Rooms!$B$4:$B$83, INPUT_Rooms!$A$4:$A$83=$B$4), FILTER(INPUT_Rooms!$C$4:$C$83, INPUT_Rooms!$A$4:$A$83=$B$4), ""))</f>
        <v/>
      </c>
      <c r="C75" s="6">
        <f>IF(A75="","", "Y")</f>
        <v/>
      </c>
      <c r="D75" s="6">
        <f>IF(A75="","", XLOOKUP(A75, INPUT_Rooms!$B:$B, INPUT_Rooms!$AE:$AE, ""))</f>
        <v/>
      </c>
      <c r="E75" s="6">
        <f>IF(A75="","", XLOOKUP(A75, INPUT_Rooms!$B:$B, INPUT_Rooms!$H:$H, "")/12)</f>
        <v/>
      </c>
      <c r="F75" s="6">
        <f>IF(A75="","", LOOKUP(E75, Constants!$H$10:$H$40, Constants!$I$10:$I$40))</f>
        <v/>
      </c>
      <c r="G75" s="6">
        <f>IF(A75="","", XLOOKUP(A75, INPUT_Rooms!$B:$B, INPUT_Rooms!$P:$P, ""))</f>
        <v/>
      </c>
      <c r="H75" s="6">
        <f>IF(A75="","", XLOOKUP(A75, INPUT_Rooms!$B:$B, INPUT_Rooms!$Q:$Q, ""))</f>
        <v/>
      </c>
      <c r="I75" s="6">
        <f>IF(A75="","", IF(XLOOKUP(A75, INPUT_Rooms!$B:$B, INPUT_Rooms!$R:$R, "")="", $B$5, XLOOKUP(A75, INPUT_Rooms!$B:$B, INPUT_Rooms!$R:$R, "")))</f>
        <v/>
      </c>
      <c r="J75" s="6">
        <f>IF(A75="","", D75*XLOOKUP("PrepMinsPerSqft",Constants!$F$20:$F$40,Constants!$G$20:$G$40)*XLOOKUP(I75,Constants!$E$10:$E$30,Constants!$F$10:$F$30)*F75)</f>
        <v/>
      </c>
      <c r="K75" s="6">
        <f>IF(A75="","", D75*XLOOKUP("PaintMinsPerSqftPerCoat",Constants!$F$20:$F$40,Constants!$G$20:$G$40)*H75*F75)</f>
        <v/>
      </c>
      <c r="L75" s="6">
        <f>IF(A75="","", IF(G75="Full", D75*XLOOKUP("PrimerFullMinsPerSqft",Constants!$F$20:$F$40,Constants!$G$20:$G$40)*F75, IF(G75="Spot", D75*XLOOKUP("PrimerFullMinsPerSqft",Constants!$F$20:$F$40,Constants!$G$20:$G$40)*XLOOKUP("PrimerSpotFactor",Constants!$F$20:$F$40,Constants!$G$20:$G$40)*F75, 0)))</f>
        <v/>
      </c>
      <c r="M75" s="6">
        <f>IF($A75="","", IFERROR(XLOOKUP($A75, INPUT_Rooms!$B:$B, INPUT_Rooms!$S:$S, 0),0) + $W75)</f>
        <v/>
      </c>
      <c r="N75">
        <f>IF($A75="","",IF($C75&lt;&gt;"Y","",IF($D75="", "",IFERROR(CEILING( ($D75*$H75) / IFERROR(XLOOKUP(XLOOKUP('Job Control'!$B$3, INPUT_JobSettings!$A:$A, INPUT_JobSettings!$C:$C, ""), Constants!$A:$A, Constants!$D:$D, ""), ""), 0.25), ""))))</f>
        <v/>
      </c>
      <c r="O75">
        <f>IF($A75="","",IF($C75&lt;&gt;"Y",0,IF($G75="None",0,IF($D75="",0,CEILING(($D75*IF($G75="Full",1, XLOOKUP("PrimerSpotFactor",Constants!$A:$A,Constants!$B:$B,0.35))) / IFERROR(XLOOKUP(XLOOKUP('Job Control'!$B$3, INPUT_JobSettings!$A:$A, INPUT_JobSettings!$E:$E, ""),Constants!$A:$A,Constants!$D:$D),350),0.25)))))</f>
        <v/>
      </c>
      <c r="P75">
        <f>IF($A75="","",IFERROR($N75*IFERROR(XLOOKUP(XLOOKUP('Job Control'!$B$3, INPUT_JobSettings!$A:$A, INPUT_JobSettings!$C:$C, ""), Constants!$A:$A, Constants!$C:$C, 0), 0) + $O75*IFERROR(XLOOKUP(XLOOKUP('Job Control'!$B$3, INPUT_JobSettings!$A:$A, INPUT_JobSettings!$E:$E, ""), Constants!$A:$A, Constants!$C:$C, 0), 0) + $M75,0))</f>
        <v/>
      </c>
      <c r="Q75" s="6">
        <f>IF($A75="","", ($J75+$K75+$L75)*$V75 )</f>
        <v/>
      </c>
      <c r="R75" s="6">
        <f>IF($A75="","", $Q75/60)</f>
        <v/>
      </c>
      <c r="S75" s="6">
        <f>IF($A75="","", $R75*IFERROR(IF(XLOOKUP('Job Control'!$B$3, INPUT_JobSettings!$A:$A, INPUT_JobSettings!$F:$F, "")&lt;&gt;"", XLOOKUP('Job Control'!$B$3, INPUT_JobSettings!$A:$A, INPUT_JobSettings!$F:$F, ""), $B$6), $B$6) + $M75)</f>
        <v/>
      </c>
      <c r="T75" s="6">
        <f>IF($A75="","", ($S75+$P75)*IFERROR(IF(XLOOKUP('Job Control'!$B$3, INPUT_JobSettings!$A:$A, INPUT_JobSettings!$G:$G, "")&lt;&gt;"", XLOOKUP('Job Control'!$B$3, INPUT_JobSettings!$A:$A, INPUT_JobSettings!$G:$G, ""), $B$7), $B$7))</f>
        <v/>
      </c>
      <c r="U75" s="6">
        <f>IF($A75="","", IFERROR(XLOOKUP($A75, INPUT_Rooms!$B:$B, INPUT_Rooms!$AI:$AI, ""), ""))</f>
        <v/>
      </c>
      <c r="V75" s="6">
        <f>IF($C75&lt;&gt;"Y",0,IF($A75="","", IF($U75="", 1, IFERROR(XLOOKUP($U75, Constants!$A$160:$A$190, Constants!$C$160:$C$190, 1), 1))))</f>
        <v/>
      </c>
      <c r="W75" s="6">
        <f>IF($C75&lt;&gt;"Y",0,IF($A75="","", ($D75*IF($U75="",0,IFERROR(XLOOKUP($U75, Constants!$A$160:$A$190, Constants!$D$160:$D$190, 0),0))) ))</f>
        <v/>
      </c>
    </row>
    <row r="76">
      <c r="A76" s="6">
        <f>IFERROR(INDEX(FILTER(INPUT_Rooms!$B$4:$B$83, INPUT_Rooms!$A$4:$A$83=$B$4, INPUT_Rooms!$O$4:$O$83="Y"), 66), "")</f>
        <v/>
      </c>
      <c r="B76" s="6">
        <f>IF(A76="","", XLOOKUP(A76, FILTER(INPUT_Rooms!$B$4:$B$83, INPUT_Rooms!$A$4:$A$83=$B$4), FILTER(INPUT_Rooms!$C$4:$C$83, INPUT_Rooms!$A$4:$A$83=$B$4), ""))</f>
        <v/>
      </c>
      <c r="C76" s="6">
        <f>IF(A76="","", "Y")</f>
        <v/>
      </c>
      <c r="D76" s="6">
        <f>IF(A76="","", XLOOKUP(A76, INPUT_Rooms!$B:$B, INPUT_Rooms!$AE:$AE, ""))</f>
        <v/>
      </c>
      <c r="E76" s="6">
        <f>IF(A76="","", XLOOKUP(A76, INPUT_Rooms!$B:$B, INPUT_Rooms!$H:$H, "")/12)</f>
        <v/>
      </c>
      <c r="F76" s="6">
        <f>IF(A76="","", LOOKUP(E76, Constants!$H$10:$H$40, Constants!$I$10:$I$40))</f>
        <v/>
      </c>
      <c r="G76" s="6">
        <f>IF(A76="","", XLOOKUP(A76, INPUT_Rooms!$B:$B, INPUT_Rooms!$P:$P, ""))</f>
        <v/>
      </c>
      <c r="H76" s="6">
        <f>IF(A76="","", XLOOKUP(A76, INPUT_Rooms!$B:$B, INPUT_Rooms!$Q:$Q, ""))</f>
        <v/>
      </c>
      <c r="I76" s="6">
        <f>IF(A76="","", IF(XLOOKUP(A76, INPUT_Rooms!$B:$B, INPUT_Rooms!$R:$R, "")="", $B$5, XLOOKUP(A76, INPUT_Rooms!$B:$B, INPUT_Rooms!$R:$R, "")))</f>
        <v/>
      </c>
      <c r="J76" s="6">
        <f>IF(A76="","", D76*XLOOKUP("PrepMinsPerSqft",Constants!$F$20:$F$40,Constants!$G$20:$G$40)*XLOOKUP(I76,Constants!$E$10:$E$30,Constants!$F$10:$F$30)*F76)</f>
        <v/>
      </c>
      <c r="K76" s="6">
        <f>IF(A76="","", D76*XLOOKUP("PaintMinsPerSqftPerCoat",Constants!$F$20:$F$40,Constants!$G$20:$G$40)*H76*F76)</f>
        <v/>
      </c>
      <c r="L76" s="6">
        <f>IF(A76="","", IF(G76="Full", D76*XLOOKUP("PrimerFullMinsPerSqft",Constants!$F$20:$F$40,Constants!$G$20:$G$40)*F76, IF(G76="Spot", D76*XLOOKUP("PrimerFullMinsPerSqft",Constants!$F$20:$F$40,Constants!$G$20:$G$40)*XLOOKUP("PrimerSpotFactor",Constants!$F$20:$F$40,Constants!$G$20:$G$40)*F76, 0)))</f>
        <v/>
      </c>
      <c r="M76" s="6">
        <f>IF($A76="","", IFERROR(XLOOKUP($A76, INPUT_Rooms!$B:$B, INPUT_Rooms!$S:$S, 0),0) + $W76)</f>
        <v/>
      </c>
      <c r="N76">
        <f>IF($A76="","",IF($C76&lt;&gt;"Y","",IF($D76="", "",IFERROR(CEILING( ($D76*$H76) / IFERROR(XLOOKUP(XLOOKUP('Job Control'!$B$3, INPUT_JobSettings!$A:$A, INPUT_JobSettings!$C:$C, ""), Constants!$A:$A, Constants!$D:$D, ""), ""), 0.25), ""))))</f>
        <v/>
      </c>
      <c r="O76">
        <f>IF($A76="","",IF($C76&lt;&gt;"Y",0,IF($G76="None",0,IF($D76="",0,CEILING(($D76*IF($G76="Full",1, XLOOKUP("PrimerSpotFactor",Constants!$A:$A,Constants!$B:$B,0.35))) / IFERROR(XLOOKUP(XLOOKUP('Job Control'!$B$3, INPUT_JobSettings!$A:$A, INPUT_JobSettings!$E:$E, ""),Constants!$A:$A,Constants!$D:$D),350),0.25)))))</f>
        <v/>
      </c>
      <c r="P76">
        <f>IF($A76="","",IFERROR($N76*IFERROR(XLOOKUP(XLOOKUP('Job Control'!$B$3, INPUT_JobSettings!$A:$A, INPUT_JobSettings!$C:$C, ""), Constants!$A:$A, Constants!$C:$C, 0), 0) + $O76*IFERROR(XLOOKUP(XLOOKUP('Job Control'!$B$3, INPUT_JobSettings!$A:$A, INPUT_JobSettings!$E:$E, ""), Constants!$A:$A, Constants!$C:$C, 0), 0) + $M76,0))</f>
        <v/>
      </c>
      <c r="Q76" s="6">
        <f>IF($A76="","", ($J76+$K76+$L76)*$V76 )</f>
        <v/>
      </c>
      <c r="R76" s="6">
        <f>IF($A76="","", $Q76/60)</f>
        <v/>
      </c>
      <c r="S76" s="6">
        <f>IF($A76="","", $R76*IFERROR(IF(XLOOKUP('Job Control'!$B$3, INPUT_JobSettings!$A:$A, INPUT_JobSettings!$F:$F, "")&lt;&gt;"", XLOOKUP('Job Control'!$B$3, INPUT_JobSettings!$A:$A, INPUT_JobSettings!$F:$F, ""), $B$6), $B$6) + $M76)</f>
        <v/>
      </c>
      <c r="T76" s="6">
        <f>IF($A76="","", ($S76+$P76)*IFERROR(IF(XLOOKUP('Job Control'!$B$3, INPUT_JobSettings!$A:$A, INPUT_JobSettings!$G:$G, "")&lt;&gt;"", XLOOKUP('Job Control'!$B$3, INPUT_JobSettings!$A:$A, INPUT_JobSettings!$G:$G, ""), $B$7), $B$7))</f>
        <v/>
      </c>
      <c r="U76" s="6">
        <f>IF($A76="","", IFERROR(XLOOKUP($A76, INPUT_Rooms!$B:$B, INPUT_Rooms!$AI:$AI, ""), ""))</f>
        <v/>
      </c>
      <c r="V76" s="6">
        <f>IF($C76&lt;&gt;"Y",0,IF($A76="","", IF($U76="", 1, IFERROR(XLOOKUP($U76, Constants!$A$160:$A$190, Constants!$C$160:$C$190, 1), 1))))</f>
        <v/>
      </c>
      <c r="W76" s="6">
        <f>IF($C76&lt;&gt;"Y",0,IF($A76="","", ($D76*IF($U76="",0,IFERROR(XLOOKUP($U76, Constants!$A$160:$A$190, Constants!$D$160:$D$190, 0),0))) ))</f>
        <v/>
      </c>
    </row>
    <row r="77">
      <c r="A77" s="6">
        <f>IFERROR(INDEX(FILTER(INPUT_Rooms!$B$4:$B$83, INPUT_Rooms!$A$4:$A$83=$B$4, INPUT_Rooms!$O$4:$O$83="Y"), 67), "")</f>
        <v/>
      </c>
      <c r="B77" s="6">
        <f>IF(A77="","", XLOOKUP(A77, FILTER(INPUT_Rooms!$B$4:$B$83, INPUT_Rooms!$A$4:$A$83=$B$4), FILTER(INPUT_Rooms!$C$4:$C$83, INPUT_Rooms!$A$4:$A$83=$B$4), ""))</f>
        <v/>
      </c>
      <c r="C77" s="6">
        <f>IF(A77="","", "Y")</f>
        <v/>
      </c>
      <c r="D77" s="6">
        <f>IF(A77="","", XLOOKUP(A77, INPUT_Rooms!$B:$B, INPUT_Rooms!$AE:$AE, ""))</f>
        <v/>
      </c>
      <c r="E77" s="6">
        <f>IF(A77="","", XLOOKUP(A77, INPUT_Rooms!$B:$B, INPUT_Rooms!$H:$H, "")/12)</f>
        <v/>
      </c>
      <c r="F77" s="6">
        <f>IF(A77="","", LOOKUP(E77, Constants!$H$10:$H$40, Constants!$I$10:$I$40))</f>
        <v/>
      </c>
      <c r="G77" s="6">
        <f>IF(A77="","", XLOOKUP(A77, INPUT_Rooms!$B:$B, INPUT_Rooms!$P:$P, ""))</f>
        <v/>
      </c>
      <c r="H77" s="6">
        <f>IF(A77="","", XLOOKUP(A77, INPUT_Rooms!$B:$B, INPUT_Rooms!$Q:$Q, ""))</f>
        <v/>
      </c>
      <c r="I77" s="6">
        <f>IF(A77="","", IF(XLOOKUP(A77, INPUT_Rooms!$B:$B, INPUT_Rooms!$R:$R, "")="", $B$5, XLOOKUP(A77, INPUT_Rooms!$B:$B, INPUT_Rooms!$R:$R, "")))</f>
        <v/>
      </c>
      <c r="J77" s="6">
        <f>IF(A77="","", D77*XLOOKUP("PrepMinsPerSqft",Constants!$F$20:$F$40,Constants!$G$20:$G$40)*XLOOKUP(I77,Constants!$E$10:$E$30,Constants!$F$10:$F$30)*F77)</f>
        <v/>
      </c>
      <c r="K77" s="6">
        <f>IF(A77="","", D77*XLOOKUP("PaintMinsPerSqftPerCoat",Constants!$F$20:$F$40,Constants!$G$20:$G$40)*H77*F77)</f>
        <v/>
      </c>
      <c r="L77" s="6">
        <f>IF(A77="","", IF(G77="Full", D77*XLOOKUP("PrimerFullMinsPerSqft",Constants!$F$20:$F$40,Constants!$G$20:$G$40)*F77, IF(G77="Spot", D77*XLOOKUP("PrimerFullMinsPerSqft",Constants!$F$20:$F$40,Constants!$G$20:$G$40)*XLOOKUP("PrimerSpotFactor",Constants!$F$20:$F$40,Constants!$G$20:$G$40)*F77, 0)))</f>
        <v/>
      </c>
      <c r="M77" s="6">
        <f>IF($A77="","", IFERROR(XLOOKUP($A77, INPUT_Rooms!$B:$B, INPUT_Rooms!$S:$S, 0),0) + $W77)</f>
        <v/>
      </c>
      <c r="N77">
        <f>IF($A77="","",IF($C77&lt;&gt;"Y","",IF($D77="", "",IFERROR(CEILING( ($D77*$H77) / IFERROR(XLOOKUP(XLOOKUP('Job Control'!$B$3, INPUT_JobSettings!$A:$A, INPUT_JobSettings!$C:$C, ""), Constants!$A:$A, Constants!$D:$D, ""), ""), 0.25), ""))))</f>
        <v/>
      </c>
      <c r="O77">
        <f>IF($A77="","",IF($C77&lt;&gt;"Y",0,IF($G77="None",0,IF($D77="",0,CEILING(($D77*IF($G77="Full",1, XLOOKUP("PrimerSpotFactor",Constants!$A:$A,Constants!$B:$B,0.35))) / IFERROR(XLOOKUP(XLOOKUP('Job Control'!$B$3, INPUT_JobSettings!$A:$A, INPUT_JobSettings!$E:$E, ""),Constants!$A:$A,Constants!$D:$D),350),0.25)))))</f>
        <v/>
      </c>
      <c r="P77">
        <f>IF($A77="","",IFERROR($N77*IFERROR(XLOOKUP(XLOOKUP('Job Control'!$B$3, INPUT_JobSettings!$A:$A, INPUT_JobSettings!$C:$C, ""), Constants!$A:$A, Constants!$C:$C, 0), 0) + $O77*IFERROR(XLOOKUP(XLOOKUP('Job Control'!$B$3, INPUT_JobSettings!$A:$A, INPUT_JobSettings!$E:$E, ""), Constants!$A:$A, Constants!$C:$C, 0), 0) + $M77,0))</f>
        <v/>
      </c>
      <c r="Q77" s="6">
        <f>IF($A77="","", ($J77+$K77+$L77)*$V77 )</f>
        <v/>
      </c>
      <c r="R77" s="6">
        <f>IF($A77="","", $Q77/60)</f>
        <v/>
      </c>
      <c r="S77" s="6">
        <f>IF($A77="","", $R77*IFERROR(IF(XLOOKUP('Job Control'!$B$3, INPUT_JobSettings!$A:$A, INPUT_JobSettings!$F:$F, "")&lt;&gt;"", XLOOKUP('Job Control'!$B$3, INPUT_JobSettings!$A:$A, INPUT_JobSettings!$F:$F, ""), $B$6), $B$6) + $M77)</f>
        <v/>
      </c>
      <c r="T77" s="6">
        <f>IF($A77="","", ($S77+$P77)*IFERROR(IF(XLOOKUP('Job Control'!$B$3, INPUT_JobSettings!$A:$A, INPUT_JobSettings!$G:$G, "")&lt;&gt;"", XLOOKUP('Job Control'!$B$3, INPUT_JobSettings!$A:$A, INPUT_JobSettings!$G:$G, ""), $B$7), $B$7))</f>
        <v/>
      </c>
      <c r="U77" s="6">
        <f>IF($A77="","", IFERROR(XLOOKUP($A77, INPUT_Rooms!$B:$B, INPUT_Rooms!$AI:$AI, ""), ""))</f>
        <v/>
      </c>
      <c r="V77" s="6">
        <f>IF($C77&lt;&gt;"Y",0,IF($A77="","", IF($U77="", 1, IFERROR(XLOOKUP($U77, Constants!$A$160:$A$190, Constants!$C$160:$C$190, 1), 1))))</f>
        <v/>
      </c>
      <c r="W77" s="6">
        <f>IF($C77&lt;&gt;"Y",0,IF($A77="","", ($D77*IF($U77="",0,IFERROR(XLOOKUP($U77, Constants!$A$160:$A$190, Constants!$D$160:$D$190, 0),0))) ))</f>
        <v/>
      </c>
    </row>
    <row r="78">
      <c r="A78" s="6">
        <f>IFERROR(INDEX(FILTER(INPUT_Rooms!$B$4:$B$83, INPUT_Rooms!$A$4:$A$83=$B$4, INPUT_Rooms!$O$4:$O$83="Y"), 68), "")</f>
        <v/>
      </c>
      <c r="B78" s="6">
        <f>IF(A78="","", XLOOKUP(A78, FILTER(INPUT_Rooms!$B$4:$B$83, INPUT_Rooms!$A$4:$A$83=$B$4), FILTER(INPUT_Rooms!$C$4:$C$83, INPUT_Rooms!$A$4:$A$83=$B$4), ""))</f>
        <v/>
      </c>
      <c r="C78" s="6">
        <f>IF(A78="","", "Y")</f>
        <v/>
      </c>
      <c r="D78" s="6">
        <f>IF(A78="","", XLOOKUP(A78, INPUT_Rooms!$B:$B, INPUT_Rooms!$AE:$AE, ""))</f>
        <v/>
      </c>
      <c r="E78" s="6">
        <f>IF(A78="","", XLOOKUP(A78, INPUT_Rooms!$B:$B, INPUT_Rooms!$H:$H, "")/12)</f>
        <v/>
      </c>
      <c r="F78" s="6">
        <f>IF(A78="","", LOOKUP(E78, Constants!$H$10:$H$40, Constants!$I$10:$I$40))</f>
        <v/>
      </c>
      <c r="G78" s="6">
        <f>IF(A78="","", XLOOKUP(A78, INPUT_Rooms!$B:$B, INPUT_Rooms!$P:$P, ""))</f>
        <v/>
      </c>
      <c r="H78" s="6">
        <f>IF(A78="","", XLOOKUP(A78, INPUT_Rooms!$B:$B, INPUT_Rooms!$Q:$Q, ""))</f>
        <v/>
      </c>
      <c r="I78" s="6">
        <f>IF(A78="","", IF(XLOOKUP(A78, INPUT_Rooms!$B:$B, INPUT_Rooms!$R:$R, "")="", $B$5, XLOOKUP(A78, INPUT_Rooms!$B:$B, INPUT_Rooms!$R:$R, "")))</f>
        <v/>
      </c>
      <c r="J78" s="6">
        <f>IF(A78="","", D78*XLOOKUP("PrepMinsPerSqft",Constants!$F$20:$F$40,Constants!$G$20:$G$40)*XLOOKUP(I78,Constants!$E$10:$E$30,Constants!$F$10:$F$30)*F78)</f>
        <v/>
      </c>
      <c r="K78" s="6">
        <f>IF(A78="","", D78*XLOOKUP("PaintMinsPerSqftPerCoat",Constants!$F$20:$F$40,Constants!$G$20:$G$40)*H78*F78)</f>
        <v/>
      </c>
      <c r="L78" s="6">
        <f>IF(A78="","", IF(G78="Full", D78*XLOOKUP("PrimerFullMinsPerSqft",Constants!$F$20:$F$40,Constants!$G$20:$G$40)*F78, IF(G78="Spot", D78*XLOOKUP("PrimerFullMinsPerSqft",Constants!$F$20:$F$40,Constants!$G$20:$G$40)*XLOOKUP("PrimerSpotFactor",Constants!$F$20:$F$40,Constants!$G$20:$G$40)*F78, 0)))</f>
        <v/>
      </c>
      <c r="M78" s="6">
        <f>IF($A78="","", IFERROR(XLOOKUP($A78, INPUT_Rooms!$B:$B, INPUT_Rooms!$S:$S, 0),0) + $W78)</f>
        <v/>
      </c>
      <c r="N78">
        <f>IF($A78="","",IF($C78&lt;&gt;"Y","",IF($D78="", "",IFERROR(CEILING( ($D78*$H78) / IFERROR(XLOOKUP(XLOOKUP('Job Control'!$B$3, INPUT_JobSettings!$A:$A, INPUT_JobSettings!$C:$C, ""), Constants!$A:$A, Constants!$D:$D, ""), ""), 0.25), ""))))</f>
        <v/>
      </c>
      <c r="O78">
        <f>IF($A78="","",IF($C78&lt;&gt;"Y",0,IF($G78="None",0,IF($D78="",0,CEILING(($D78*IF($G78="Full",1, XLOOKUP("PrimerSpotFactor",Constants!$A:$A,Constants!$B:$B,0.35))) / IFERROR(XLOOKUP(XLOOKUP('Job Control'!$B$3, INPUT_JobSettings!$A:$A, INPUT_JobSettings!$E:$E, ""),Constants!$A:$A,Constants!$D:$D),350),0.25)))))</f>
        <v/>
      </c>
      <c r="P78">
        <f>IF($A78="","",IFERROR($N78*IFERROR(XLOOKUP(XLOOKUP('Job Control'!$B$3, INPUT_JobSettings!$A:$A, INPUT_JobSettings!$C:$C, ""), Constants!$A:$A, Constants!$C:$C, 0), 0) + $O78*IFERROR(XLOOKUP(XLOOKUP('Job Control'!$B$3, INPUT_JobSettings!$A:$A, INPUT_JobSettings!$E:$E, ""), Constants!$A:$A, Constants!$C:$C, 0), 0) + $M78,0))</f>
        <v/>
      </c>
      <c r="Q78" s="6">
        <f>IF($A78="","", ($J78+$K78+$L78)*$V78 )</f>
        <v/>
      </c>
      <c r="R78" s="6">
        <f>IF($A78="","", $Q78/60)</f>
        <v/>
      </c>
      <c r="S78" s="6">
        <f>IF($A78="","", $R78*IFERROR(IF(XLOOKUP('Job Control'!$B$3, INPUT_JobSettings!$A:$A, INPUT_JobSettings!$F:$F, "")&lt;&gt;"", XLOOKUP('Job Control'!$B$3, INPUT_JobSettings!$A:$A, INPUT_JobSettings!$F:$F, ""), $B$6), $B$6) + $M78)</f>
        <v/>
      </c>
      <c r="T78" s="6">
        <f>IF($A78="","", ($S78+$P78)*IFERROR(IF(XLOOKUP('Job Control'!$B$3, INPUT_JobSettings!$A:$A, INPUT_JobSettings!$G:$G, "")&lt;&gt;"", XLOOKUP('Job Control'!$B$3, INPUT_JobSettings!$A:$A, INPUT_JobSettings!$G:$G, ""), $B$7), $B$7))</f>
        <v/>
      </c>
      <c r="U78" s="6">
        <f>IF($A78="","", IFERROR(XLOOKUP($A78, INPUT_Rooms!$B:$B, INPUT_Rooms!$AI:$AI, ""), ""))</f>
        <v/>
      </c>
      <c r="V78" s="6">
        <f>IF($C78&lt;&gt;"Y",0,IF($A78="","", IF($U78="", 1, IFERROR(XLOOKUP($U78, Constants!$A$160:$A$190, Constants!$C$160:$C$190, 1), 1))))</f>
        <v/>
      </c>
      <c r="W78" s="6">
        <f>IF($C78&lt;&gt;"Y",0,IF($A78="","", ($D78*IF($U78="",0,IFERROR(XLOOKUP($U78, Constants!$A$160:$A$190, Constants!$D$160:$D$190, 0),0))) ))</f>
        <v/>
      </c>
    </row>
    <row r="79">
      <c r="A79" s="6">
        <f>IFERROR(INDEX(FILTER(INPUT_Rooms!$B$4:$B$83, INPUT_Rooms!$A$4:$A$83=$B$4, INPUT_Rooms!$O$4:$O$83="Y"), 69), "")</f>
        <v/>
      </c>
      <c r="B79" s="6">
        <f>IF(A79="","", XLOOKUP(A79, FILTER(INPUT_Rooms!$B$4:$B$83, INPUT_Rooms!$A$4:$A$83=$B$4), FILTER(INPUT_Rooms!$C$4:$C$83, INPUT_Rooms!$A$4:$A$83=$B$4), ""))</f>
        <v/>
      </c>
      <c r="C79" s="6">
        <f>IF(A79="","", "Y")</f>
        <v/>
      </c>
      <c r="D79" s="6">
        <f>IF(A79="","", XLOOKUP(A79, INPUT_Rooms!$B:$B, INPUT_Rooms!$AE:$AE, ""))</f>
        <v/>
      </c>
      <c r="E79" s="6">
        <f>IF(A79="","", XLOOKUP(A79, INPUT_Rooms!$B:$B, INPUT_Rooms!$H:$H, "")/12)</f>
        <v/>
      </c>
      <c r="F79" s="6">
        <f>IF(A79="","", LOOKUP(E79, Constants!$H$10:$H$40, Constants!$I$10:$I$40))</f>
        <v/>
      </c>
      <c r="G79" s="6">
        <f>IF(A79="","", XLOOKUP(A79, INPUT_Rooms!$B:$B, INPUT_Rooms!$P:$P, ""))</f>
        <v/>
      </c>
      <c r="H79" s="6">
        <f>IF(A79="","", XLOOKUP(A79, INPUT_Rooms!$B:$B, INPUT_Rooms!$Q:$Q, ""))</f>
        <v/>
      </c>
      <c r="I79" s="6">
        <f>IF(A79="","", IF(XLOOKUP(A79, INPUT_Rooms!$B:$B, INPUT_Rooms!$R:$R, "")="", $B$5, XLOOKUP(A79, INPUT_Rooms!$B:$B, INPUT_Rooms!$R:$R, "")))</f>
        <v/>
      </c>
      <c r="J79" s="6">
        <f>IF(A79="","", D79*XLOOKUP("PrepMinsPerSqft",Constants!$F$20:$F$40,Constants!$G$20:$G$40)*XLOOKUP(I79,Constants!$E$10:$E$30,Constants!$F$10:$F$30)*F79)</f>
        <v/>
      </c>
      <c r="K79" s="6">
        <f>IF(A79="","", D79*XLOOKUP("PaintMinsPerSqftPerCoat",Constants!$F$20:$F$40,Constants!$G$20:$G$40)*H79*F79)</f>
        <v/>
      </c>
      <c r="L79" s="6">
        <f>IF(A79="","", IF(G79="Full", D79*XLOOKUP("PrimerFullMinsPerSqft",Constants!$F$20:$F$40,Constants!$G$20:$G$40)*F79, IF(G79="Spot", D79*XLOOKUP("PrimerFullMinsPerSqft",Constants!$F$20:$F$40,Constants!$G$20:$G$40)*XLOOKUP("PrimerSpotFactor",Constants!$F$20:$F$40,Constants!$G$20:$G$40)*F79, 0)))</f>
        <v/>
      </c>
      <c r="M79" s="6">
        <f>IF($A79="","", IFERROR(XLOOKUP($A79, INPUT_Rooms!$B:$B, INPUT_Rooms!$S:$S, 0),0) + $W79)</f>
        <v/>
      </c>
      <c r="N79">
        <f>IF($A79="","",IF($C79&lt;&gt;"Y","",IF($D79="", "",IFERROR(CEILING( ($D79*$H79) / IFERROR(XLOOKUP(XLOOKUP('Job Control'!$B$3, INPUT_JobSettings!$A:$A, INPUT_JobSettings!$C:$C, ""), Constants!$A:$A, Constants!$D:$D, ""), ""), 0.25), ""))))</f>
        <v/>
      </c>
      <c r="O79">
        <f>IF($A79="","",IF($C79&lt;&gt;"Y",0,IF($G79="None",0,IF($D79="",0,CEILING(($D79*IF($G79="Full",1, XLOOKUP("PrimerSpotFactor",Constants!$A:$A,Constants!$B:$B,0.35))) / IFERROR(XLOOKUP(XLOOKUP('Job Control'!$B$3, INPUT_JobSettings!$A:$A, INPUT_JobSettings!$E:$E, ""),Constants!$A:$A,Constants!$D:$D),350),0.25)))))</f>
        <v/>
      </c>
      <c r="P79">
        <f>IF($A79="","",IFERROR($N79*IFERROR(XLOOKUP(XLOOKUP('Job Control'!$B$3, INPUT_JobSettings!$A:$A, INPUT_JobSettings!$C:$C, ""), Constants!$A:$A, Constants!$C:$C, 0), 0) + $O79*IFERROR(XLOOKUP(XLOOKUP('Job Control'!$B$3, INPUT_JobSettings!$A:$A, INPUT_JobSettings!$E:$E, ""), Constants!$A:$A, Constants!$C:$C, 0), 0) + $M79,0))</f>
        <v/>
      </c>
      <c r="Q79" s="6">
        <f>IF($A79="","", ($J79+$K79+$L79)*$V79 )</f>
        <v/>
      </c>
      <c r="R79" s="6">
        <f>IF($A79="","", $Q79/60)</f>
        <v/>
      </c>
      <c r="S79" s="6">
        <f>IF($A79="","", $R79*IFERROR(IF(XLOOKUP('Job Control'!$B$3, INPUT_JobSettings!$A:$A, INPUT_JobSettings!$F:$F, "")&lt;&gt;"", XLOOKUP('Job Control'!$B$3, INPUT_JobSettings!$A:$A, INPUT_JobSettings!$F:$F, ""), $B$6), $B$6) + $M79)</f>
        <v/>
      </c>
      <c r="T79" s="6">
        <f>IF($A79="","", ($S79+$P79)*IFERROR(IF(XLOOKUP('Job Control'!$B$3, INPUT_JobSettings!$A:$A, INPUT_JobSettings!$G:$G, "")&lt;&gt;"", XLOOKUP('Job Control'!$B$3, INPUT_JobSettings!$A:$A, INPUT_JobSettings!$G:$G, ""), $B$7), $B$7))</f>
        <v/>
      </c>
      <c r="U79" s="6">
        <f>IF($A79="","", IFERROR(XLOOKUP($A79, INPUT_Rooms!$B:$B, INPUT_Rooms!$AI:$AI, ""), ""))</f>
        <v/>
      </c>
      <c r="V79" s="6">
        <f>IF($C79&lt;&gt;"Y",0,IF($A79="","", IF($U79="", 1, IFERROR(XLOOKUP($U79, Constants!$A$160:$A$190, Constants!$C$160:$C$190, 1), 1))))</f>
        <v/>
      </c>
      <c r="W79" s="6">
        <f>IF($C79&lt;&gt;"Y",0,IF($A79="","", ($D79*IF($U79="",0,IFERROR(XLOOKUP($U79, Constants!$A$160:$A$190, Constants!$D$160:$D$190, 0),0))) ))</f>
        <v/>
      </c>
    </row>
    <row r="80">
      <c r="A80" s="6">
        <f>IFERROR(INDEX(FILTER(INPUT_Rooms!$B$4:$B$83, INPUT_Rooms!$A$4:$A$83=$B$4, INPUT_Rooms!$O$4:$O$83="Y"), 70), "")</f>
        <v/>
      </c>
      <c r="B80" s="6">
        <f>IF(A80="","", XLOOKUP(A80, FILTER(INPUT_Rooms!$B$4:$B$83, INPUT_Rooms!$A$4:$A$83=$B$4), FILTER(INPUT_Rooms!$C$4:$C$83, INPUT_Rooms!$A$4:$A$83=$B$4), ""))</f>
        <v/>
      </c>
      <c r="C80" s="6">
        <f>IF(A80="","", "Y")</f>
        <v/>
      </c>
      <c r="D80" s="6">
        <f>IF(A80="","", XLOOKUP(A80, INPUT_Rooms!$B:$B, INPUT_Rooms!$AE:$AE, ""))</f>
        <v/>
      </c>
      <c r="E80" s="6">
        <f>IF(A80="","", XLOOKUP(A80, INPUT_Rooms!$B:$B, INPUT_Rooms!$H:$H, "")/12)</f>
        <v/>
      </c>
      <c r="F80" s="6">
        <f>IF(A80="","", LOOKUP(E80, Constants!$H$10:$H$40, Constants!$I$10:$I$40))</f>
        <v/>
      </c>
      <c r="G80" s="6">
        <f>IF(A80="","", XLOOKUP(A80, INPUT_Rooms!$B:$B, INPUT_Rooms!$P:$P, ""))</f>
        <v/>
      </c>
      <c r="H80" s="6">
        <f>IF(A80="","", XLOOKUP(A80, INPUT_Rooms!$B:$B, INPUT_Rooms!$Q:$Q, ""))</f>
        <v/>
      </c>
      <c r="I80" s="6">
        <f>IF(A80="","", IF(XLOOKUP(A80, INPUT_Rooms!$B:$B, INPUT_Rooms!$R:$R, "")="", $B$5, XLOOKUP(A80, INPUT_Rooms!$B:$B, INPUT_Rooms!$R:$R, "")))</f>
        <v/>
      </c>
      <c r="J80" s="6">
        <f>IF(A80="","", D80*XLOOKUP("PrepMinsPerSqft",Constants!$F$20:$F$40,Constants!$G$20:$G$40)*XLOOKUP(I80,Constants!$E$10:$E$30,Constants!$F$10:$F$30)*F80)</f>
        <v/>
      </c>
      <c r="K80" s="6">
        <f>IF(A80="","", D80*XLOOKUP("PaintMinsPerSqftPerCoat",Constants!$F$20:$F$40,Constants!$G$20:$G$40)*H80*F80)</f>
        <v/>
      </c>
      <c r="L80" s="6">
        <f>IF(A80="","", IF(G80="Full", D80*XLOOKUP("PrimerFullMinsPerSqft",Constants!$F$20:$F$40,Constants!$G$20:$G$40)*F80, IF(G80="Spot", D80*XLOOKUP("PrimerFullMinsPerSqft",Constants!$F$20:$F$40,Constants!$G$20:$G$40)*XLOOKUP("PrimerSpotFactor",Constants!$F$20:$F$40,Constants!$G$20:$G$40)*F80, 0)))</f>
        <v/>
      </c>
      <c r="M80" s="6">
        <f>IF($A80="","", IFERROR(XLOOKUP($A80, INPUT_Rooms!$B:$B, INPUT_Rooms!$S:$S, 0),0) + $W80)</f>
        <v/>
      </c>
      <c r="N80">
        <f>IF($A80="","",IF($C80&lt;&gt;"Y","",IF($D80="", "",IFERROR(CEILING( ($D80*$H80) / IFERROR(XLOOKUP(XLOOKUP('Job Control'!$B$3, INPUT_JobSettings!$A:$A, INPUT_JobSettings!$C:$C, ""), Constants!$A:$A, Constants!$D:$D, ""), ""), 0.25), ""))))</f>
        <v/>
      </c>
      <c r="O80">
        <f>IF($A80="","",IF($C80&lt;&gt;"Y",0,IF($G80="None",0,IF($D80="",0,CEILING(($D80*IF($G80="Full",1, XLOOKUP("PrimerSpotFactor",Constants!$A:$A,Constants!$B:$B,0.35))) / IFERROR(XLOOKUP(XLOOKUP('Job Control'!$B$3, INPUT_JobSettings!$A:$A, INPUT_JobSettings!$E:$E, ""),Constants!$A:$A,Constants!$D:$D),350),0.25)))))</f>
        <v/>
      </c>
      <c r="P80">
        <f>IF($A80="","",IFERROR($N80*IFERROR(XLOOKUP(XLOOKUP('Job Control'!$B$3, INPUT_JobSettings!$A:$A, INPUT_JobSettings!$C:$C, ""), Constants!$A:$A, Constants!$C:$C, 0), 0) + $O80*IFERROR(XLOOKUP(XLOOKUP('Job Control'!$B$3, INPUT_JobSettings!$A:$A, INPUT_JobSettings!$E:$E, ""), Constants!$A:$A, Constants!$C:$C, 0), 0) + $M80,0))</f>
        <v/>
      </c>
      <c r="Q80" s="6">
        <f>IF($A80="","", ($J80+$K80+$L80)*$V80 )</f>
        <v/>
      </c>
      <c r="R80" s="6">
        <f>IF($A80="","", $Q80/60)</f>
        <v/>
      </c>
      <c r="S80" s="6">
        <f>IF($A80="","", $R80*IFERROR(IF(XLOOKUP('Job Control'!$B$3, INPUT_JobSettings!$A:$A, INPUT_JobSettings!$F:$F, "")&lt;&gt;"", XLOOKUP('Job Control'!$B$3, INPUT_JobSettings!$A:$A, INPUT_JobSettings!$F:$F, ""), $B$6), $B$6) + $M80)</f>
        <v/>
      </c>
      <c r="T80" s="6">
        <f>IF($A80="","", ($S80+$P80)*IFERROR(IF(XLOOKUP('Job Control'!$B$3, INPUT_JobSettings!$A:$A, INPUT_JobSettings!$G:$G, "")&lt;&gt;"", XLOOKUP('Job Control'!$B$3, INPUT_JobSettings!$A:$A, INPUT_JobSettings!$G:$G, ""), $B$7), $B$7))</f>
        <v/>
      </c>
      <c r="U80" s="6">
        <f>IF($A80="","", IFERROR(XLOOKUP($A80, INPUT_Rooms!$B:$B, INPUT_Rooms!$AI:$AI, ""), ""))</f>
        <v/>
      </c>
      <c r="V80" s="6">
        <f>IF($C80&lt;&gt;"Y",0,IF($A80="","", IF($U80="", 1, IFERROR(XLOOKUP($U80, Constants!$A$160:$A$190, Constants!$C$160:$C$190, 1), 1))))</f>
        <v/>
      </c>
      <c r="W80" s="6">
        <f>IF($C80&lt;&gt;"Y",0,IF($A80="","", ($D80*IF($U80="",0,IFERROR(XLOOKUP($U80, Constants!$A$160:$A$190, Constants!$D$160:$D$190, 0),0))) ))</f>
        <v/>
      </c>
    </row>
    <row r="81">
      <c r="A81" s="6">
        <f>IFERROR(INDEX(FILTER(INPUT_Rooms!$B$4:$B$83, INPUT_Rooms!$A$4:$A$83=$B$4, INPUT_Rooms!$O$4:$O$83="Y"), 71), "")</f>
        <v/>
      </c>
      <c r="B81" s="6">
        <f>IF(A81="","", XLOOKUP(A81, FILTER(INPUT_Rooms!$B$4:$B$83, INPUT_Rooms!$A$4:$A$83=$B$4), FILTER(INPUT_Rooms!$C$4:$C$83, INPUT_Rooms!$A$4:$A$83=$B$4), ""))</f>
        <v/>
      </c>
      <c r="C81" s="6">
        <f>IF(A81="","", "Y")</f>
        <v/>
      </c>
      <c r="D81" s="6">
        <f>IF(A81="","", XLOOKUP(A81, INPUT_Rooms!$B:$B, INPUT_Rooms!$AE:$AE, ""))</f>
        <v/>
      </c>
      <c r="E81" s="6">
        <f>IF(A81="","", XLOOKUP(A81, INPUT_Rooms!$B:$B, INPUT_Rooms!$H:$H, "")/12)</f>
        <v/>
      </c>
      <c r="F81" s="6">
        <f>IF(A81="","", LOOKUP(E81, Constants!$H$10:$H$40, Constants!$I$10:$I$40))</f>
        <v/>
      </c>
      <c r="G81" s="6">
        <f>IF(A81="","", XLOOKUP(A81, INPUT_Rooms!$B:$B, INPUT_Rooms!$P:$P, ""))</f>
        <v/>
      </c>
      <c r="H81" s="6">
        <f>IF(A81="","", XLOOKUP(A81, INPUT_Rooms!$B:$B, INPUT_Rooms!$Q:$Q, ""))</f>
        <v/>
      </c>
      <c r="I81" s="6">
        <f>IF(A81="","", IF(XLOOKUP(A81, INPUT_Rooms!$B:$B, INPUT_Rooms!$R:$R, "")="", $B$5, XLOOKUP(A81, INPUT_Rooms!$B:$B, INPUT_Rooms!$R:$R, "")))</f>
        <v/>
      </c>
      <c r="J81" s="6">
        <f>IF(A81="","", D81*XLOOKUP("PrepMinsPerSqft",Constants!$F$20:$F$40,Constants!$G$20:$G$40)*XLOOKUP(I81,Constants!$E$10:$E$30,Constants!$F$10:$F$30)*F81)</f>
        <v/>
      </c>
      <c r="K81" s="6">
        <f>IF(A81="","", D81*XLOOKUP("PaintMinsPerSqftPerCoat",Constants!$F$20:$F$40,Constants!$G$20:$G$40)*H81*F81)</f>
        <v/>
      </c>
      <c r="L81" s="6">
        <f>IF(A81="","", IF(G81="Full", D81*XLOOKUP("PrimerFullMinsPerSqft",Constants!$F$20:$F$40,Constants!$G$20:$G$40)*F81, IF(G81="Spot", D81*XLOOKUP("PrimerFullMinsPerSqft",Constants!$F$20:$F$40,Constants!$G$20:$G$40)*XLOOKUP("PrimerSpotFactor",Constants!$F$20:$F$40,Constants!$G$20:$G$40)*F81, 0)))</f>
        <v/>
      </c>
      <c r="M81" s="6">
        <f>IF($A81="","", IFERROR(XLOOKUP($A81, INPUT_Rooms!$B:$B, INPUT_Rooms!$S:$S, 0),0) + $W81)</f>
        <v/>
      </c>
      <c r="N81">
        <f>IF($A81="","",IF($C81&lt;&gt;"Y","",IF($D81="", "",IFERROR(CEILING( ($D81*$H81) / IFERROR(XLOOKUP(XLOOKUP('Job Control'!$B$3, INPUT_JobSettings!$A:$A, INPUT_JobSettings!$C:$C, ""), Constants!$A:$A, Constants!$D:$D, ""), ""), 0.25), ""))))</f>
        <v/>
      </c>
      <c r="O81">
        <f>IF($A81="","",IF($C81&lt;&gt;"Y",0,IF($G81="None",0,IF($D81="",0,CEILING(($D81*IF($G81="Full",1, XLOOKUP("PrimerSpotFactor",Constants!$A:$A,Constants!$B:$B,0.35))) / IFERROR(XLOOKUP(XLOOKUP('Job Control'!$B$3, INPUT_JobSettings!$A:$A, INPUT_JobSettings!$E:$E, ""),Constants!$A:$A,Constants!$D:$D),350),0.25)))))</f>
        <v/>
      </c>
      <c r="P81">
        <f>IF($A81="","",IFERROR($N81*IFERROR(XLOOKUP(XLOOKUP('Job Control'!$B$3, INPUT_JobSettings!$A:$A, INPUT_JobSettings!$C:$C, ""), Constants!$A:$A, Constants!$C:$C, 0), 0) + $O81*IFERROR(XLOOKUP(XLOOKUP('Job Control'!$B$3, INPUT_JobSettings!$A:$A, INPUT_JobSettings!$E:$E, ""), Constants!$A:$A, Constants!$C:$C, 0), 0) + $M81,0))</f>
        <v/>
      </c>
      <c r="Q81" s="6">
        <f>IF($A81="","", ($J81+$K81+$L81)*$V81 )</f>
        <v/>
      </c>
      <c r="R81" s="6">
        <f>IF($A81="","", $Q81/60)</f>
        <v/>
      </c>
      <c r="S81" s="6">
        <f>IF($A81="","", $R81*IFERROR(IF(XLOOKUP('Job Control'!$B$3, INPUT_JobSettings!$A:$A, INPUT_JobSettings!$F:$F, "")&lt;&gt;"", XLOOKUP('Job Control'!$B$3, INPUT_JobSettings!$A:$A, INPUT_JobSettings!$F:$F, ""), $B$6), $B$6) + $M81)</f>
        <v/>
      </c>
      <c r="T81" s="6">
        <f>IF($A81="","", ($S81+$P81)*IFERROR(IF(XLOOKUP('Job Control'!$B$3, INPUT_JobSettings!$A:$A, INPUT_JobSettings!$G:$G, "")&lt;&gt;"", XLOOKUP('Job Control'!$B$3, INPUT_JobSettings!$A:$A, INPUT_JobSettings!$G:$G, ""), $B$7), $B$7))</f>
        <v/>
      </c>
      <c r="U81" s="6">
        <f>IF($A81="","", IFERROR(XLOOKUP($A81, INPUT_Rooms!$B:$B, INPUT_Rooms!$AI:$AI, ""), ""))</f>
        <v/>
      </c>
      <c r="V81" s="6">
        <f>IF($C81&lt;&gt;"Y",0,IF($A81="","", IF($U81="", 1, IFERROR(XLOOKUP($U81, Constants!$A$160:$A$190, Constants!$C$160:$C$190, 1), 1))))</f>
        <v/>
      </c>
      <c r="W81" s="6">
        <f>IF($C81&lt;&gt;"Y",0,IF($A81="","", ($D81*IF($U81="",0,IFERROR(XLOOKUP($U81, Constants!$A$160:$A$190, Constants!$D$160:$D$190, 0),0))) ))</f>
        <v/>
      </c>
    </row>
    <row r="82">
      <c r="A82" s="6">
        <f>IFERROR(INDEX(FILTER(INPUT_Rooms!$B$4:$B$83, INPUT_Rooms!$A$4:$A$83=$B$4, INPUT_Rooms!$O$4:$O$83="Y"), 72), "")</f>
        <v/>
      </c>
      <c r="B82" s="6">
        <f>IF(A82="","", XLOOKUP(A82, FILTER(INPUT_Rooms!$B$4:$B$83, INPUT_Rooms!$A$4:$A$83=$B$4), FILTER(INPUT_Rooms!$C$4:$C$83, INPUT_Rooms!$A$4:$A$83=$B$4), ""))</f>
        <v/>
      </c>
      <c r="C82" s="6">
        <f>IF(A82="","", "Y")</f>
        <v/>
      </c>
      <c r="D82" s="6">
        <f>IF(A82="","", XLOOKUP(A82, INPUT_Rooms!$B:$B, INPUT_Rooms!$AE:$AE, ""))</f>
        <v/>
      </c>
      <c r="E82" s="6">
        <f>IF(A82="","", XLOOKUP(A82, INPUT_Rooms!$B:$B, INPUT_Rooms!$H:$H, "")/12)</f>
        <v/>
      </c>
      <c r="F82" s="6">
        <f>IF(A82="","", LOOKUP(E82, Constants!$H$10:$H$40, Constants!$I$10:$I$40))</f>
        <v/>
      </c>
      <c r="G82" s="6">
        <f>IF(A82="","", XLOOKUP(A82, INPUT_Rooms!$B:$B, INPUT_Rooms!$P:$P, ""))</f>
        <v/>
      </c>
      <c r="H82" s="6">
        <f>IF(A82="","", XLOOKUP(A82, INPUT_Rooms!$B:$B, INPUT_Rooms!$Q:$Q, ""))</f>
        <v/>
      </c>
      <c r="I82" s="6">
        <f>IF(A82="","", IF(XLOOKUP(A82, INPUT_Rooms!$B:$B, INPUT_Rooms!$R:$R, "")="", $B$5, XLOOKUP(A82, INPUT_Rooms!$B:$B, INPUT_Rooms!$R:$R, "")))</f>
        <v/>
      </c>
      <c r="J82" s="6">
        <f>IF(A82="","", D82*XLOOKUP("PrepMinsPerSqft",Constants!$F$20:$F$40,Constants!$G$20:$G$40)*XLOOKUP(I82,Constants!$E$10:$E$30,Constants!$F$10:$F$30)*F82)</f>
        <v/>
      </c>
      <c r="K82" s="6">
        <f>IF(A82="","", D82*XLOOKUP("PaintMinsPerSqftPerCoat",Constants!$F$20:$F$40,Constants!$G$20:$G$40)*H82*F82)</f>
        <v/>
      </c>
      <c r="L82" s="6">
        <f>IF(A82="","", IF(G82="Full", D82*XLOOKUP("PrimerFullMinsPerSqft",Constants!$F$20:$F$40,Constants!$G$20:$G$40)*F82, IF(G82="Spot", D82*XLOOKUP("PrimerFullMinsPerSqft",Constants!$F$20:$F$40,Constants!$G$20:$G$40)*XLOOKUP("PrimerSpotFactor",Constants!$F$20:$F$40,Constants!$G$20:$G$40)*F82, 0)))</f>
        <v/>
      </c>
      <c r="M82" s="6">
        <f>IF($A82="","", IFERROR(XLOOKUP($A82, INPUT_Rooms!$B:$B, INPUT_Rooms!$S:$S, 0),0) + $W82)</f>
        <v/>
      </c>
      <c r="N82">
        <f>IF($A82="","",IF($C82&lt;&gt;"Y","",IF($D82="", "",IFERROR(CEILING( ($D82*$H82) / IFERROR(XLOOKUP(XLOOKUP('Job Control'!$B$3, INPUT_JobSettings!$A:$A, INPUT_JobSettings!$C:$C, ""), Constants!$A:$A, Constants!$D:$D, ""), ""), 0.25), ""))))</f>
        <v/>
      </c>
      <c r="O82">
        <f>IF($A82="","",IF($C82&lt;&gt;"Y",0,IF($G82="None",0,IF($D82="",0,CEILING(($D82*IF($G82="Full",1, XLOOKUP("PrimerSpotFactor",Constants!$A:$A,Constants!$B:$B,0.35))) / IFERROR(XLOOKUP(XLOOKUP('Job Control'!$B$3, INPUT_JobSettings!$A:$A, INPUT_JobSettings!$E:$E, ""),Constants!$A:$A,Constants!$D:$D),350),0.25)))))</f>
        <v/>
      </c>
      <c r="P82">
        <f>IF($A82="","",IFERROR($N82*IFERROR(XLOOKUP(XLOOKUP('Job Control'!$B$3, INPUT_JobSettings!$A:$A, INPUT_JobSettings!$C:$C, ""), Constants!$A:$A, Constants!$C:$C, 0), 0) + $O82*IFERROR(XLOOKUP(XLOOKUP('Job Control'!$B$3, INPUT_JobSettings!$A:$A, INPUT_JobSettings!$E:$E, ""), Constants!$A:$A, Constants!$C:$C, 0), 0) + $M82,0))</f>
        <v/>
      </c>
      <c r="Q82" s="6">
        <f>IF($A82="","", ($J82+$K82+$L82)*$V82 )</f>
        <v/>
      </c>
      <c r="R82" s="6">
        <f>IF($A82="","", $Q82/60)</f>
        <v/>
      </c>
      <c r="S82" s="6">
        <f>IF($A82="","", $R82*IFERROR(IF(XLOOKUP('Job Control'!$B$3, INPUT_JobSettings!$A:$A, INPUT_JobSettings!$F:$F, "")&lt;&gt;"", XLOOKUP('Job Control'!$B$3, INPUT_JobSettings!$A:$A, INPUT_JobSettings!$F:$F, ""), $B$6), $B$6) + $M82)</f>
        <v/>
      </c>
      <c r="T82" s="6">
        <f>IF($A82="","", ($S82+$P82)*IFERROR(IF(XLOOKUP('Job Control'!$B$3, INPUT_JobSettings!$A:$A, INPUT_JobSettings!$G:$G, "")&lt;&gt;"", XLOOKUP('Job Control'!$B$3, INPUT_JobSettings!$A:$A, INPUT_JobSettings!$G:$G, ""), $B$7), $B$7))</f>
        <v/>
      </c>
      <c r="U82" s="6">
        <f>IF($A82="","", IFERROR(XLOOKUP($A82, INPUT_Rooms!$B:$B, INPUT_Rooms!$AI:$AI, ""), ""))</f>
        <v/>
      </c>
      <c r="V82" s="6">
        <f>IF($C82&lt;&gt;"Y",0,IF($A82="","", IF($U82="", 1, IFERROR(XLOOKUP($U82, Constants!$A$160:$A$190, Constants!$C$160:$C$190, 1), 1))))</f>
        <v/>
      </c>
      <c r="W82" s="6">
        <f>IF($C82&lt;&gt;"Y",0,IF($A82="","", ($D82*IF($U82="",0,IFERROR(XLOOKUP($U82, Constants!$A$160:$A$190, Constants!$D$160:$D$190, 0),0))) ))</f>
        <v/>
      </c>
    </row>
    <row r="83">
      <c r="A83" s="6">
        <f>IFERROR(INDEX(FILTER(INPUT_Rooms!$B$4:$B$83, INPUT_Rooms!$A$4:$A$83=$B$4, INPUT_Rooms!$O$4:$O$83="Y"), 73), "")</f>
        <v/>
      </c>
      <c r="B83" s="6">
        <f>IF(A83="","", XLOOKUP(A83, FILTER(INPUT_Rooms!$B$4:$B$83, INPUT_Rooms!$A$4:$A$83=$B$4), FILTER(INPUT_Rooms!$C$4:$C$83, INPUT_Rooms!$A$4:$A$83=$B$4), ""))</f>
        <v/>
      </c>
      <c r="C83" s="6">
        <f>IF(A83="","", "Y")</f>
        <v/>
      </c>
      <c r="D83" s="6">
        <f>IF(A83="","", XLOOKUP(A83, INPUT_Rooms!$B:$B, INPUT_Rooms!$AE:$AE, ""))</f>
        <v/>
      </c>
      <c r="E83" s="6">
        <f>IF(A83="","", XLOOKUP(A83, INPUT_Rooms!$B:$B, INPUT_Rooms!$H:$H, "")/12)</f>
        <v/>
      </c>
      <c r="F83" s="6">
        <f>IF(A83="","", LOOKUP(E83, Constants!$H$10:$H$40, Constants!$I$10:$I$40))</f>
        <v/>
      </c>
      <c r="G83" s="6">
        <f>IF(A83="","", XLOOKUP(A83, INPUT_Rooms!$B:$B, INPUT_Rooms!$P:$P, ""))</f>
        <v/>
      </c>
      <c r="H83" s="6">
        <f>IF(A83="","", XLOOKUP(A83, INPUT_Rooms!$B:$B, INPUT_Rooms!$Q:$Q, ""))</f>
        <v/>
      </c>
      <c r="I83" s="6">
        <f>IF(A83="","", IF(XLOOKUP(A83, INPUT_Rooms!$B:$B, INPUT_Rooms!$R:$R, "")="", $B$5, XLOOKUP(A83, INPUT_Rooms!$B:$B, INPUT_Rooms!$R:$R, "")))</f>
        <v/>
      </c>
      <c r="J83" s="6">
        <f>IF(A83="","", D83*XLOOKUP("PrepMinsPerSqft",Constants!$F$20:$F$40,Constants!$G$20:$G$40)*XLOOKUP(I83,Constants!$E$10:$E$30,Constants!$F$10:$F$30)*F83)</f>
        <v/>
      </c>
      <c r="K83" s="6">
        <f>IF(A83="","", D83*XLOOKUP("PaintMinsPerSqftPerCoat",Constants!$F$20:$F$40,Constants!$G$20:$G$40)*H83*F83)</f>
        <v/>
      </c>
      <c r="L83" s="6">
        <f>IF(A83="","", IF(G83="Full", D83*XLOOKUP("PrimerFullMinsPerSqft",Constants!$F$20:$F$40,Constants!$G$20:$G$40)*F83, IF(G83="Spot", D83*XLOOKUP("PrimerFullMinsPerSqft",Constants!$F$20:$F$40,Constants!$G$20:$G$40)*XLOOKUP("PrimerSpotFactor",Constants!$F$20:$F$40,Constants!$G$20:$G$40)*F83, 0)))</f>
        <v/>
      </c>
      <c r="M83" s="6">
        <f>IF($A83="","", IFERROR(XLOOKUP($A83, INPUT_Rooms!$B:$B, INPUT_Rooms!$S:$S, 0),0) + $W83)</f>
        <v/>
      </c>
      <c r="N83">
        <f>IF($A83="","",IF($C83&lt;&gt;"Y","",IF($D83="", "",IFERROR(CEILING( ($D83*$H83) / IFERROR(XLOOKUP(XLOOKUP('Job Control'!$B$3, INPUT_JobSettings!$A:$A, INPUT_JobSettings!$C:$C, ""), Constants!$A:$A, Constants!$D:$D, ""), ""), 0.25), ""))))</f>
        <v/>
      </c>
      <c r="O83">
        <f>IF($A83="","",IF($C83&lt;&gt;"Y",0,IF($G83="None",0,IF($D83="",0,CEILING(($D83*IF($G83="Full",1, XLOOKUP("PrimerSpotFactor",Constants!$A:$A,Constants!$B:$B,0.35))) / IFERROR(XLOOKUP(XLOOKUP('Job Control'!$B$3, INPUT_JobSettings!$A:$A, INPUT_JobSettings!$E:$E, ""),Constants!$A:$A,Constants!$D:$D),350),0.25)))))</f>
        <v/>
      </c>
      <c r="P83">
        <f>IF($A83="","",IFERROR($N83*IFERROR(XLOOKUP(XLOOKUP('Job Control'!$B$3, INPUT_JobSettings!$A:$A, INPUT_JobSettings!$C:$C, ""), Constants!$A:$A, Constants!$C:$C, 0), 0) + $O83*IFERROR(XLOOKUP(XLOOKUP('Job Control'!$B$3, INPUT_JobSettings!$A:$A, INPUT_JobSettings!$E:$E, ""), Constants!$A:$A, Constants!$C:$C, 0), 0) + $M83,0))</f>
        <v/>
      </c>
      <c r="Q83" s="6">
        <f>IF($A83="","", ($J83+$K83+$L83)*$V83 )</f>
        <v/>
      </c>
      <c r="R83" s="6">
        <f>IF($A83="","", $Q83/60)</f>
        <v/>
      </c>
      <c r="S83" s="6">
        <f>IF($A83="","", $R83*IFERROR(IF(XLOOKUP('Job Control'!$B$3, INPUT_JobSettings!$A:$A, INPUT_JobSettings!$F:$F, "")&lt;&gt;"", XLOOKUP('Job Control'!$B$3, INPUT_JobSettings!$A:$A, INPUT_JobSettings!$F:$F, ""), $B$6), $B$6) + $M83)</f>
        <v/>
      </c>
      <c r="T83" s="6">
        <f>IF($A83="","", ($S83+$P83)*IFERROR(IF(XLOOKUP('Job Control'!$B$3, INPUT_JobSettings!$A:$A, INPUT_JobSettings!$G:$G, "")&lt;&gt;"", XLOOKUP('Job Control'!$B$3, INPUT_JobSettings!$A:$A, INPUT_JobSettings!$G:$G, ""), $B$7), $B$7))</f>
        <v/>
      </c>
      <c r="U83" s="6">
        <f>IF($A83="","", IFERROR(XLOOKUP($A83, INPUT_Rooms!$B:$B, INPUT_Rooms!$AI:$AI, ""), ""))</f>
        <v/>
      </c>
      <c r="V83" s="6">
        <f>IF($C83&lt;&gt;"Y",0,IF($A83="","", IF($U83="", 1, IFERROR(XLOOKUP($U83, Constants!$A$160:$A$190, Constants!$C$160:$C$190, 1), 1))))</f>
        <v/>
      </c>
      <c r="W83" s="6">
        <f>IF($C83&lt;&gt;"Y",0,IF($A83="","", ($D83*IF($U83="",0,IFERROR(XLOOKUP($U83, Constants!$A$160:$A$190, Constants!$D$160:$D$190, 0),0))) ))</f>
        <v/>
      </c>
    </row>
    <row r="84">
      <c r="A84" s="6">
        <f>IFERROR(INDEX(FILTER(INPUT_Rooms!$B$4:$B$83, INPUT_Rooms!$A$4:$A$83=$B$4, INPUT_Rooms!$O$4:$O$83="Y"), 74), "")</f>
        <v/>
      </c>
      <c r="B84" s="6">
        <f>IF(A84="","", XLOOKUP(A84, FILTER(INPUT_Rooms!$B$4:$B$83, INPUT_Rooms!$A$4:$A$83=$B$4), FILTER(INPUT_Rooms!$C$4:$C$83, INPUT_Rooms!$A$4:$A$83=$B$4), ""))</f>
        <v/>
      </c>
      <c r="C84" s="6">
        <f>IF(A84="","", "Y")</f>
        <v/>
      </c>
      <c r="D84" s="6">
        <f>IF(A84="","", XLOOKUP(A84, INPUT_Rooms!$B:$B, INPUT_Rooms!$AE:$AE, ""))</f>
        <v/>
      </c>
      <c r="E84" s="6">
        <f>IF(A84="","", XLOOKUP(A84, INPUT_Rooms!$B:$B, INPUT_Rooms!$H:$H, "")/12)</f>
        <v/>
      </c>
      <c r="F84" s="6">
        <f>IF(A84="","", LOOKUP(E84, Constants!$H$10:$H$40, Constants!$I$10:$I$40))</f>
        <v/>
      </c>
      <c r="G84" s="6">
        <f>IF(A84="","", XLOOKUP(A84, INPUT_Rooms!$B:$B, INPUT_Rooms!$P:$P, ""))</f>
        <v/>
      </c>
      <c r="H84" s="6">
        <f>IF(A84="","", XLOOKUP(A84, INPUT_Rooms!$B:$B, INPUT_Rooms!$Q:$Q, ""))</f>
        <v/>
      </c>
      <c r="I84" s="6">
        <f>IF(A84="","", IF(XLOOKUP(A84, INPUT_Rooms!$B:$B, INPUT_Rooms!$R:$R, "")="", $B$5, XLOOKUP(A84, INPUT_Rooms!$B:$B, INPUT_Rooms!$R:$R, "")))</f>
        <v/>
      </c>
      <c r="J84" s="6">
        <f>IF(A84="","", D84*XLOOKUP("PrepMinsPerSqft",Constants!$F$20:$F$40,Constants!$G$20:$G$40)*XLOOKUP(I84,Constants!$E$10:$E$30,Constants!$F$10:$F$30)*F84)</f>
        <v/>
      </c>
      <c r="K84" s="6">
        <f>IF(A84="","", D84*XLOOKUP("PaintMinsPerSqftPerCoat",Constants!$F$20:$F$40,Constants!$G$20:$G$40)*H84*F84)</f>
        <v/>
      </c>
      <c r="L84" s="6">
        <f>IF(A84="","", IF(G84="Full", D84*XLOOKUP("PrimerFullMinsPerSqft",Constants!$F$20:$F$40,Constants!$G$20:$G$40)*F84, IF(G84="Spot", D84*XLOOKUP("PrimerFullMinsPerSqft",Constants!$F$20:$F$40,Constants!$G$20:$G$40)*XLOOKUP("PrimerSpotFactor",Constants!$F$20:$F$40,Constants!$G$20:$G$40)*F84, 0)))</f>
        <v/>
      </c>
      <c r="M84" s="6">
        <f>IF($A84="","", IFERROR(XLOOKUP($A84, INPUT_Rooms!$B:$B, INPUT_Rooms!$S:$S, 0),0) + $W84)</f>
        <v/>
      </c>
      <c r="N84">
        <f>IF($A84="","",IF($C84&lt;&gt;"Y","",IF($D84="", "",IFERROR(CEILING( ($D84*$H84) / IFERROR(XLOOKUP(XLOOKUP('Job Control'!$B$3, INPUT_JobSettings!$A:$A, INPUT_JobSettings!$C:$C, ""), Constants!$A:$A, Constants!$D:$D, ""), ""), 0.25), ""))))</f>
        <v/>
      </c>
      <c r="O84">
        <f>IF($A84="","",IF($C84&lt;&gt;"Y",0,IF($G84="None",0,IF($D84="",0,CEILING(($D84*IF($G84="Full",1, XLOOKUP("PrimerSpotFactor",Constants!$A:$A,Constants!$B:$B,0.35))) / IFERROR(XLOOKUP(XLOOKUP('Job Control'!$B$3, INPUT_JobSettings!$A:$A, INPUT_JobSettings!$E:$E, ""),Constants!$A:$A,Constants!$D:$D),350),0.25)))))</f>
        <v/>
      </c>
      <c r="P84">
        <f>IF($A84="","",IFERROR($N84*IFERROR(XLOOKUP(XLOOKUP('Job Control'!$B$3, INPUT_JobSettings!$A:$A, INPUT_JobSettings!$C:$C, ""), Constants!$A:$A, Constants!$C:$C, 0), 0) + $O84*IFERROR(XLOOKUP(XLOOKUP('Job Control'!$B$3, INPUT_JobSettings!$A:$A, INPUT_JobSettings!$E:$E, ""), Constants!$A:$A, Constants!$C:$C, 0), 0) + $M84,0))</f>
        <v/>
      </c>
      <c r="Q84" s="6">
        <f>IF($A84="","", ($J84+$K84+$L84)*$V84 )</f>
        <v/>
      </c>
      <c r="R84" s="6">
        <f>IF($A84="","", $Q84/60)</f>
        <v/>
      </c>
      <c r="S84" s="6">
        <f>IF($A84="","", $R84*IFERROR(IF(XLOOKUP('Job Control'!$B$3, INPUT_JobSettings!$A:$A, INPUT_JobSettings!$F:$F, "")&lt;&gt;"", XLOOKUP('Job Control'!$B$3, INPUT_JobSettings!$A:$A, INPUT_JobSettings!$F:$F, ""), $B$6), $B$6) + $M84)</f>
        <v/>
      </c>
      <c r="T84" s="6">
        <f>IF($A84="","", ($S84+$P84)*IFERROR(IF(XLOOKUP('Job Control'!$B$3, INPUT_JobSettings!$A:$A, INPUT_JobSettings!$G:$G, "")&lt;&gt;"", XLOOKUP('Job Control'!$B$3, INPUT_JobSettings!$A:$A, INPUT_JobSettings!$G:$G, ""), $B$7), $B$7))</f>
        <v/>
      </c>
      <c r="U84" s="6">
        <f>IF($A84="","", IFERROR(XLOOKUP($A84, INPUT_Rooms!$B:$B, INPUT_Rooms!$AI:$AI, ""), ""))</f>
        <v/>
      </c>
      <c r="V84" s="6">
        <f>IF($C84&lt;&gt;"Y",0,IF($A84="","", IF($U84="", 1, IFERROR(XLOOKUP($U84, Constants!$A$160:$A$190, Constants!$C$160:$C$190, 1), 1))))</f>
        <v/>
      </c>
      <c r="W84" s="6">
        <f>IF($C84&lt;&gt;"Y",0,IF($A84="","", ($D84*IF($U84="",0,IFERROR(XLOOKUP($U84, Constants!$A$160:$A$190, Constants!$D$160:$D$190, 0),0))) ))</f>
        <v/>
      </c>
    </row>
    <row r="85">
      <c r="A85" s="6">
        <f>IFERROR(INDEX(FILTER(INPUT_Rooms!$B$4:$B$83, INPUT_Rooms!$A$4:$A$83=$B$4, INPUT_Rooms!$O$4:$O$83="Y"), 75), "")</f>
        <v/>
      </c>
      <c r="B85" s="6">
        <f>IF(A85="","", XLOOKUP(A85, FILTER(INPUT_Rooms!$B$4:$B$83, INPUT_Rooms!$A$4:$A$83=$B$4), FILTER(INPUT_Rooms!$C$4:$C$83, INPUT_Rooms!$A$4:$A$83=$B$4), ""))</f>
        <v/>
      </c>
      <c r="C85" s="6">
        <f>IF(A85="","", "Y")</f>
        <v/>
      </c>
      <c r="D85" s="6">
        <f>IF(A85="","", XLOOKUP(A85, INPUT_Rooms!$B:$B, INPUT_Rooms!$AE:$AE, ""))</f>
        <v/>
      </c>
      <c r="E85" s="6">
        <f>IF(A85="","", XLOOKUP(A85, INPUT_Rooms!$B:$B, INPUT_Rooms!$H:$H, "")/12)</f>
        <v/>
      </c>
      <c r="F85" s="6">
        <f>IF(A85="","", LOOKUP(E85, Constants!$H$10:$H$40, Constants!$I$10:$I$40))</f>
        <v/>
      </c>
      <c r="G85" s="6">
        <f>IF(A85="","", XLOOKUP(A85, INPUT_Rooms!$B:$B, INPUT_Rooms!$P:$P, ""))</f>
        <v/>
      </c>
      <c r="H85" s="6">
        <f>IF(A85="","", XLOOKUP(A85, INPUT_Rooms!$B:$B, INPUT_Rooms!$Q:$Q, ""))</f>
        <v/>
      </c>
      <c r="I85" s="6">
        <f>IF(A85="","", IF(XLOOKUP(A85, INPUT_Rooms!$B:$B, INPUT_Rooms!$R:$R, "")="", $B$5, XLOOKUP(A85, INPUT_Rooms!$B:$B, INPUT_Rooms!$R:$R, "")))</f>
        <v/>
      </c>
      <c r="J85" s="6">
        <f>IF(A85="","", D85*XLOOKUP("PrepMinsPerSqft",Constants!$F$20:$F$40,Constants!$G$20:$G$40)*XLOOKUP(I85,Constants!$E$10:$E$30,Constants!$F$10:$F$30)*F85)</f>
        <v/>
      </c>
      <c r="K85" s="6">
        <f>IF(A85="","", D85*XLOOKUP("PaintMinsPerSqftPerCoat",Constants!$F$20:$F$40,Constants!$G$20:$G$40)*H85*F85)</f>
        <v/>
      </c>
      <c r="L85" s="6">
        <f>IF(A85="","", IF(G85="Full", D85*XLOOKUP("PrimerFullMinsPerSqft",Constants!$F$20:$F$40,Constants!$G$20:$G$40)*F85, IF(G85="Spot", D85*XLOOKUP("PrimerFullMinsPerSqft",Constants!$F$20:$F$40,Constants!$G$20:$G$40)*XLOOKUP("PrimerSpotFactor",Constants!$F$20:$F$40,Constants!$G$20:$G$40)*F85, 0)))</f>
        <v/>
      </c>
      <c r="M85" s="6">
        <f>IF($A85="","", IFERROR(XLOOKUP($A85, INPUT_Rooms!$B:$B, INPUT_Rooms!$S:$S, 0),0) + $W85)</f>
        <v/>
      </c>
      <c r="N85">
        <f>IF($A85="","",IF($C85&lt;&gt;"Y","",IF($D85="", "",IFERROR(CEILING( ($D85*$H85) / IFERROR(XLOOKUP(XLOOKUP('Job Control'!$B$3, INPUT_JobSettings!$A:$A, INPUT_JobSettings!$C:$C, ""), Constants!$A:$A, Constants!$D:$D, ""), ""), 0.25), ""))))</f>
        <v/>
      </c>
      <c r="O85">
        <f>IF($A85="","",IF($C85&lt;&gt;"Y",0,IF($G85="None",0,IF($D85="",0,CEILING(($D85*IF($G85="Full",1, XLOOKUP("PrimerSpotFactor",Constants!$A:$A,Constants!$B:$B,0.35))) / IFERROR(XLOOKUP(XLOOKUP('Job Control'!$B$3, INPUT_JobSettings!$A:$A, INPUT_JobSettings!$E:$E, ""),Constants!$A:$A,Constants!$D:$D),350),0.25)))))</f>
        <v/>
      </c>
      <c r="P85">
        <f>IF($A85="","",IFERROR($N85*IFERROR(XLOOKUP(XLOOKUP('Job Control'!$B$3, INPUT_JobSettings!$A:$A, INPUT_JobSettings!$C:$C, ""), Constants!$A:$A, Constants!$C:$C, 0), 0) + $O85*IFERROR(XLOOKUP(XLOOKUP('Job Control'!$B$3, INPUT_JobSettings!$A:$A, INPUT_JobSettings!$E:$E, ""), Constants!$A:$A, Constants!$C:$C, 0), 0) + $M85,0))</f>
        <v/>
      </c>
      <c r="Q85" s="6">
        <f>IF($A85="","", ($J85+$K85+$L85)*$V85 )</f>
        <v/>
      </c>
      <c r="R85" s="6">
        <f>IF($A85="","", $Q85/60)</f>
        <v/>
      </c>
      <c r="S85" s="6">
        <f>IF($A85="","", $R85*IFERROR(IF(XLOOKUP('Job Control'!$B$3, INPUT_JobSettings!$A:$A, INPUT_JobSettings!$F:$F, "")&lt;&gt;"", XLOOKUP('Job Control'!$B$3, INPUT_JobSettings!$A:$A, INPUT_JobSettings!$F:$F, ""), $B$6), $B$6) + $M85)</f>
        <v/>
      </c>
      <c r="T85" s="6">
        <f>IF($A85="","", ($S85+$P85)*IFERROR(IF(XLOOKUP('Job Control'!$B$3, INPUT_JobSettings!$A:$A, INPUT_JobSettings!$G:$G, "")&lt;&gt;"", XLOOKUP('Job Control'!$B$3, INPUT_JobSettings!$A:$A, INPUT_JobSettings!$G:$G, ""), $B$7), $B$7))</f>
        <v/>
      </c>
      <c r="U85" s="6">
        <f>IF($A85="","", IFERROR(XLOOKUP($A85, INPUT_Rooms!$B:$B, INPUT_Rooms!$AI:$AI, ""), ""))</f>
        <v/>
      </c>
      <c r="V85" s="6">
        <f>IF($C85&lt;&gt;"Y",0,IF($A85="","", IF($U85="", 1, IFERROR(XLOOKUP($U85, Constants!$A$160:$A$190, Constants!$C$160:$C$190, 1), 1))))</f>
        <v/>
      </c>
      <c r="W85" s="6">
        <f>IF($C85&lt;&gt;"Y",0,IF($A85="","", ($D85*IF($U85="",0,IFERROR(XLOOKUP($U85, Constants!$A$160:$A$190, Constants!$D$160:$D$190, 0),0))) ))</f>
        <v/>
      </c>
    </row>
    <row r="86">
      <c r="A86" s="6">
        <f>IFERROR(INDEX(FILTER(INPUT_Rooms!$B$4:$B$83, INPUT_Rooms!$A$4:$A$83=$B$4, INPUT_Rooms!$O$4:$O$83="Y"), 76), "")</f>
        <v/>
      </c>
      <c r="B86" s="6">
        <f>IF(A86="","", XLOOKUP(A86, FILTER(INPUT_Rooms!$B$4:$B$83, INPUT_Rooms!$A$4:$A$83=$B$4), FILTER(INPUT_Rooms!$C$4:$C$83, INPUT_Rooms!$A$4:$A$83=$B$4), ""))</f>
        <v/>
      </c>
      <c r="C86" s="6">
        <f>IF(A86="","", "Y")</f>
        <v/>
      </c>
      <c r="D86" s="6">
        <f>IF(A86="","", XLOOKUP(A86, INPUT_Rooms!$B:$B, INPUT_Rooms!$AE:$AE, ""))</f>
        <v/>
      </c>
      <c r="E86" s="6">
        <f>IF(A86="","", XLOOKUP(A86, INPUT_Rooms!$B:$B, INPUT_Rooms!$H:$H, "")/12)</f>
        <v/>
      </c>
      <c r="F86" s="6">
        <f>IF(A86="","", LOOKUP(E86, Constants!$H$10:$H$40, Constants!$I$10:$I$40))</f>
        <v/>
      </c>
      <c r="G86" s="6">
        <f>IF(A86="","", XLOOKUP(A86, INPUT_Rooms!$B:$B, INPUT_Rooms!$P:$P, ""))</f>
        <v/>
      </c>
      <c r="H86" s="6">
        <f>IF(A86="","", XLOOKUP(A86, INPUT_Rooms!$B:$B, INPUT_Rooms!$Q:$Q, ""))</f>
        <v/>
      </c>
      <c r="I86" s="6">
        <f>IF(A86="","", IF(XLOOKUP(A86, INPUT_Rooms!$B:$B, INPUT_Rooms!$R:$R, "")="", $B$5, XLOOKUP(A86, INPUT_Rooms!$B:$B, INPUT_Rooms!$R:$R, "")))</f>
        <v/>
      </c>
      <c r="J86" s="6">
        <f>IF(A86="","", D86*XLOOKUP("PrepMinsPerSqft",Constants!$F$20:$F$40,Constants!$G$20:$G$40)*XLOOKUP(I86,Constants!$E$10:$E$30,Constants!$F$10:$F$30)*F86)</f>
        <v/>
      </c>
      <c r="K86" s="6">
        <f>IF(A86="","", D86*XLOOKUP("PaintMinsPerSqftPerCoat",Constants!$F$20:$F$40,Constants!$G$20:$G$40)*H86*F86)</f>
        <v/>
      </c>
      <c r="L86" s="6">
        <f>IF(A86="","", IF(G86="Full", D86*XLOOKUP("PrimerFullMinsPerSqft",Constants!$F$20:$F$40,Constants!$G$20:$G$40)*F86, IF(G86="Spot", D86*XLOOKUP("PrimerFullMinsPerSqft",Constants!$F$20:$F$40,Constants!$G$20:$G$40)*XLOOKUP("PrimerSpotFactor",Constants!$F$20:$F$40,Constants!$G$20:$G$40)*F86, 0)))</f>
        <v/>
      </c>
      <c r="M86" s="6">
        <f>IF($A86="","", IFERROR(XLOOKUP($A86, INPUT_Rooms!$B:$B, INPUT_Rooms!$S:$S, 0),0) + $W86)</f>
        <v/>
      </c>
      <c r="N86">
        <f>IF($A86="","",IF($C86&lt;&gt;"Y","",IF($D86="", "",IFERROR(CEILING( ($D86*$H86) / IFERROR(XLOOKUP(XLOOKUP('Job Control'!$B$3, INPUT_JobSettings!$A:$A, INPUT_JobSettings!$C:$C, ""), Constants!$A:$A, Constants!$D:$D, ""), ""), 0.25), ""))))</f>
        <v/>
      </c>
      <c r="O86">
        <f>IF($A86="","",IF($C86&lt;&gt;"Y",0,IF($G86="None",0,IF($D86="",0,CEILING(($D86*IF($G86="Full",1, XLOOKUP("PrimerSpotFactor",Constants!$A:$A,Constants!$B:$B,0.35))) / IFERROR(XLOOKUP(XLOOKUP('Job Control'!$B$3, INPUT_JobSettings!$A:$A, INPUT_JobSettings!$E:$E, ""),Constants!$A:$A,Constants!$D:$D),350),0.25)))))</f>
        <v/>
      </c>
      <c r="P86">
        <f>IF($A86="","",IFERROR($N86*IFERROR(XLOOKUP(XLOOKUP('Job Control'!$B$3, INPUT_JobSettings!$A:$A, INPUT_JobSettings!$C:$C, ""), Constants!$A:$A, Constants!$C:$C, 0), 0) + $O86*IFERROR(XLOOKUP(XLOOKUP('Job Control'!$B$3, INPUT_JobSettings!$A:$A, INPUT_JobSettings!$E:$E, ""), Constants!$A:$A, Constants!$C:$C, 0), 0) + $M86,0))</f>
        <v/>
      </c>
      <c r="Q86" s="6">
        <f>IF($A86="","", ($J86+$K86+$L86)*$V86 )</f>
        <v/>
      </c>
      <c r="R86" s="6">
        <f>IF($A86="","", $Q86/60)</f>
        <v/>
      </c>
      <c r="S86" s="6">
        <f>IF($A86="","", $R86*IFERROR(IF(XLOOKUP('Job Control'!$B$3, INPUT_JobSettings!$A:$A, INPUT_JobSettings!$F:$F, "")&lt;&gt;"", XLOOKUP('Job Control'!$B$3, INPUT_JobSettings!$A:$A, INPUT_JobSettings!$F:$F, ""), $B$6), $B$6) + $M86)</f>
        <v/>
      </c>
      <c r="T86" s="6">
        <f>IF($A86="","", ($S86+$P86)*IFERROR(IF(XLOOKUP('Job Control'!$B$3, INPUT_JobSettings!$A:$A, INPUT_JobSettings!$G:$G, "")&lt;&gt;"", XLOOKUP('Job Control'!$B$3, INPUT_JobSettings!$A:$A, INPUT_JobSettings!$G:$G, ""), $B$7), $B$7))</f>
        <v/>
      </c>
      <c r="U86" s="6">
        <f>IF($A86="","", IFERROR(XLOOKUP($A86, INPUT_Rooms!$B:$B, INPUT_Rooms!$AI:$AI, ""), ""))</f>
        <v/>
      </c>
      <c r="V86" s="6">
        <f>IF($C86&lt;&gt;"Y",0,IF($A86="","", IF($U86="", 1, IFERROR(XLOOKUP($U86, Constants!$A$160:$A$190, Constants!$C$160:$C$190, 1), 1))))</f>
        <v/>
      </c>
      <c r="W86" s="6">
        <f>IF($C86&lt;&gt;"Y",0,IF($A86="","", ($D86*IF($U86="",0,IFERROR(XLOOKUP($U86, Constants!$A$160:$A$190, Constants!$D$160:$D$190, 0),0))) ))</f>
        <v/>
      </c>
    </row>
    <row r="87">
      <c r="A87" s="6">
        <f>IFERROR(INDEX(FILTER(INPUT_Rooms!$B$4:$B$83, INPUT_Rooms!$A$4:$A$83=$B$4, INPUT_Rooms!$O$4:$O$83="Y"), 77), "")</f>
        <v/>
      </c>
      <c r="B87" s="6">
        <f>IF(A87="","", XLOOKUP(A87, FILTER(INPUT_Rooms!$B$4:$B$83, INPUT_Rooms!$A$4:$A$83=$B$4), FILTER(INPUT_Rooms!$C$4:$C$83, INPUT_Rooms!$A$4:$A$83=$B$4), ""))</f>
        <v/>
      </c>
      <c r="C87" s="6">
        <f>IF(A87="","", "Y")</f>
        <v/>
      </c>
      <c r="D87" s="6">
        <f>IF(A87="","", XLOOKUP(A87, INPUT_Rooms!$B:$B, INPUT_Rooms!$AE:$AE, ""))</f>
        <v/>
      </c>
      <c r="E87" s="6">
        <f>IF(A87="","", XLOOKUP(A87, INPUT_Rooms!$B:$B, INPUT_Rooms!$H:$H, "")/12)</f>
        <v/>
      </c>
      <c r="F87" s="6">
        <f>IF(A87="","", LOOKUP(E87, Constants!$H$10:$H$40, Constants!$I$10:$I$40))</f>
        <v/>
      </c>
      <c r="G87" s="6">
        <f>IF(A87="","", XLOOKUP(A87, INPUT_Rooms!$B:$B, INPUT_Rooms!$P:$P, ""))</f>
        <v/>
      </c>
      <c r="H87" s="6">
        <f>IF(A87="","", XLOOKUP(A87, INPUT_Rooms!$B:$B, INPUT_Rooms!$Q:$Q, ""))</f>
        <v/>
      </c>
      <c r="I87" s="6">
        <f>IF(A87="","", IF(XLOOKUP(A87, INPUT_Rooms!$B:$B, INPUT_Rooms!$R:$R, "")="", $B$5, XLOOKUP(A87, INPUT_Rooms!$B:$B, INPUT_Rooms!$R:$R, "")))</f>
        <v/>
      </c>
      <c r="J87" s="6">
        <f>IF(A87="","", D87*XLOOKUP("PrepMinsPerSqft",Constants!$F$20:$F$40,Constants!$G$20:$G$40)*XLOOKUP(I87,Constants!$E$10:$E$30,Constants!$F$10:$F$30)*F87)</f>
        <v/>
      </c>
      <c r="K87" s="6">
        <f>IF(A87="","", D87*XLOOKUP("PaintMinsPerSqftPerCoat",Constants!$F$20:$F$40,Constants!$G$20:$G$40)*H87*F87)</f>
        <v/>
      </c>
      <c r="L87" s="6">
        <f>IF(A87="","", IF(G87="Full", D87*XLOOKUP("PrimerFullMinsPerSqft",Constants!$F$20:$F$40,Constants!$G$20:$G$40)*F87, IF(G87="Spot", D87*XLOOKUP("PrimerFullMinsPerSqft",Constants!$F$20:$F$40,Constants!$G$20:$G$40)*XLOOKUP("PrimerSpotFactor",Constants!$F$20:$F$40,Constants!$G$20:$G$40)*F87, 0)))</f>
        <v/>
      </c>
      <c r="M87" s="6">
        <f>IF($A87="","", IFERROR(XLOOKUP($A87, INPUT_Rooms!$B:$B, INPUT_Rooms!$S:$S, 0),0) + $W87)</f>
        <v/>
      </c>
      <c r="N87">
        <f>IF($A87="","",IF($C87&lt;&gt;"Y","",IF($D87="", "",IFERROR(CEILING( ($D87*$H87) / IFERROR(XLOOKUP(XLOOKUP('Job Control'!$B$3, INPUT_JobSettings!$A:$A, INPUT_JobSettings!$C:$C, ""), Constants!$A:$A, Constants!$D:$D, ""), ""), 0.25), ""))))</f>
        <v/>
      </c>
      <c r="O87">
        <f>IF($A87="","",IF($C87&lt;&gt;"Y",0,IF($G87="None",0,IF($D87="",0,CEILING(($D87*IF($G87="Full",1, XLOOKUP("PrimerSpotFactor",Constants!$A:$A,Constants!$B:$B,0.35))) / IFERROR(XLOOKUP(XLOOKUP('Job Control'!$B$3, INPUT_JobSettings!$A:$A, INPUT_JobSettings!$E:$E, ""),Constants!$A:$A,Constants!$D:$D),350),0.25)))))</f>
        <v/>
      </c>
      <c r="P87">
        <f>IF($A87="","",IFERROR($N87*IFERROR(XLOOKUP(XLOOKUP('Job Control'!$B$3, INPUT_JobSettings!$A:$A, INPUT_JobSettings!$C:$C, ""), Constants!$A:$A, Constants!$C:$C, 0), 0) + $O87*IFERROR(XLOOKUP(XLOOKUP('Job Control'!$B$3, INPUT_JobSettings!$A:$A, INPUT_JobSettings!$E:$E, ""), Constants!$A:$A, Constants!$C:$C, 0), 0) + $M87,0))</f>
        <v/>
      </c>
      <c r="Q87" s="6">
        <f>IF($A87="","", ($J87+$K87+$L87)*$V87 )</f>
        <v/>
      </c>
      <c r="R87" s="6">
        <f>IF($A87="","", $Q87/60)</f>
        <v/>
      </c>
      <c r="S87" s="6">
        <f>IF($A87="","", $R87*IFERROR(IF(XLOOKUP('Job Control'!$B$3, INPUT_JobSettings!$A:$A, INPUT_JobSettings!$F:$F, "")&lt;&gt;"", XLOOKUP('Job Control'!$B$3, INPUT_JobSettings!$A:$A, INPUT_JobSettings!$F:$F, ""), $B$6), $B$6) + $M87)</f>
        <v/>
      </c>
      <c r="T87" s="6">
        <f>IF($A87="","", ($S87+$P87)*IFERROR(IF(XLOOKUP('Job Control'!$B$3, INPUT_JobSettings!$A:$A, INPUT_JobSettings!$G:$G, "")&lt;&gt;"", XLOOKUP('Job Control'!$B$3, INPUT_JobSettings!$A:$A, INPUT_JobSettings!$G:$G, ""), $B$7), $B$7))</f>
        <v/>
      </c>
      <c r="U87" s="6">
        <f>IF($A87="","", IFERROR(XLOOKUP($A87, INPUT_Rooms!$B:$B, INPUT_Rooms!$AI:$AI, ""), ""))</f>
        <v/>
      </c>
      <c r="V87" s="6">
        <f>IF($C87&lt;&gt;"Y",0,IF($A87="","", IF($U87="", 1, IFERROR(XLOOKUP($U87, Constants!$A$160:$A$190, Constants!$C$160:$C$190, 1), 1))))</f>
        <v/>
      </c>
      <c r="W87" s="6">
        <f>IF($C87&lt;&gt;"Y",0,IF($A87="","", ($D87*IF($U87="",0,IFERROR(XLOOKUP($U87, Constants!$A$160:$A$190, Constants!$D$160:$D$190, 0),0))) ))</f>
        <v/>
      </c>
    </row>
    <row r="88">
      <c r="A88" s="6">
        <f>IFERROR(INDEX(FILTER(INPUT_Rooms!$B$4:$B$83, INPUT_Rooms!$A$4:$A$83=$B$4, INPUT_Rooms!$O$4:$O$83="Y"), 78), "")</f>
        <v/>
      </c>
      <c r="B88" s="6">
        <f>IF(A88="","", XLOOKUP(A88, FILTER(INPUT_Rooms!$B$4:$B$83, INPUT_Rooms!$A$4:$A$83=$B$4), FILTER(INPUT_Rooms!$C$4:$C$83, INPUT_Rooms!$A$4:$A$83=$B$4), ""))</f>
        <v/>
      </c>
      <c r="C88" s="6">
        <f>IF(A88="","", "Y")</f>
        <v/>
      </c>
      <c r="D88" s="6">
        <f>IF(A88="","", XLOOKUP(A88, INPUT_Rooms!$B:$B, INPUT_Rooms!$AE:$AE, ""))</f>
        <v/>
      </c>
      <c r="E88" s="6">
        <f>IF(A88="","", XLOOKUP(A88, INPUT_Rooms!$B:$B, INPUT_Rooms!$H:$H, "")/12)</f>
        <v/>
      </c>
      <c r="F88" s="6">
        <f>IF(A88="","", LOOKUP(E88, Constants!$H$10:$H$40, Constants!$I$10:$I$40))</f>
        <v/>
      </c>
      <c r="G88" s="6">
        <f>IF(A88="","", XLOOKUP(A88, INPUT_Rooms!$B:$B, INPUT_Rooms!$P:$P, ""))</f>
        <v/>
      </c>
      <c r="H88" s="6">
        <f>IF(A88="","", XLOOKUP(A88, INPUT_Rooms!$B:$B, INPUT_Rooms!$Q:$Q, ""))</f>
        <v/>
      </c>
      <c r="I88" s="6">
        <f>IF(A88="","", IF(XLOOKUP(A88, INPUT_Rooms!$B:$B, INPUT_Rooms!$R:$R, "")="", $B$5, XLOOKUP(A88, INPUT_Rooms!$B:$B, INPUT_Rooms!$R:$R, "")))</f>
        <v/>
      </c>
      <c r="J88" s="6">
        <f>IF(A88="","", D88*XLOOKUP("PrepMinsPerSqft",Constants!$F$20:$F$40,Constants!$G$20:$G$40)*XLOOKUP(I88,Constants!$E$10:$E$30,Constants!$F$10:$F$30)*F88)</f>
        <v/>
      </c>
      <c r="K88" s="6">
        <f>IF(A88="","", D88*XLOOKUP("PaintMinsPerSqftPerCoat",Constants!$F$20:$F$40,Constants!$G$20:$G$40)*H88*F88)</f>
        <v/>
      </c>
      <c r="L88" s="6">
        <f>IF(A88="","", IF(G88="Full", D88*XLOOKUP("PrimerFullMinsPerSqft",Constants!$F$20:$F$40,Constants!$G$20:$G$40)*F88, IF(G88="Spot", D88*XLOOKUP("PrimerFullMinsPerSqft",Constants!$F$20:$F$40,Constants!$G$20:$G$40)*XLOOKUP("PrimerSpotFactor",Constants!$F$20:$F$40,Constants!$G$20:$G$40)*F88, 0)))</f>
        <v/>
      </c>
      <c r="M88" s="6">
        <f>IF($A88="","", IFERROR(XLOOKUP($A88, INPUT_Rooms!$B:$B, INPUT_Rooms!$S:$S, 0),0) + $W88)</f>
        <v/>
      </c>
      <c r="N88">
        <f>IF($A88="","",IF($C88&lt;&gt;"Y","",IF($D88="", "",IFERROR(CEILING( ($D88*$H88) / IFERROR(XLOOKUP(XLOOKUP('Job Control'!$B$3, INPUT_JobSettings!$A:$A, INPUT_JobSettings!$C:$C, ""), Constants!$A:$A, Constants!$D:$D, ""), ""), 0.25), ""))))</f>
        <v/>
      </c>
      <c r="O88">
        <f>IF($A88="","",IF($C88&lt;&gt;"Y",0,IF($G88="None",0,IF($D88="",0,CEILING(($D88*IF($G88="Full",1, XLOOKUP("PrimerSpotFactor",Constants!$A:$A,Constants!$B:$B,0.35))) / IFERROR(XLOOKUP(XLOOKUP('Job Control'!$B$3, INPUT_JobSettings!$A:$A, INPUT_JobSettings!$E:$E, ""),Constants!$A:$A,Constants!$D:$D),350),0.25)))))</f>
        <v/>
      </c>
      <c r="P88">
        <f>IF($A88="","",IFERROR($N88*IFERROR(XLOOKUP(XLOOKUP('Job Control'!$B$3, INPUT_JobSettings!$A:$A, INPUT_JobSettings!$C:$C, ""), Constants!$A:$A, Constants!$C:$C, 0), 0) + $O88*IFERROR(XLOOKUP(XLOOKUP('Job Control'!$B$3, INPUT_JobSettings!$A:$A, INPUT_JobSettings!$E:$E, ""), Constants!$A:$A, Constants!$C:$C, 0), 0) + $M88,0))</f>
        <v/>
      </c>
      <c r="Q88" s="6">
        <f>IF($A88="","", ($J88+$K88+$L88)*$V88 )</f>
        <v/>
      </c>
      <c r="R88" s="6">
        <f>IF($A88="","", $Q88/60)</f>
        <v/>
      </c>
      <c r="S88" s="6">
        <f>IF($A88="","", $R88*IFERROR(IF(XLOOKUP('Job Control'!$B$3, INPUT_JobSettings!$A:$A, INPUT_JobSettings!$F:$F, "")&lt;&gt;"", XLOOKUP('Job Control'!$B$3, INPUT_JobSettings!$A:$A, INPUT_JobSettings!$F:$F, ""), $B$6), $B$6) + $M88)</f>
        <v/>
      </c>
      <c r="T88" s="6">
        <f>IF($A88="","", ($S88+$P88)*IFERROR(IF(XLOOKUP('Job Control'!$B$3, INPUT_JobSettings!$A:$A, INPUT_JobSettings!$G:$G, "")&lt;&gt;"", XLOOKUP('Job Control'!$B$3, INPUT_JobSettings!$A:$A, INPUT_JobSettings!$G:$G, ""), $B$7), $B$7))</f>
        <v/>
      </c>
      <c r="U88" s="6">
        <f>IF($A88="","", IFERROR(XLOOKUP($A88, INPUT_Rooms!$B:$B, INPUT_Rooms!$AI:$AI, ""), ""))</f>
        <v/>
      </c>
      <c r="V88" s="6">
        <f>IF($C88&lt;&gt;"Y",0,IF($A88="","", IF($U88="", 1, IFERROR(XLOOKUP($U88, Constants!$A$160:$A$190, Constants!$C$160:$C$190, 1), 1))))</f>
        <v/>
      </c>
      <c r="W88" s="6">
        <f>IF($C88&lt;&gt;"Y",0,IF($A88="","", ($D88*IF($U88="",0,IFERROR(XLOOKUP($U88, Constants!$A$160:$A$190, Constants!$D$160:$D$190, 0),0))) ))</f>
        <v/>
      </c>
    </row>
    <row r="89">
      <c r="A89" s="6">
        <f>IFERROR(INDEX(FILTER(INPUT_Rooms!$B$4:$B$83, INPUT_Rooms!$A$4:$A$83=$B$4, INPUT_Rooms!$O$4:$O$83="Y"), 79), "")</f>
        <v/>
      </c>
      <c r="B89" s="6">
        <f>IF(A89="","", XLOOKUP(A89, FILTER(INPUT_Rooms!$B$4:$B$83, INPUT_Rooms!$A$4:$A$83=$B$4), FILTER(INPUT_Rooms!$C$4:$C$83, INPUT_Rooms!$A$4:$A$83=$B$4), ""))</f>
        <v/>
      </c>
      <c r="C89" s="6">
        <f>IF(A89="","", "Y")</f>
        <v/>
      </c>
      <c r="D89" s="6">
        <f>IF(A89="","", XLOOKUP(A89, INPUT_Rooms!$B:$B, INPUT_Rooms!$AE:$AE, ""))</f>
        <v/>
      </c>
      <c r="E89" s="6">
        <f>IF(A89="","", XLOOKUP(A89, INPUT_Rooms!$B:$B, INPUT_Rooms!$H:$H, "")/12)</f>
        <v/>
      </c>
      <c r="F89" s="6">
        <f>IF(A89="","", LOOKUP(E89, Constants!$H$10:$H$40, Constants!$I$10:$I$40))</f>
        <v/>
      </c>
      <c r="G89" s="6">
        <f>IF(A89="","", XLOOKUP(A89, INPUT_Rooms!$B:$B, INPUT_Rooms!$P:$P, ""))</f>
        <v/>
      </c>
      <c r="H89" s="6">
        <f>IF(A89="","", XLOOKUP(A89, INPUT_Rooms!$B:$B, INPUT_Rooms!$Q:$Q, ""))</f>
        <v/>
      </c>
      <c r="I89" s="6">
        <f>IF(A89="","", IF(XLOOKUP(A89, INPUT_Rooms!$B:$B, INPUT_Rooms!$R:$R, "")="", $B$5, XLOOKUP(A89, INPUT_Rooms!$B:$B, INPUT_Rooms!$R:$R, "")))</f>
        <v/>
      </c>
      <c r="J89" s="6">
        <f>IF(A89="","", D89*XLOOKUP("PrepMinsPerSqft",Constants!$F$20:$F$40,Constants!$G$20:$G$40)*XLOOKUP(I89,Constants!$E$10:$E$30,Constants!$F$10:$F$30)*F89)</f>
        <v/>
      </c>
      <c r="K89" s="6">
        <f>IF(A89="","", D89*XLOOKUP("PaintMinsPerSqftPerCoat",Constants!$F$20:$F$40,Constants!$G$20:$G$40)*H89*F89)</f>
        <v/>
      </c>
      <c r="L89" s="6">
        <f>IF(A89="","", IF(G89="Full", D89*XLOOKUP("PrimerFullMinsPerSqft",Constants!$F$20:$F$40,Constants!$G$20:$G$40)*F89, IF(G89="Spot", D89*XLOOKUP("PrimerFullMinsPerSqft",Constants!$F$20:$F$40,Constants!$G$20:$G$40)*XLOOKUP("PrimerSpotFactor",Constants!$F$20:$F$40,Constants!$G$20:$G$40)*F89, 0)))</f>
        <v/>
      </c>
      <c r="M89" s="6">
        <f>IF($A89="","", IFERROR(XLOOKUP($A89, INPUT_Rooms!$B:$B, INPUT_Rooms!$S:$S, 0),0) + $W89)</f>
        <v/>
      </c>
      <c r="N89">
        <f>IF($A89="","",IF($C89&lt;&gt;"Y","",IF($D89="", "",IFERROR(CEILING( ($D89*$H89) / IFERROR(XLOOKUP(XLOOKUP('Job Control'!$B$3, INPUT_JobSettings!$A:$A, INPUT_JobSettings!$C:$C, ""), Constants!$A:$A, Constants!$D:$D, ""), ""), 0.25), ""))))</f>
        <v/>
      </c>
      <c r="O89">
        <f>IF($A89="","",IF($C89&lt;&gt;"Y",0,IF($G89="None",0,IF($D89="",0,CEILING(($D89*IF($G89="Full",1, XLOOKUP("PrimerSpotFactor",Constants!$A:$A,Constants!$B:$B,0.35))) / IFERROR(XLOOKUP(XLOOKUP('Job Control'!$B$3, INPUT_JobSettings!$A:$A, INPUT_JobSettings!$E:$E, ""),Constants!$A:$A,Constants!$D:$D),350),0.25)))))</f>
        <v/>
      </c>
      <c r="P89">
        <f>IF($A89="","",IFERROR($N89*IFERROR(XLOOKUP(XLOOKUP('Job Control'!$B$3, INPUT_JobSettings!$A:$A, INPUT_JobSettings!$C:$C, ""), Constants!$A:$A, Constants!$C:$C, 0), 0) + $O89*IFERROR(XLOOKUP(XLOOKUP('Job Control'!$B$3, INPUT_JobSettings!$A:$A, INPUT_JobSettings!$E:$E, ""), Constants!$A:$A, Constants!$C:$C, 0), 0) + $M89,0))</f>
        <v/>
      </c>
      <c r="Q89" s="6">
        <f>IF($A89="","", ($J89+$K89+$L89)*$V89 )</f>
        <v/>
      </c>
      <c r="R89" s="6">
        <f>IF($A89="","", $Q89/60)</f>
        <v/>
      </c>
      <c r="S89" s="6">
        <f>IF($A89="","", $R89*IFERROR(IF(XLOOKUP('Job Control'!$B$3, INPUT_JobSettings!$A:$A, INPUT_JobSettings!$F:$F, "")&lt;&gt;"", XLOOKUP('Job Control'!$B$3, INPUT_JobSettings!$A:$A, INPUT_JobSettings!$F:$F, ""), $B$6), $B$6) + $M89)</f>
        <v/>
      </c>
      <c r="T89" s="6">
        <f>IF($A89="","", ($S89+$P89)*IFERROR(IF(XLOOKUP('Job Control'!$B$3, INPUT_JobSettings!$A:$A, INPUT_JobSettings!$G:$G, "")&lt;&gt;"", XLOOKUP('Job Control'!$B$3, INPUT_JobSettings!$A:$A, INPUT_JobSettings!$G:$G, ""), $B$7), $B$7))</f>
        <v/>
      </c>
      <c r="U89" s="6">
        <f>IF($A89="","", IFERROR(XLOOKUP($A89, INPUT_Rooms!$B:$B, INPUT_Rooms!$AI:$AI, ""), ""))</f>
        <v/>
      </c>
      <c r="V89" s="6">
        <f>IF($C89&lt;&gt;"Y",0,IF($A89="","", IF($U89="", 1, IFERROR(XLOOKUP($U89, Constants!$A$160:$A$190, Constants!$C$160:$C$190, 1), 1))))</f>
        <v/>
      </c>
      <c r="W89" s="6">
        <f>IF($C89&lt;&gt;"Y",0,IF($A89="","", ($D89*IF($U89="",0,IFERROR(XLOOKUP($U89, Constants!$A$160:$A$190, Constants!$D$160:$D$190, 0),0))) ))</f>
        <v/>
      </c>
    </row>
    <row r="90">
      <c r="A90" s="6">
        <f>IFERROR(INDEX(FILTER(INPUT_Rooms!$B$4:$B$83, INPUT_Rooms!$A$4:$A$83=$B$4, INPUT_Rooms!$O$4:$O$83="Y"), 80), "")</f>
        <v/>
      </c>
      <c r="B90" s="6">
        <f>IF(A90="","", XLOOKUP(A90, FILTER(INPUT_Rooms!$B$4:$B$83, INPUT_Rooms!$A$4:$A$83=$B$4), FILTER(INPUT_Rooms!$C$4:$C$83, INPUT_Rooms!$A$4:$A$83=$B$4), ""))</f>
        <v/>
      </c>
      <c r="C90" s="6">
        <f>IF(A90="","", "Y")</f>
        <v/>
      </c>
      <c r="D90" s="6">
        <f>IF(A90="","", XLOOKUP(A90, INPUT_Rooms!$B:$B, INPUT_Rooms!$AE:$AE, ""))</f>
        <v/>
      </c>
      <c r="E90" s="6">
        <f>IF(A90="","", XLOOKUP(A90, INPUT_Rooms!$B:$B, INPUT_Rooms!$H:$H, "")/12)</f>
        <v/>
      </c>
      <c r="F90" s="6">
        <f>IF(A90="","", LOOKUP(E90, Constants!$H$10:$H$40, Constants!$I$10:$I$40))</f>
        <v/>
      </c>
      <c r="G90" s="6">
        <f>IF(A90="","", XLOOKUP(A90, INPUT_Rooms!$B:$B, INPUT_Rooms!$P:$P, ""))</f>
        <v/>
      </c>
      <c r="H90" s="6">
        <f>IF(A90="","", XLOOKUP(A90, INPUT_Rooms!$B:$B, INPUT_Rooms!$Q:$Q, ""))</f>
        <v/>
      </c>
      <c r="I90" s="6">
        <f>IF(A90="","", IF(XLOOKUP(A90, INPUT_Rooms!$B:$B, INPUT_Rooms!$R:$R, "")="", $B$5, XLOOKUP(A90, INPUT_Rooms!$B:$B, INPUT_Rooms!$R:$R, "")))</f>
        <v/>
      </c>
      <c r="J90" s="6">
        <f>IF(A90="","", D90*XLOOKUP("PrepMinsPerSqft",Constants!$F$20:$F$40,Constants!$G$20:$G$40)*XLOOKUP(I90,Constants!$E$10:$E$30,Constants!$F$10:$F$30)*F90)</f>
        <v/>
      </c>
      <c r="K90" s="6">
        <f>IF(A90="","", D90*XLOOKUP("PaintMinsPerSqftPerCoat",Constants!$F$20:$F$40,Constants!$G$20:$G$40)*H90*F90)</f>
        <v/>
      </c>
      <c r="L90" s="6">
        <f>IF(A90="","", IF(G90="Full", D90*XLOOKUP("PrimerFullMinsPerSqft",Constants!$F$20:$F$40,Constants!$G$20:$G$40)*F90, IF(G90="Spot", D90*XLOOKUP("PrimerFullMinsPerSqft",Constants!$F$20:$F$40,Constants!$G$20:$G$40)*XLOOKUP("PrimerSpotFactor",Constants!$F$20:$F$40,Constants!$G$20:$G$40)*F90, 0)))</f>
        <v/>
      </c>
      <c r="M90" s="6">
        <f>IF($A90="","", IFERROR(XLOOKUP($A90, INPUT_Rooms!$B:$B, INPUT_Rooms!$S:$S, 0),0) + $W90)</f>
        <v/>
      </c>
      <c r="N90">
        <f>IF($A90="","",IF($C90&lt;&gt;"Y","",IF($D90="", "",IFERROR(CEILING( ($D90*$H90) / IFERROR(XLOOKUP(XLOOKUP('Job Control'!$B$3, INPUT_JobSettings!$A:$A, INPUT_JobSettings!$C:$C, ""), Constants!$A:$A, Constants!$D:$D, ""), ""), 0.25), ""))))</f>
        <v/>
      </c>
      <c r="O90">
        <f>IF($A90="","",IF($C90&lt;&gt;"Y",0,IF($G90="None",0,IF($D90="",0,CEILING(($D90*IF($G90="Full",1, XLOOKUP("PrimerSpotFactor",Constants!$A:$A,Constants!$B:$B,0.35))) / IFERROR(XLOOKUP(XLOOKUP('Job Control'!$B$3, INPUT_JobSettings!$A:$A, INPUT_JobSettings!$E:$E, ""),Constants!$A:$A,Constants!$D:$D),350),0.25)))))</f>
        <v/>
      </c>
      <c r="P90">
        <f>IF($A90="","",IFERROR($N90*IFERROR(XLOOKUP(XLOOKUP('Job Control'!$B$3, INPUT_JobSettings!$A:$A, INPUT_JobSettings!$C:$C, ""), Constants!$A:$A, Constants!$C:$C, 0), 0) + $O90*IFERROR(XLOOKUP(XLOOKUP('Job Control'!$B$3, INPUT_JobSettings!$A:$A, INPUT_JobSettings!$E:$E, ""), Constants!$A:$A, Constants!$C:$C, 0), 0) + $M90,0))</f>
        <v/>
      </c>
      <c r="Q90" s="6">
        <f>IF($A90="","", ($J90+$K90+$L90)*$V90 )</f>
        <v/>
      </c>
      <c r="R90" s="6">
        <f>IF($A90="","", $Q90/60)</f>
        <v/>
      </c>
      <c r="S90" s="6">
        <f>IF($A90="","", $R90*IFERROR(IF(XLOOKUP('Job Control'!$B$3, INPUT_JobSettings!$A:$A, INPUT_JobSettings!$F:$F, "")&lt;&gt;"", XLOOKUP('Job Control'!$B$3, INPUT_JobSettings!$A:$A, INPUT_JobSettings!$F:$F, ""), $B$6), $B$6) + $M90)</f>
        <v/>
      </c>
      <c r="T90" s="6">
        <f>IF($A90="","", ($S90+$P90)*IFERROR(IF(XLOOKUP('Job Control'!$B$3, INPUT_JobSettings!$A:$A, INPUT_JobSettings!$G:$G, "")&lt;&gt;"", XLOOKUP('Job Control'!$B$3, INPUT_JobSettings!$A:$A, INPUT_JobSettings!$G:$G, ""), $B$7), $B$7))</f>
        <v/>
      </c>
      <c r="U90" s="6">
        <f>IF($A90="","", IFERROR(XLOOKUP($A90, INPUT_Rooms!$B:$B, INPUT_Rooms!$AI:$AI, ""), ""))</f>
        <v/>
      </c>
      <c r="V90" s="6">
        <f>IF($C90&lt;&gt;"Y",0,IF($A90="","", IF($U90="", 1, IFERROR(XLOOKUP($U90, Constants!$A$160:$A$190, Constants!$C$160:$C$190, 1), 1))))</f>
        <v/>
      </c>
      <c r="W90" s="6">
        <f>IF($C90&lt;&gt;"Y",0,IF($A90="","", ($D90*IF($U90="",0,IFERROR(XLOOKUP($U90, Constants!$A$160:$A$190, Constants!$D$160:$D$190, 0),0))) ))</f>
        <v/>
      </c>
    </row>
    <row r="91">
      <c r="M91">
        <f>IF($A91="","", IFERROR(XLOOKUP($A91, INPUT_Rooms!$B:$B, INPUT_Rooms!$S:$S, 0),0) + $W91)</f>
        <v/>
      </c>
      <c r="N91">
        <f>IF($A91="","",IF($D91="", "", CEILING( ($D91*$H91) / IFERROR(XLOOKUP(XLOOKUP('Job Control'!$B$3, INPUT_JobSettings!$A:$A, INPUT_JobSettings!$C:$C, ""), Constants!$A:$A, Constants!$E:$E, ""),""), 0.25))))</f>
        <v/>
      </c>
      <c r="O91">
        <f>IF($A91="","",IF($G91="None",0,IF($D91="", "", CEILING( ($D91*IF($G91="Full",1, XLOOKUP("PrimerSpotFactor",Constants!$F$20:$F$40,Constants!$G$20:$G$40))) / IFERROR(XLOOKUP(XLOOKUP('Job Control'!$B$3, INPUT_JobSettings!$A:$A, INPUT_JobSettings!$E:$E, ""), Constants!$A:$A, Constants!$E:$E, ""),""), 0.25)))))</f>
        <v/>
      </c>
      <c r="P91">
        <f>IF($A91="","",IF($D91="", "", $N91*IFERROR(XLOOKUP(XLOOKUP('Job Control'!$B$3, INPUT_JobSettings!$A:$A, INPUT_JobSettings!$C:$C, ""), Constants!$A:$A, Constants!$D:$D, 0),0) + $O91*IFERROR(XLOOKUP(XLOOKUP('Job Control'!$B$3, INPUT_JobSettings!$A:$A, INPUT_JobSettings!$E:$E, ""), Constants!$A:$A, Constants!$D:$D, 0),0))))</f>
        <v/>
      </c>
      <c r="Q91">
        <f>IF($A91="","", ($J91+$K91+$L91)*$V91 )</f>
        <v/>
      </c>
      <c r="R91">
        <f>IF($A91="","", $Q91/60)</f>
        <v/>
      </c>
      <c r="S91">
        <f>IF($A91="","", $R91*IFERROR(IF(XLOOKUP('Job Control'!$B$3, INPUT_JobSettings!$A:$A, INPUT_JobSettings!$F:$F, "")&lt;&gt;"", XLOOKUP('Job Control'!$B$3, INPUT_JobSettings!$A:$A, INPUT_JobSettings!$F:$F, ""), $B$6), $B$6) + $M91)</f>
        <v/>
      </c>
      <c r="T91">
        <f>IF($A91="","", ($S91+$P91)*IFERROR(IF(XLOOKUP('Job Control'!$B$3, INPUT_JobSettings!$A:$A, INPUT_JobSettings!$G:$G, "")&lt;&gt;"", XLOOKUP('Job Control'!$B$3, INPUT_JobSettings!$A:$A, INPUT_JobSettings!$G:$G, ""), $B$7), $B$7))</f>
        <v/>
      </c>
      <c r="U91">
        <f>IF($A91="","", IFERROR(XLOOKUP($A91, INPUT_Rooms!$B:$B, INPUT_Rooms!$AI:$AI, ""), ""))</f>
        <v/>
      </c>
      <c r="V91">
        <f>IF($A91="","", IF($U91="", 1, IFERROR(XLOOKUP($U91, Constants!$A$160:$A$190, Constants!$C$160:$C$190, 1), 1)))</f>
        <v/>
      </c>
      <c r="W91">
        <f>IF($A91="","", ($D91*IF($U91="",0,IFERROR(XLOOKUP($U91, Constants!$A$160:$A$190, Constants!$D$160:$D$190, 0),0))) )</f>
        <v/>
      </c>
    </row>
    <row r="92">
      <c r="M92">
        <f>IF($A92="","", IFERROR(XLOOKUP($A92, INPUT_Rooms!$B:$B, INPUT_Rooms!$S:$S, 0),0) + $W92)</f>
        <v/>
      </c>
      <c r="N92">
        <f>IF($A92="","",IF($D92="", "", CEILING( ($D92*$H92) / IFERROR(XLOOKUP(XLOOKUP('Job Control'!$B$3, INPUT_JobSettings!$A:$A, INPUT_JobSettings!$C:$C, ""), Constants!$A:$A, Constants!$E:$E, ""),""), 0.25))))</f>
        <v/>
      </c>
      <c r="O92">
        <f>IF($A92="","",IF($G92="None",0,IF($D92="", "", CEILING( ($D92*IF($G92="Full",1, XLOOKUP("PrimerSpotFactor",Constants!$F$20:$F$40,Constants!$G$20:$G$40))) / IFERROR(XLOOKUP(XLOOKUP('Job Control'!$B$3, INPUT_JobSettings!$A:$A, INPUT_JobSettings!$E:$E, ""), Constants!$A:$A, Constants!$E:$E, ""),""), 0.25)))))</f>
        <v/>
      </c>
      <c r="P92">
        <f>IF($A92="","",IF($D92="", "", $N92*IFERROR(XLOOKUP(XLOOKUP('Job Control'!$B$3, INPUT_JobSettings!$A:$A, INPUT_JobSettings!$C:$C, ""), Constants!$A:$A, Constants!$D:$D, 0),0) + $O92*IFERROR(XLOOKUP(XLOOKUP('Job Control'!$B$3, INPUT_JobSettings!$A:$A, INPUT_JobSettings!$E:$E, ""), Constants!$A:$A, Constants!$D:$D, 0),0))))</f>
        <v/>
      </c>
      <c r="Q92">
        <f>IF($A92="","", ($J92+$K92+$L92)*$V92 )</f>
        <v/>
      </c>
      <c r="R92">
        <f>IF($A92="","", $Q92/60)</f>
        <v/>
      </c>
      <c r="S92">
        <f>IF($A92="","", $R92*IFERROR(IF(XLOOKUP('Job Control'!$B$3, INPUT_JobSettings!$A:$A, INPUT_JobSettings!$F:$F, "")&lt;&gt;"", XLOOKUP('Job Control'!$B$3, INPUT_JobSettings!$A:$A, INPUT_JobSettings!$F:$F, ""), $B$6), $B$6) + $M92)</f>
        <v/>
      </c>
      <c r="T92">
        <f>IF($A92="","", ($S92+$P92)*IFERROR(IF(XLOOKUP('Job Control'!$B$3, INPUT_JobSettings!$A:$A, INPUT_JobSettings!$G:$G, "")&lt;&gt;"", XLOOKUP('Job Control'!$B$3, INPUT_JobSettings!$A:$A, INPUT_JobSettings!$G:$G, ""), $B$7), $B$7))</f>
        <v/>
      </c>
      <c r="U92">
        <f>IF($A92="","", IFERROR(XLOOKUP($A92, INPUT_Rooms!$B:$B, INPUT_Rooms!$AI:$AI, ""), ""))</f>
        <v/>
      </c>
      <c r="V92">
        <f>IF($A92="","", IF($U92="", 1, IFERROR(XLOOKUP($U92, Constants!$A$160:$A$190, Constants!$C$160:$C$190, 1), 1)))</f>
        <v/>
      </c>
      <c r="W92">
        <f>IF($A92="","", ($D92*IF($U92="",0,IFERROR(XLOOKUP($U92, Constants!$A$160:$A$190, Constants!$D$160:$D$190, 0),0))) )</f>
        <v/>
      </c>
    </row>
    <row r="93">
      <c r="M93">
        <f>IF($A93="","", IFERROR(XLOOKUP($A93, INPUT_Rooms!$B:$B, INPUT_Rooms!$S:$S, 0),0) + $W93)</f>
        <v/>
      </c>
      <c r="N93">
        <f>IF($A93="","",IF($D93="", "", CEILING( ($D93*$H93) / IFERROR(XLOOKUP(XLOOKUP('Job Control'!$B$3, INPUT_JobSettings!$A:$A, INPUT_JobSettings!$C:$C, ""), Constants!$A:$A, Constants!$E:$E, ""),""), 0.25))))</f>
        <v/>
      </c>
      <c r="O93">
        <f>IF($A93="","",IF($G93="None",0,IF($D93="", "", CEILING( ($D93*IF($G93="Full",1, XLOOKUP("PrimerSpotFactor",Constants!$F$20:$F$40,Constants!$G$20:$G$40))) / IFERROR(XLOOKUP(XLOOKUP('Job Control'!$B$3, INPUT_JobSettings!$A:$A, INPUT_JobSettings!$E:$E, ""), Constants!$A:$A, Constants!$E:$E, ""),""), 0.25)))))</f>
        <v/>
      </c>
      <c r="P93">
        <f>IF($A93="","",IF($D93="", "", $N93*IFERROR(XLOOKUP(XLOOKUP('Job Control'!$B$3, INPUT_JobSettings!$A:$A, INPUT_JobSettings!$C:$C, ""), Constants!$A:$A, Constants!$D:$D, 0),0) + $O93*IFERROR(XLOOKUP(XLOOKUP('Job Control'!$B$3, INPUT_JobSettings!$A:$A, INPUT_JobSettings!$E:$E, ""), Constants!$A:$A, Constants!$D:$D, 0),0))))</f>
        <v/>
      </c>
      <c r="Q93">
        <f>IF($A93="","", ($J93+$K93+$L93)*$V93 )</f>
        <v/>
      </c>
      <c r="R93">
        <f>IF($A93="","", $Q93/60)</f>
        <v/>
      </c>
      <c r="S93">
        <f>IF($A93="","", $R93*IFERROR(IF(XLOOKUP('Job Control'!$B$3, INPUT_JobSettings!$A:$A, INPUT_JobSettings!$F:$F, "")&lt;&gt;"", XLOOKUP('Job Control'!$B$3, INPUT_JobSettings!$A:$A, INPUT_JobSettings!$F:$F, ""), $B$6), $B$6) + $M93)</f>
        <v/>
      </c>
      <c r="T93">
        <f>IF($A93="","", ($S93+$P93)*IFERROR(IF(XLOOKUP('Job Control'!$B$3, INPUT_JobSettings!$A:$A, INPUT_JobSettings!$G:$G, "")&lt;&gt;"", XLOOKUP('Job Control'!$B$3, INPUT_JobSettings!$A:$A, INPUT_JobSettings!$G:$G, ""), $B$7), $B$7))</f>
        <v/>
      </c>
      <c r="U93">
        <f>IF($A93="","", IFERROR(XLOOKUP($A93, INPUT_Rooms!$B:$B, INPUT_Rooms!$AI:$AI, ""), ""))</f>
        <v/>
      </c>
      <c r="V93">
        <f>IF($A93="","", IF($U93="", 1, IFERROR(XLOOKUP($U93, Constants!$A$160:$A$190, Constants!$C$160:$C$190, 1), 1)))</f>
        <v/>
      </c>
      <c r="W93">
        <f>IF($A93="","", ($D93*IF($U93="",0,IFERROR(XLOOKUP($U93, Constants!$A$160:$A$190, Constants!$D$160:$D$190, 0),0))) )</f>
        <v/>
      </c>
    </row>
    <row r="94">
      <c r="M94">
        <f>IF($A94="","", IFERROR(XLOOKUP($A94, INPUT_Rooms!$B:$B, INPUT_Rooms!$S:$S, 0),0) + $W94)</f>
        <v/>
      </c>
      <c r="N94">
        <f>IF($A94="","",IF($D94="", "", CEILING( ($D94*$H94) / IFERROR(XLOOKUP(XLOOKUP('Job Control'!$B$3, INPUT_JobSettings!$A:$A, INPUT_JobSettings!$C:$C, ""), Constants!$A:$A, Constants!$E:$E, ""),""), 0.25))))</f>
        <v/>
      </c>
      <c r="O94">
        <f>IF($A94="","",IF($G94="None",0,IF($D94="", "", CEILING( ($D94*IF($G94="Full",1, XLOOKUP("PrimerSpotFactor",Constants!$F$20:$F$40,Constants!$G$20:$G$40))) / IFERROR(XLOOKUP(XLOOKUP('Job Control'!$B$3, INPUT_JobSettings!$A:$A, INPUT_JobSettings!$E:$E, ""), Constants!$A:$A, Constants!$E:$E, ""),""), 0.25)))))</f>
        <v/>
      </c>
      <c r="P94">
        <f>IF($A94="","",IF($D94="", "", $N94*IFERROR(XLOOKUP(XLOOKUP('Job Control'!$B$3, INPUT_JobSettings!$A:$A, INPUT_JobSettings!$C:$C, ""), Constants!$A:$A, Constants!$D:$D, 0),0) + $O94*IFERROR(XLOOKUP(XLOOKUP('Job Control'!$B$3, INPUT_JobSettings!$A:$A, INPUT_JobSettings!$E:$E, ""), Constants!$A:$A, Constants!$D:$D, 0),0))))</f>
        <v/>
      </c>
      <c r="Q94">
        <f>IF($A94="","", ($J94+$K94+$L94)*$V94 )</f>
        <v/>
      </c>
      <c r="R94">
        <f>IF($A94="","", $Q94/60)</f>
        <v/>
      </c>
      <c r="S94">
        <f>IF($A94="","", $R94*IFERROR(IF(XLOOKUP('Job Control'!$B$3, INPUT_JobSettings!$A:$A, INPUT_JobSettings!$F:$F, "")&lt;&gt;"", XLOOKUP('Job Control'!$B$3, INPUT_JobSettings!$A:$A, INPUT_JobSettings!$F:$F, ""), $B$6), $B$6) + $M94)</f>
        <v/>
      </c>
      <c r="T94">
        <f>IF($A94="","", ($S94+$P94)*IFERROR(IF(XLOOKUP('Job Control'!$B$3, INPUT_JobSettings!$A:$A, INPUT_JobSettings!$G:$G, "")&lt;&gt;"", XLOOKUP('Job Control'!$B$3, INPUT_JobSettings!$A:$A, INPUT_JobSettings!$G:$G, ""), $B$7), $B$7))</f>
        <v/>
      </c>
      <c r="U94">
        <f>IF($A94="","", IFERROR(XLOOKUP($A94, INPUT_Rooms!$B:$B, INPUT_Rooms!$AI:$AI, ""), ""))</f>
        <v/>
      </c>
      <c r="V94">
        <f>IF($A94="","", IF($U94="", 1, IFERROR(XLOOKUP($U94, Constants!$A$160:$A$190, Constants!$C$160:$C$190, 1), 1)))</f>
        <v/>
      </c>
      <c r="W94">
        <f>IF($A94="","", ($D94*IF($U94="",0,IFERROR(XLOOKUP($U94, Constants!$A$160:$A$190, Constants!$D$160:$D$190, 0),0))) )</f>
        <v/>
      </c>
    </row>
    <row r="95">
      <c r="M95">
        <f>IF($A95="","", IFERROR(XLOOKUP($A95, INPUT_Rooms!$B:$B, INPUT_Rooms!$S:$S, 0),0) + $W95)</f>
        <v/>
      </c>
      <c r="N95">
        <f>IF($A95="","",IF($D95="", "", CEILING( ($D95*$H95) / IFERROR(XLOOKUP(XLOOKUP('Job Control'!$B$3, INPUT_JobSettings!$A:$A, INPUT_JobSettings!$C:$C, ""), Constants!$A:$A, Constants!$E:$E, ""),""), 0.25))))</f>
        <v/>
      </c>
      <c r="O95">
        <f>IF($A95="","",IF($G95="None",0,IF($D95="", "", CEILING( ($D95*IF($G95="Full",1, XLOOKUP("PrimerSpotFactor",Constants!$F$20:$F$40,Constants!$G$20:$G$40))) / IFERROR(XLOOKUP(XLOOKUP('Job Control'!$B$3, INPUT_JobSettings!$A:$A, INPUT_JobSettings!$E:$E, ""), Constants!$A:$A, Constants!$E:$E, ""),""), 0.25)))))</f>
        <v/>
      </c>
      <c r="P95">
        <f>IF($A95="","",IF($D95="", "", $N95*IFERROR(XLOOKUP(XLOOKUP('Job Control'!$B$3, INPUT_JobSettings!$A:$A, INPUT_JobSettings!$C:$C, ""), Constants!$A:$A, Constants!$D:$D, 0),0) + $O95*IFERROR(XLOOKUP(XLOOKUP('Job Control'!$B$3, INPUT_JobSettings!$A:$A, INPUT_JobSettings!$E:$E, ""), Constants!$A:$A, Constants!$D:$D, 0),0))))</f>
        <v/>
      </c>
      <c r="Q95">
        <f>IF($A95="","", ($J95+$K95+$L95)*$V95 )</f>
        <v/>
      </c>
      <c r="R95">
        <f>IF($A95="","", $Q95/60)</f>
        <v/>
      </c>
      <c r="S95">
        <f>IF($A95="","", $R95*IFERROR(IF(XLOOKUP('Job Control'!$B$3, INPUT_JobSettings!$A:$A, INPUT_JobSettings!$F:$F, "")&lt;&gt;"", XLOOKUP('Job Control'!$B$3, INPUT_JobSettings!$A:$A, INPUT_JobSettings!$F:$F, ""), $B$6), $B$6) + $M95)</f>
        <v/>
      </c>
      <c r="T95">
        <f>IF($A95="","", ($S95+$P95)*IFERROR(IF(XLOOKUP('Job Control'!$B$3, INPUT_JobSettings!$A:$A, INPUT_JobSettings!$G:$G, "")&lt;&gt;"", XLOOKUP('Job Control'!$B$3, INPUT_JobSettings!$A:$A, INPUT_JobSettings!$G:$G, ""), $B$7), $B$7))</f>
        <v/>
      </c>
      <c r="U95">
        <f>IF($A95="","", IFERROR(XLOOKUP($A95, INPUT_Rooms!$B:$B, INPUT_Rooms!$AI:$AI, ""), ""))</f>
        <v/>
      </c>
      <c r="V95">
        <f>IF($A95="","", IF($U95="", 1, IFERROR(XLOOKUP($U95, Constants!$A$160:$A$190, Constants!$C$160:$C$190, 1), 1)))</f>
        <v/>
      </c>
      <c r="W95">
        <f>IF($A95="","", ($D95*IF($U95="",0,IFERROR(XLOOKUP($U95, Constants!$A$160:$A$190, Constants!$D$160:$D$190, 0),0))) )</f>
        <v/>
      </c>
    </row>
    <row r="96">
      <c r="M96">
        <f>IF($A96="","", IFERROR(XLOOKUP($A96, INPUT_Rooms!$B:$B, INPUT_Rooms!$S:$S, 0),0) + $W96)</f>
        <v/>
      </c>
      <c r="N96">
        <f>IF($A96="","",IF($D96="", "", CEILING( ($D96*$H96) / IFERROR(XLOOKUP(XLOOKUP('Job Control'!$B$3, INPUT_JobSettings!$A:$A, INPUT_JobSettings!$C:$C, ""), Constants!$A:$A, Constants!$E:$E, ""),""), 0.25))))</f>
        <v/>
      </c>
      <c r="O96">
        <f>IF($A96="","",IF($G96="None",0,IF($D96="", "", CEILING( ($D96*IF($G96="Full",1, XLOOKUP("PrimerSpotFactor",Constants!$F$20:$F$40,Constants!$G$20:$G$40))) / IFERROR(XLOOKUP(XLOOKUP('Job Control'!$B$3, INPUT_JobSettings!$A:$A, INPUT_JobSettings!$E:$E, ""), Constants!$A:$A, Constants!$E:$E, ""),""), 0.25)))))</f>
        <v/>
      </c>
      <c r="P96">
        <f>IF($A96="","",IF($D96="", "", $N96*IFERROR(XLOOKUP(XLOOKUP('Job Control'!$B$3, INPUT_JobSettings!$A:$A, INPUT_JobSettings!$C:$C, ""), Constants!$A:$A, Constants!$D:$D, 0),0) + $O96*IFERROR(XLOOKUP(XLOOKUP('Job Control'!$B$3, INPUT_JobSettings!$A:$A, INPUT_JobSettings!$E:$E, ""), Constants!$A:$A, Constants!$D:$D, 0),0))))</f>
        <v/>
      </c>
      <c r="Q96">
        <f>IF($A96="","", ($J96+$K96+$L96)*$V96 )</f>
        <v/>
      </c>
      <c r="R96">
        <f>IF($A96="","", $Q96/60)</f>
        <v/>
      </c>
      <c r="S96">
        <f>IF($A96="","", $R96*IFERROR(IF(XLOOKUP('Job Control'!$B$3, INPUT_JobSettings!$A:$A, INPUT_JobSettings!$F:$F, "")&lt;&gt;"", XLOOKUP('Job Control'!$B$3, INPUT_JobSettings!$A:$A, INPUT_JobSettings!$F:$F, ""), $B$6), $B$6) + $M96)</f>
        <v/>
      </c>
      <c r="T96">
        <f>IF($A96="","", ($S96+$P96)*IFERROR(IF(XLOOKUP('Job Control'!$B$3, INPUT_JobSettings!$A:$A, INPUT_JobSettings!$G:$G, "")&lt;&gt;"", XLOOKUP('Job Control'!$B$3, INPUT_JobSettings!$A:$A, INPUT_JobSettings!$G:$G, ""), $B$7), $B$7))</f>
        <v/>
      </c>
      <c r="U96">
        <f>IF($A96="","", IFERROR(XLOOKUP($A96, INPUT_Rooms!$B:$B, INPUT_Rooms!$AI:$AI, ""), ""))</f>
        <v/>
      </c>
      <c r="V96">
        <f>IF($A96="","", IF($U96="", 1, IFERROR(XLOOKUP($U96, Constants!$A$160:$A$190, Constants!$C$160:$C$190, 1), 1)))</f>
        <v/>
      </c>
      <c r="W96">
        <f>IF($A96="","", ($D96*IF($U96="",0,IFERROR(XLOOKUP($U96, Constants!$A$160:$A$190, Constants!$D$160:$D$190, 0),0))) )</f>
        <v/>
      </c>
    </row>
    <row r="97">
      <c r="M97">
        <f>IF($A97="","", IFERROR(XLOOKUP($A97, INPUT_Rooms!$B:$B, INPUT_Rooms!$S:$S, 0),0) + $W97)</f>
        <v/>
      </c>
      <c r="N97">
        <f>IF($A97="","",IF($D97="", "", CEILING( ($D97*$H97) / IFERROR(XLOOKUP(XLOOKUP('Job Control'!$B$3, INPUT_JobSettings!$A:$A, INPUT_JobSettings!$C:$C, ""), Constants!$A:$A, Constants!$E:$E, ""),""), 0.25))))</f>
        <v/>
      </c>
      <c r="O97">
        <f>IF($A97="","",IF($G97="None",0,IF($D97="", "", CEILING( ($D97*IF($G97="Full",1, XLOOKUP("PrimerSpotFactor",Constants!$F$20:$F$40,Constants!$G$20:$G$40))) / IFERROR(XLOOKUP(XLOOKUP('Job Control'!$B$3, INPUT_JobSettings!$A:$A, INPUT_JobSettings!$E:$E, ""), Constants!$A:$A, Constants!$E:$E, ""),""), 0.25)))))</f>
        <v/>
      </c>
      <c r="P97">
        <f>IF($A97="","",IF($D97="", "", $N97*IFERROR(XLOOKUP(XLOOKUP('Job Control'!$B$3, INPUT_JobSettings!$A:$A, INPUT_JobSettings!$C:$C, ""), Constants!$A:$A, Constants!$D:$D, 0),0) + $O97*IFERROR(XLOOKUP(XLOOKUP('Job Control'!$B$3, INPUT_JobSettings!$A:$A, INPUT_JobSettings!$E:$E, ""), Constants!$A:$A, Constants!$D:$D, 0),0))))</f>
        <v/>
      </c>
      <c r="Q97">
        <f>IF($A97="","", ($J97+$K97+$L97)*$V97 )</f>
        <v/>
      </c>
      <c r="R97">
        <f>IF($A97="","", $Q97/60)</f>
        <v/>
      </c>
      <c r="S97">
        <f>IF($A97="","", $R97*IFERROR(IF(XLOOKUP('Job Control'!$B$3, INPUT_JobSettings!$A:$A, INPUT_JobSettings!$F:$F, "")&lt;&gt;"", XLOOKUP('Job Control'!$B$3, INPUT_JobSettings!$A:$A, INPUT_JobSettings!$F:$F, ""), $B$6), $B$6) + $M97)</f>
        <v/>
      </c>
      <c r="T97">
        <f>IF($A97="","", ($S97+$P97)*IFERROR(IF(XLOOKUP('Job Control'!$B$3, INPUT_JobSettings!$A:$A, INPUT_JobSettings!$G:$G, "")&lt;&gt;"", XLOOKUP('Job Control'!$B$3, INPUT_JobSettings!$A:$A, INPUT_JobSettings!$G:$G, ""), $B$7), $B$7))</f>
        <v/>
      </c>
      <c r="U97">
        <f>IF($A97="","", IFERROR(XLOOKUP($A97, INPUT_Rooms!$B:$B, INPUT_Rooms!$AI:$AI, ""), ""))</f>
        <v/>
      </c>
      <c r="V97">
        <f>IF($A97="","", IF($U97="", 1, IFERROR(XLOOKUP($U97, Constants!$A$160:$A$190, Constants!$C$160:$C$190, 1), 1)))</f>
        <v/>
      </c>
      <c r="W97">
        <f>IF($A97="","", ($D97*IF($U97="",0,IFERROR(XLOOKUP($U97, Constants!$A$160:$A$190, Constants!$D$160:$D$190, 0),0))) )</f>
        <v/>
      </c>
    </row>
    <row r="98">
      <c r="M98">
        <f>IF($A98="","", IFERROR(XLOOKUP($A98, INPUT_Rooms!$B:$B, INPUT_Rooms!$S:$S, 0),0) + $W98)</f>
        <v/>
      </c>
      <c r="N98">
        <f>IF($A98="","",IF($D98="", "", CEILING( ($D98*$H98) / IFERROR(XLOOKUP(XLOOKUP('Job Control'!$B$3, INPUT_JobSettings!$A:$A, INPUT_JobSettings!$C:$C, ""), Constants!$A:$A, Constants!$E:$E, ""),""), 0.25))))</f>
        <v/>
      </c>
      <c r="O98">
        <f>IF($A98="","",IF($G98="None",0,IF($D98="", "", CEILING( ($D98*IF($G98="Full",1, XLOOKUP("PrimerSpotFactor",Constants!$F$20:$F$40,Constants!$G$20:$G$40))) / IFERROR(XLOOKUP(XLOOKUP('Job Control'!$B$3, INPUT_JobSettings!$A:$A, INPUT_JobSettings!$E:$E, ""), Constants!$A:$A, Constants!$E:$E, ""),""), 0.25)))))</f>
        <v/>
      </c>
      <c r="P98">
        <f>IF($A98="","",IF($D98="", "", $N98*IFERROR(XLOOKUP(XLOOKUP('Job Control'!$B$3, INPUT_JobSettings!$A:$A, INPUT_JobSettings!$C:$C, ""), Constants!$A:$A, Constants!$D:$D, 0),0) + $O98*IFERROR(XLOOKUP(XLOOKUP('Job Control'!$B$3, INPUT_JobSettings!$A:$A, INPUT_JobSettings!$E:$E, ""), Constants!$A:$A, Constants!$D:$D, 0),0))))</f>
        <v/>
      </c>
      <c r="Q98">
        <f>IF($A98="","", ($J98+$K98+$L98)*$V98 )</f>
        <v/>
      </c>
      <c r="R98">
        <f>IF($A98="","", $Q98/60)</f>
        <v/>
      </c>
      <c r="S98">
        <f>IF($A98="","", $R98*IFERROR(IF(XLOOKUP('Job Control'!$B$3, INPUT_JobSettings!$A:$A, INPUT_JobSettings!$F:$F, "")&lt;&gt;"", XLOOKUP('Job Control'!$B$3, INPUT_JobSettings!$A:$A, INPUT_JobSettings!$F:$F, ""), $B$6), $B$6) + $M98)</f>
        <v/>
      </c>
      <c r="T98">
        <f>IF($A98="","", ($S98+$P98)*IFERROR(IF(XLOOKUP('Job Control'!$B$3, INPUT_JobSettings!$A:$A, INPUT_JobSettings!$G:$G, "")&lt;&gt;"", XLOOKUP('Job Control'!$B$3, INPUT_JobSettings!$A:$A, INPUT_JobSettings!$G:$G, ""), $B$7), $B$7))</f>
        <v/>
      </c>
      <c r="U98">
        <f>IF($A98="","", IFERROR(XLOOKUP($A98, INPUT_Rooms!$B:$B, INPUT_Rooms!$AI:$AI, ""), ""))</f>
        <v/>
      </c>
      <c r="V98">
        <f>IF($A98="","", IF($U98="", 1, IFERROR(XLOOKUP($U98, Constants!$A$160:$A$190, Constants!$C$160:$C$190, 1), 1)))</f>
        <v/>
      </c>
      <c r="W98">
        <f>IF($A98="","", ($D98*IF($U98="",0,IFERROR(XLOOKUP($U98, Constants!$A$160:$A$190, Constants!$D$160:$D$190, 0),0))) )</f>
        <v/>
      </c>
    </row>
    <row r="99">
      <c r="M99">
        <f>IF($A99="","", IFERROR(XLOOKUP($A99, INPUT_Rooms!$B:$B, INPUT_Rooms!$S:$S, 0),0) + $W99)</f>
        <v/>
      </c>
      <c r="N99">
        <f>IF($A99="","",IF($D99="", "", CEILING( ($D99*$H99) / IFERROR(XLOOKUP(XLOOKUP('Job Control'!$B$3, INPUT_JobSettings!$A:$A, INPUT_JobSettings!$C:$C, ""), Constants!$A:$A, Constants!$E:$E, ""),""), 0.25))))</f>
        <v/>
      </c>
      <c r="O99">
        <f>IF($A99="","",IF($G99="None",0,IF($D99="", "", CEILING( ($D99*IF($G99="Full",1, XLOOKUP("PrimerSpotFactor",Constants!$F$20:$F$40,Constants!$G$20:$G$40))) / IFERROR(XLOOKUP(XLOOKUP('Job Control'!$B$3, INPUT_JobSettings!$A:$A, INPUT_JobSettings!$E:$E, ""), Constants!$A:$A, Constants!$E:$E, ""),""), 0.25)))))</f>
        <v/>
      </c>
      <c r="P99">
        <f>IF($A99="","",IF($D99="", "", $N99*IFERROR(XLOOKUP(XLOOKUP('Job Control'!$B$3, INPUT_JobSettings!$A:$A, INPUT_JobSettings!$C:$C, ""), Constants!$A:$A, Constants!$D:$D, 0),0) + $O99*IFERROR(XLOOKUP(XLOOKUP('Job Control'!$B$3, INPUT_JobSettings!$A:$A, INPUT_JobSettings!$E:$E, ""), Constants!$A:$A, Constants!$D:$D, 0),0))))</f>
        <v/>
      </c>
      <c r="Q99">
        <f>IF($A99="","", ($J99+$K99+$L99)*$V99 )</f>
        <v/>
      </c>
      <c r="R99">
        <f>IF($A99="","", $Q99/60)</f>
        <v/>
      </c>
      <c r="S99">
        <f>IF($A99="","", $R99*IFERROR(IF(XLOOKUP('Job Control'!$B$3, INPUT_JobSettings!$A:$A, INPUT_JobSettings!$F:$F, "")&lt;&gt;"", XLOOKUP('Job Control'!$B$3, INPUT_JobSettings!$A:$A, INPUT_JobSettings!$F:$F, ""), $B$6), $B$6) + $M99)</f>
        <v/>
      </c>
      <c r="T99">
        <f>IF($A99="","", ($S99+$P99)*IFERROR(IF(XLOOKUP('Job Control'!$B$3, INPUT_JobSettings!$A:$A, INPUT_JobSettings!$G:$G, "")&lt;&gt;"", XLOOKUP('Job Control'!$B$3, INPUT_JobSettings!$A:$A, INPUT_JobSettings!$G:$G, ""), $B$7), $B$7))</f>
        <v/>
      </c>
      <c r="U99">
        <f>IF($A99="","", IFERROR(XLOOKUP($A99, INPUT_Rooms!$B:$B, INPUT_Rooms!$AI:$AI, ""), ""))</f>
        <v/>
      </c>
      <c r="V99">
        <f>IF($A99="","", IF($U99="", 1, IFERROR(XLOOKUP($U99, Constants!$A$160:$A$190, Constants!$C$160:$C$190, 1), 1)))</f>
        <v/>
      </c>
      <c r="W99">
        <f>IF($A99="","", ($D99*IF($U99="",0,IFERROR(XLOOKUP($U99, Constants!$A$160:$A$190, Constants!$D$160:$D$190, 0),0))) )</f>
        <v/>
      </c>
    </row>
    <row r="100">
      <c r="M100">
        <f>IF($A100="","", IFERROR(XLOOKUP($A100, INPUT_Rooms!$B:$B, INPUT_Rooms!$S:$S, 0),0) + $W100)</f>
        <v/>
      </c>
      <c r="N100">
        <f>IF($A100="","",IF($D100="", "", CEILING( ($D100*$H100) / IFERROR(XLOOKUP(XLOOKUP('Job Control'!$B$3, INPUT_JobSettings!$A:$A, INPUT_JobSettings!$C:$C, ""), Constants!$A:$A, Constants!$E:$E, ""),""), 0.25))))</f>
        <v/>
      </c>
      <c r="O100">
        <f>IF($A100="","",IF($G100="None",0,IF($D100="", "", CEILING( ($D100*IF($G100="Full",1, XLOOKUP("PrimerSpotFactor",Constants!$F$20:$F$40,Constants!$G$20:$G$40))) / IFERROR(XLOOKUP(XLOOKUP('Job Control'!$B$3, INPUT_JobSettings!$A:$A, INPUT_JobSettings!$E:$E, ""), Constants!$A:$A, Constants!$E:$E, ""),""), 0.25)))))</f>
        <v/>
      </c>
      <c r="P100">
        <f>IF($A100="","",IF($D100="", "", $N100*IFERROR(XLOOKUP(XLOOKUP('Job Control'!$B$3, INPUT_JobSettings!$A:$A, INPUT_JobSettings!$C:$C, ""), Constants!$A:$A, Constants!$D:$D, 0),0) + $O100*IFERROR(XLOOKUP(XLOOKUP('Job Control'!$B$3, INPUT_JobSettings!$A:$A, INPUT_JobSettings!$E:$E, ""), Constants!$A:$A, Constants!$D:$D, 0),0))))</f>
        <v/>
      </c>
      <c r="Q100">
        <f>IF($A100="","", ($J100+$K100+$L100)*$V100 )</f>
        <v/>
      </c>
      <c r="R100">
        <f>IF($A100="","", $Q100/60)</f>
        <v/>
      </c>
      <c r="S100">
        <f>IF($A100="","", $R100*IFERROR(IF(XLOOKUP('Job Control'!$B$3, INPUT_JobSettings!$A:$A, INPUT_JobSettings!$F:$F, "")&lt;&gt;"", XLOOKUP('Job Control'!$B$3, INPUT_JobSettings!$A:$A, INPUT_JobSettings!$F:$F, ""), $B$6), $B$6) + $M100)</f>
        <v/>
      </c>
      <c r="T100">
        <f>IF($A100="","", ($S100+$P100)*IFERROR(IF(XLOOKUP('Job Control'!$B$3, INPUT_JobSettings!$A:$A, INPUT_JobSettings!$G:$G, "")&lt;&gt;"", XLOOKUP('Job Control'!$B$3, INPUT_JobSettings!$A:$A, INPUT_JobSettings!$G:$G, ""), $B$7), $B$7))</f>
        <v/>
      </c>
      <c r="U100">
        <f>IF($A100="","", IFERROR(XLOOKUP($A100, INPUT_Rooms!$B:$B, INPUT_Rooms!$AI:$AI, ""), ""))</f>
        <v/>
      </c>
      <c r="V100">
        <f>IF($A100="","", IF($U100="", 1, IFERROR(XLOOKUP($U100, Constants!$A$160:$A$190, Constants!$C$160:$C$190, 1), 1)))</f>
        <v/>
      </c>
      <c r="W100">
        <f>IF($A100="","", ($D100*IF($U100="",0,IFERROR(XLOOKUP($U100, Constants!$A$160:$A$190, Constants!$D$160:$D$190, 0),0))) )</f>
        <v/>
      </c>
    </row>
    <row r="101">
      <c r="M101">
        <f>IF($A101="","", IFERROR(XLOOKUP($A101, INPUT_Rooms!$B:$B, INPUT_Rooms!$S:$S, 0),0) + $W101)</f>
        <v/>
      </c>
      <c r="N101">
        <f>IF($A101="","",IF($D101="", "", CEILING( ($D101*$H101) / IFERROR(XLOOKUP(XLOOKUP('Job Control'!$B$3, INPUT_JobSettings!$A:$A, INPUT_JobSettings!$C:$C, ""), Constants!$A:$A, Constants!$E:$E, ""),""), 0.25))))</f>
        <v/>
      </c>
      <c r="O101">
        <f>IF($A101="","",IF($G101="None",0,IF($D101="", "", CEILING( ($D101*IF($G101="Full",1, XLOOKUP("PrimerSpotFactor",Constants!$F$20:$F$40,Constants!$G$20:$G$40))) / IFERROR(XLOOKUP(XLOOKUP('Job Control'!$B$3, INPUT_JobSettings!$A:$A, INPUT_JobSettings!$E:$E, ""), Constants!$A:$A, Constants!$E:$E, ""),""), 0.25)))))</f>
        <v/>
      </c>
      <c r="P101">
        <f>IF($A101="","",IF($D101="", "", $N101*IFERROR(XLOOKUP(XLOOKUP('Job Control'!$B$3, INPUT_JobSettings!$A:$A, INPUT_JobSettings!$C:$C, ""), Constants!$A:$A, Constants!$D:$D, 0),0) + $O101*IFERROR(XLOOKUP(XLOOKUP('Job Control'!$B$3, INPUT_JobSettings!$A:$A, INPUT_JobSettings!$E:$E, ""), Constants!$A:$A, Constants!$D:$D, 0),0))))</f>
        <v/>
      </c>
      <c r="Q101">
        <f>IF($A101="","", ($J101+$K101+$L101)*$V101 )</f>
        <v/>
      </c>
      <c r="R101">
        <f>IF($A101="","", $Q101/60)</f>
        <v/>
      </c>
      <c r="S101">
        <f>IF($A101="","", $R101*IFERROR(IF(XLOOKUP('Job Control'!$B$3, INPUT_JobSettings!$A:$A, INPUT_JobSettings!$F:$F, "")&lt;&gt;"", XLOOKUP('Job Control'!$B$3, INPUT_JobSettings!$A:$A, INPUT_JobSettings!$F:$F, ""), $B$6), $B$6) + $M101)</f>
        <v/>
      </c>
      <c r="T101">
        <f>IF($A101="","", ($S101+$P101)*IFERROR(IF(XLOOKUP('Job Control'!$B$3, INPUT_JobSettings!$A:$A, INPUT_JobSettings!$G:$G, "")&lt;&gt;"", XLOOKUP('Job Control'!$B$3, INPUT_JobSettings!$A:$A, INPUT_JobSettings!$G:$G, ""), $B$7), $B$7))</f>
        <v/>
      </c>
      <c r="U101">
        <f>IF($A101="","", IFERROR(XLOOKUP($A101, INPUT_Rooms!$B:$B, INPUT_Rooms!$AI:$AI, ""), ""))</f>
        <v/>
      </c>
      <c r="V101">
        <f>IF($A101="","", IF($U101="", 1, IFERROR(XLOOKUP($U101, Constants!$A$160:$A$190, Constants!$C$160:$C$190, 1), 1)))</f>
        <v/>
      </c>
      <c r="W101">
        <f>IF($A101="","", ($D101*IF($U101="",0,IFERROR(XLOOKUP($U101, Constants!$A$160:$A$190, Constants!$D$160:$D$190, 0),0))) )</f>
        <v/>
      </c>
    </row>
    <row r="102">
      <c r="M102">
        <f>IF($A102="","", IFERROR(XLOOKUP($A102, INPUT_Rooms!$B:$B, INPUT_Rooms!$S:$S, 0),0) + $W102)</f>
        <v/>
      </c>
      <c r="N102">
        <f>IF($A102="","",IF($D102="", "", CEILING( ($D102*$H102) / IFERROR(XLOOKUP(XLOOKUP('Job Control'!$B$3, INPUT_JobSettings!$A:$A, INPUT_JobSettings!$C:$C, ""), Constants!$A:$A, Constants!$E:$E, ""),""), 0.25))))</f>
        <v/>
      </c>
      <c r="O102">
        <f>IF($A102="","",IF($G102="None",0,IF($D102="", "", CEILING( ($D102*IF($G102="Full",1, XLOOKUP("PrimerSpotFactor",Constants!$F$20:$F$40,Constants!$G$20:$G$40))) / IFERROR(XLOOKUP(XLOOKUP('Job Control'!$B$3, INPUT_JobSettings!$A:$A, INPUT_JobSettings!$E:$E, ""), Constants!$A:$A, Constants!$E:$E, ""),""), 0.25)))))</f>
        <v/>
      </c>
      <c r="P102">
        <f>IF($A102="","",IF($D102="", "", $N102*IFERROR(XLOOKUP(XLOOKUP('Job Control'!$B$3, INPUT_JobSettings!$A:$A, INPUT_JobSettings!$C:$C, ""), Constants!$A:$A, Constants!$D:$D, 0),0) + $O102*IFERROR(XLOOKUP(XLOOKUP('Job Control'!$B$3, INPUT_JobSettings!$A:$A, INPUT_JobSettings!$E:$E, ""), Constants!$A:$A, Constants!$D:$D, 0),0))))</f>
        <v/>
      </c>
      <c r="Q102">
        <f>IF($A102="","", ($J102+$K102+$L102)*$V102 )</f>
        <v/>
      </c>
      <c r="R102">
        <f>IF($A102="","", $Q102/60)</f>
        <v/>
      </c>
      <c r="S102">
        <f>IF($A102="","", $R102*IFERROR(IF(XLOOKUP('Job Control'!$B$3, INPUT_JobSettings!$A:$A, INPUT_JobSettings!$F:$F, "")&lt;&gt;"", XLOOKUP('Job Control'!$B$3, INPUT_JobSettings!$A:$A, INPUT_JobSettings!$F:$F, ""), $B$6), $B$6) + $M102)</f>
        <v/>
      </c>
      <c r="T102">
        <f>IF($A102="","", ($S102+$P102)*IFERROR(IF(XLOOKUP('Job Control'!$B$3, INPUT_JobSettings!$A:$A, INPUT_JobSettings!$G:$G, "")&lt;&gt;"", XLOOKUP('Job Control'!$B$3, INPUT_JobSettings!$A:$A, INPUT_JobSettings!$G:$G, ""), $B$7), $B$7))</f>
        <v/>
      </c>
      <c r="U102">
        <f>IF($A102="","", IFERROR(XLOOKUP($A102, INPUT_Rooms!$B:$B, INPUT_Rooms!$AI:$AI, ""), ""))</f>
        <v/>
      </c>
      <c r="V102">
        <f>IF($A102="","", IF($U102="", 1, IFERROR(XLOOKUP($U102, Constants!$A$160:$A$190, Constants!$C$160:$C$190, 1), 1)))</f>
        <v/>
      </c>
      <c r="W102">
        <f>IF($A102="","", ($D102*IF($U102="",0,IFERROR(XLOOKUP($U102, Constants!$A$160:$A$190, Constants!$D$160:$D$190, 0),0))) )</f>
        <v/>
      </c>
    </row>
    <row r="103">
      <c r="M103">
        <f>IF($A103="","", IFERROR(XLOOKUP($A103, INPUT_Rooms!$B:$B, INPUT_Rooms!$S:$S, 0),0) + $W103)</f>
        <v/>
      </c>
      <c r="N103">
        <f>IF($A103="","",IF($D103="", "", CEILING( ($D103*$H103) / IFERROR(XLOOKUP(XLOOKUP('Job Control'!$B$3, INPUT_JobSettings!$A:$A, INPUT_JobSettings!$C:$C, ""), Constants!$A:$A, Constants!$E:$E, ""),""), 0.25))))</f>
        <v/>
      </c>
      <c r="O103">
        <f>IF($A103="","",IF($G103="None",0,IF($D103="", "", CEILING( ($D103*IF($G103="Full",1, XLOOKUP("PrimerSpotFactor",Constants!$F$20:$F$40,Constants!$G$20:$G$40))) / IFERROR(XLOOKUP(XLOOKUP('Job Control'!$B$3, INPUT_JobSettings!$A:$A, INPUT_JobSettings!$E:$E, ""), Constants!$A:$A, Constants!$E:$E, ""),""), 0.25)))))</f>
        <v/>
      </c>
      <c r="P103">
        <f>IF($A103="","",IF($D103="", "", $N103*IFERROR(XLOOKUP(XLOOKUP('Job Control'!$B$3, INPUT_JobSettings!$A:$A, INPUT_JobSettings!$C:$C, ""), Constants!$A:$A, Constants!$D:$D, 0),0) + $O103*IFERROR(XLOOKUP(XLOOKUP('Job Control'!$B$3, INPUT_JobSettings!$A:$A, INPUT_JobSettings!$E:$E, ""), Constants!$A:$A, Constants!$D:$D, 0),0))))</f>
        <v/>
      </c>
      <c r="Q103">
        <f>IF($A103="","", ($J103+$K103+$L103)*$V103 )</f>
        <v/>
      </c>
      <c r="R103">
        <f>IF($A103="","", $Q103/60)</f>
        <v/>
      </c>
      <c r="S103">
        <f>IF($A103="","", $R103*IFERROR(IF(XLOOKUP('Job Control'!$B$3, INPUT_JobSettings!$A:$A, INPUT_JobSettings!$F:$F, "")&lt;&gt;"", XLOOKUP('Job Control'!$B$3, INPUT_JobSettings!$A:$A, INPUT_JobSettings!$F:$F, ""), $B$6), $B$6) + $M103)</f>
        <v/>
      </c>
      <c r="T103">
        <f>IF($A103="","", ($S103+$P103)*IFERROR(IF(XLOOKUP('Job Control'!$B$3, INPUT_JobSettings!$A:$A, INPUT_JobSettings!$G:$G, "")&lt;&gt;"", XLOOKUP('Job Control'!$B$3, INPUT_JobSettings!$A:$A, INPUT_JobSettings!$G:$G, ""), $B$7), $B$7))</f>
        <v/>
      </c>
      <c r="U103">
        <f>IF($A103="","", IFERROR(XLOOKUP($A103, INPUT_Rooms!$B:$B, INPUT_Rooms!$AI:$AI, ""), ""))</f>
        <v/>
      </c>
      <c r="V103">
        <f>IF($A103="","", IF($U103="", 1, IFERROR(XLOOKUP($U103, Constants!$A$160:$A$190, Constants!$C$160:$C$190, 1), 1)))</f>
        <v/>
      </c>
      <c r="W103">
        <f>IF($A103="","", ($D103*IF($U103="",0,IFERROR(XLOOKUP($U103, Constants!$A$160:$A$190, Constants!$D$160:$D$190, 0),0))) )</f>
        <v/>
      </c>
    </row>
    <row r="104">
      <c r="M104">
        <f>IF($A104="","", IFERROR(XLOOKUP($A104, INPUT_Rooms!$B:$B, INPUT_Rooms!$S:$S, 0),0) + $W104)</f>
        <v/>
      </c>
      <c r="N104">
        <f>IF($A104="","",IF($D104="", "", CEILING( ($D104*$H104) / IFERROR(XLOOKUP(XLOOKUP('Job Control'!$B$3, INPUT_JobSettings!$A:$A, INPUT_JobSettings!$C:$C, ""), Constants!$A:$A, Constants!$E:$E, ""),""), 0.25))))</f>
        <v/>
      </c>
      <c r="O104">
        <f>IF($A104="","",IF($G104="None",0,IF($D104="", "", CEILING( ($D104*IF($G104="Full",1, XLOOKUP("PrimerSpotFactor",Constants!$F$20:$F$40,Constants!$G$20:$G$40))) / IFERROR(XLOOKUP(XLOOKUP('Job Control'!$B$3, INPUT_JobSettings!$A:$A, INPUT_JobSettings!$E:$E, ""), Constants!$A:$A, Constants!$E:$E, ""),""), 0.25)))))</f>
        <v/>
      </c>
      <c r="P104">
        <f>IF($A104="","",IF($D104="", "", $N104*IFERROR(XLOOKUP(XLOOKUP('Job Control'!$B$3, INPUT_JobSettings!$A:$A, INPUT_JobSettings!$C:$C, ""), Constants!$A:$A, Constants!$D:$D, 0),0) + $O104*IFERROR(XLOOKUP(XLOOKUP('Job Control'!$B$3, INPUT_JobSettings!$A:$A, INPUT_JobSettings!$E:$E, ""), Constants!$A:$A, Constants!$D:$D, 0),0))))</f>
        <v/>
      </c>
      <c r="Q104">
        <f>IF($A104="","", ($J104+$K104+$L104)*$V104 )</f>
        <v/>
      </c>
      <c r="R104">
        <f>IF($A104="","", $Q104/60)</f>
        <v/>
      </c>
      <c r="S104">
        <f>IF($A104="","", $R104*IFERROR(IF(XLOOKUP('Job Control'!$B$3, INPUT_JobSettings!$A:$A, INPUT_JobSettings!$F:$F, "")&lt;&gt;"", XLOOKUP('Job Control'!$B$3, INPUT_JobSettings!$A:$A, INPUT_JobSettings!$F:$F, ""), $B$6), $B$6) + $M104)</f>
        <v/>
      </c>
      <c r="T104">
        <f>IF($A104="","", ($S104+$P104)*IFERROR(IF(XLOOKUP('Job Control'!$B$3, INPUT_JobSettings!$A:$A, INPUT_JobSettings!$G:$G, "")&lt;&gt;"", XLOOKUP('Job Control'!$B$3, INPUT_JobSettings!$A:$A, INPUT_JobSettings!$G:$G, ""), $B$7), $B$7))</f>
        <v/>
      </c>
      <c r="U104">
        <f>IF($A104="","", IFERROR(XLOOKUP($A104, INPUT_Rooms!$B:$B, INPUT_Rooms!$AI:$AI, ""), ""))</f>
        <v/>
      </c>
      <c r="V104">
        <f>IF($A104="","", IF($U104="", 1, IFERROR(XLOOKUP($U104, Constants!$A$160:$A$190, Constants!$C$160:$C$190, 1), 1)))</f>
        <v/>
      </c>
      <c r="W104">
        <f>IF($A104="","", ($D104*IF($U104="",0,IFERROR(XLOOKUP($U104, Constants!$A$160:$A$190, Constants!$D$160:$D$190, 0),0))) )</f>
        <v/>
      </c>
    </row>
    <row r="105">
      <c r="M105">
        <f>IF($A105="","", IFERROR(XLOOKUP($A105, INPUT_Rooms!$B:$B, INPUT_Rooms!$S:$S, 0),0) + $W105)</f>
        <v/>
      </c>
      <c r="N105">
        <f>IF($A105="","",IF($D105="", "", CEILING( ($D105*$H105) / IFERROR(XLOOKUP(XLOOKUP('Job Control'!$B$3, INPUT_JobSettings!$A:$A, INPUT_JobSettings!$C:$C, ""), Constants!$A:$A, Constants!$E:$E, ""),""), 0.25))))</f>
        <v/>
      </c>
      <c r="O105">
        <f>IF($A105="","",IF($G105="None",0,IF($D105="", "", CEILING( ($D105*IF($G105="Full",1, XLOOKUP("PrimerSpotFactor",Constants!$F$20:$F$40,Constants!$G$20:$G$40))) / IFERROR(XLOOKUP(XLOOKUP('Job Control'!$B$3, INPUT_JobSettings!$A:$A, INPUT_JobSettings!$E:$E, ""), Constants!$A:$A, Constants!$E:$E, ""),""), 0.25)))))</f>
        <v/>
      </c>
      <c r="P105">
        <f>IF($A105="","",IF($D105="", "", $N105*IFERROR(XLOOKUP(XLOOKUP('Job Control'!$B$3, INPUT_JobSettings!$A:$A, INPUT_JobSettings!$C:$C, ""), Constants!$A:$A, Constants!$D:$D, 0),0) + $O105*IFERROR(XLOOKUP(XLOOKUP('Job Control'!$B$3, INPUT_JobSettings!$A:$A, INPUT_JobSettings!$E:$E, ""), Constants!$A:$A, Constants!$D:$D, 0),0))))</f>
        <v/>
      </c>
      <c r="Q105">
        <f>IF($A105="","", ($J105+$K105+$L105)*$V105 )</f>
        <v/>
      </c>
      <c r="R105">
        <f>IF($A105="","", $Q105/60)</f>
        <v/>
      </c>
      <c r="S105">
        <f>IF($A105="","", $R105*IFERROR(IF(XLOOKUP('Job Control'!$B$3, INPUT_JobSettings!$A:$A, INPUT_JobSettings!$F:$F, "")&lt;&gt;"", XLOOKUP('Job Control'!$B$3, INPUT_JobSettings!$A:$A, INPUT_JobSettings!$F:$F, ""), $B$6), $B$6) + $M105)</f>
        <v/>
      </c>
      <c r="T105">
        <f>IF($A105="","", ($S105+$P105)*IFERROR(IF(XLOOKUP('Job Control'!$B$3, INPUT_JobSettings!$A:$A, INPUT_JobSettings!$G:$G, "")&lt;&gt;"", XLOOKUP('Job Control'!$B$3, INPUT_JobSettings!$A:$A, INPUT_JobSettings!$G:$G, ""), $B$7), $B$7))</f>
        <v/>
      </c>
      <c r="U105">
        <f>IF($A105="","", IFERROR(XLOOKUP($A105, INPUT_Rooms!$B:$B, INPUT_Rooms!$AI:$AI, ""), ""))</f>
        <v/>
      </c>
      <c r="V105">
        <f>IF($A105="","", IF($U105="", 1, IFERROR(XLOOKUP($U105, Constants!$A$160:$A$190, Constants!$C$160:$C$190, 1), 1)))</f>
        <v/>
      </c>
      <c r="W105">
        <f>IF($A105="","", ($D105*IF($U105="",0,IFERROR(XLOOKUP($U105, Constants!$A$160:$A$190, Constants!$D$160:$D$190, 0),0))) )</f>
        <v/>
      </c>
    </row>
    <row r="106">
      <c r="M106">
        <f>IF($A106="","", IFERROR(XLOOKUP($A106, INPUT_Rooms!$B:$B, INPUT_Rooms!$S:$S, 0),0) + $W106)</f>
        <v/>
      </c>
      <c r="N106">
        <f>IF($A106="","",IF($D106="", "", CEILING( ($D106*$H106) / IFERROR(XLOOKUP(XLOOKUP('Job Control'!$B$3, INPUT_JobSettings!$A:$A, INPUT_JobSettings!$C:$C, ""), Constants!$A:$A, Constants!$E:$E, ""),""), 0.25))))</f>
        <v/>
      </c>
      <c r="O106">
        <f>IF($A106="","",IF($G106="None",0,IF($D106="", "", CEILING( ($D106*IF($G106="Full",1, XLOOKUP("PrimerSpotFactor",Constants!$F$20:$F$40,Constants!$G$20:$G$40))) / IFERROR(XLOOKUP(XLOOKUP('Job Control'!$B$3, INPUT_JobSettings!$A:$A, INPUT_JobSettings!$E:$E, ""), Constants!$A:$A, Constants!$E:$E, ""),""), 0.25)))))</f>
        <v/>
      </c>
      <c r="P106">
        <f>IF($A106="","",IF($D106="", "", $N106*IFERROR(XLOOKUP(XLOOKUP('Job Control'!$B$3, INPUT_JobSettings!$A:$A, INPUT_JobSettings!$C:$C, ""), Constants!$A:$A, Constants!$D:$D, 0),0) + $O106*IFERROR(XLOOKUP(XLOOKUP('Job Control'!$B$3, INPUT_JobSettings!$A:$A, INPUT_JobSettings!$E:$E, ""), Constants!$A:$A, Constants!$D:$D, 0),0))))</f>
        <v/>
      </c>
      <c r="Q106">
        <f>IF($A106="","", ($J106+$K106+$L106)*$V106 )</f>
        <v/>
      </c>
      <c r="R106">
        <f>IF($A106="","", $Q106/60)</f>
        <v/>
      </c>
      <c r="S106">
        <f>IF($A106="","", $R106*IFERROR(IF(XLOOKUP('Job Control'!$B$3, INPUT_JobSettings!$A:$A, INPUT_JobSettings!$F:$F, "")&lt;&gt;"", XLOOKUP('Job Control'!$B$3, INPUT_JobSettings!$A:$A, INPUT_JobSettings!$F:$F, ""), $B$6), $B$6) + $M106)</f>
        <v/>
      </c>
      <c r="T106">
        <f>IF($A106="","", ($S106+$P106)*IFERROR(IF(XLOOKUP('Job Control'!$B$3, INPUT_JobSettings!$A:$A, INPUT_JobSettings!$G:$G, "")&lt;&gt;"", XLOOKUP('Job Control'!$B$3, INPUT_JobSettings!$A:$A, INPUT_JobSettings!$G:$G, ""), $B$7), $B$7))</f>
        <v/>
      </c>
      <c r="U106">
        <f>IF($A106="","", IFERROR(XLOOKUP($A106, INPUT_Rooms!$B:$B, INPUT_Rooms!$AI:$AI, ""), ""))</f>
        <v/>
      </c>
      <c r="V106">
        <f>IF($A106="","", IF($U106="", 1, IFERROR(XLOOKUP($U106, Constants!$A$160:$A$190, Constants!$C$160:$C$190, 1), 1)))</f>
        <v/>
      </c>
      <c r="W106">
        <f>IF($A106="","", ($D106*IF($U106="",0,IFERROR(XLOOKUP($U106, Constants!$A$160:$A$190, Constants!$D$160:$D$190, 0),0))) )</f>
        <v/>
      </c>
    </row>
    <row r="107">
      <c r="M107">
        <f>IF($A107="","", IFERROR(XLOOKUP($A107, INPUT_Rooms!$B:$B, INPUT_Rooms!$S:$S, 0),0) + $W107)</f>
        <v/>
      </c>
      <c r="N107">
        <f>IF($A107="","",IF($D107="", "", CEILING( ($D107*$H107) / IFERROR(XLOOKUP(XLOOKUP('Job Control'!$B$3, INPUT_JobSettings!$A:$A, INPUT_JobSettings!$C:$C, ""), Constants!$A:$A, Constants!$E:$E, ""),""), 0.25))))</f>
        <v/>
      </c>
      <c r="O107">
        <f>IF($A107="","",IF($G107="None",0,IF($D107="", "", CEILING( ($D107*IF($G107="Full",1, XLOOKUP("PrimerSpotFactor",Constants!$F$20:$F$40,Constants!$G$20:$G$40))) / IFERROR(XLOOKUP(XLOOKUP('Job Control'!$B$3, INPUT_JobSettings!$A:$A, INPUT_JobSettings!$E:$E, ""), Constants!$A:$A, Constants!$E:$E, ""),""), 0.25)))))</f>
        <v/>
      </c>
      <c r="P107">
        <f>IF($A107="","",IF($D107="", "", $N107*IFERROR(XLOOKUP(XLOOKUP('Job Control'!$B$3, INPUT_JobSettings!$A:$A, INPUT_JobSettings!$C:$C, ""), Constants!$A:$A, Constants!$D:$D, 0),0) + $O107*IFERROR(XLOOKUP(XLOOKUP('Job Control'!$B$3, INPUT_JobSettings!$A:$A, INPUT_JobSettings!$E:$E, ""), Constants!$A:$A, Constants!$D:$D, 0),0))))</f>
        <v/>
      </c>
      <c r="Q107">
        <f>IF($A107="","", ($J107+$K107+$L107)*$V107 )</f>
        <v/>
      </c>
      <c r="R107">
        <f>IF($A107="","", $Q107/60)</f>
        <v/>
      </c>
      <c r="S107">
        <f>IF($A107="","", $R107*IFERROR(IF(XLOOKUP('Job Control'!$B$3, INPUT_JobSettings!$A:$A, INPUT_JobSettings!$F:$F, "")&lt;&gt;"", XLOOKUP('Job Control'!$B$3, INPUT_JobSettings!$A:$A, INPUT_JobSettings!$F:$F, ""), $B$6), $B$6) + $M107)</f>
        <v/>
      </c>
      <c r="T107">
        <f>IF($A107="","", ($S107+$P107)*IFERROR(IF(XLOOKUP('Job Control'!$B$3, INPUT_JobSettings!$A:$A, INPUT_JobSettings!$G:$G, "")&lt;&gt;"", XLOOKUP('Job Control'!$B$3, INPUT_JobSettings!$A:$A, INPUT_JobSettings!$G:$G, ""), $B$7), $B$7))</f>
        <v/>
      </c>
      <c r="U107">
        <f>IF($A107="","", IFERROR(XLOOKUP($A107, INPUT_Rooms!$B:$B, INPUT_Rooms!$AI:$AI, ""), ""))</f>
        <v/>
      </c>
      <c r="V107">
        <f>IF($A107="","", IF($U107="", 1, IFERROR(XLOOKUP($U107, Constants!$A$160:$A$190, Constants!$C$160:$C$190, 1), 1)))</f>
        <v/>
      </c>
      <c r="W107">
        <f>IF($A107="","", ($D107*IF($U107="",0,IFERROR(XLOOKUP($U107, Constants!$A$160:$A$190, Constants!$D$160:$D$190, 0),0))) )</f>
        <v/>
      </c>
    </row>
    <row r="108">
      <c r="M108">
        <f>IF($A108="","", IFERROR(XLOOKUP($A108, INPUT_Rooms!$B:$B, INPUT_Rooms!$S:$S, 0),0) + $W108)</f>
        <v/>
      </c>
      <c r="N108">
        <f>IF($A108="","",IF($D108="", "", CEILING( ($D108*$H108) / IFERROR(XLOOKUP(XLOOKUP('Job Control'!$B$3, INPUT_JobSettings!$A:$A, INPUT_JobSettings!$C:$C, ""), Constants!$A:$A, Constants!$E:$E, ""),""), 0.25))))</f>
        <v/>
      </c>
      <c r="O108">
        <f>IF($A108="","",IF($G108="None",0,IF($D108="", "", CEILING( ($D108*IF($G108="Full",1, XLOOKUP("PrimerSpotFactor",Constants!$F$20:$F$40,Constants!$G$20:$G$40))) / IFERROR(XLOOKUP(XLOOKUP('Job Control'!$B$3, INPUT_JobSettings!$A:$A, INPUT_JobSettings!$E:$E, ""), Constants!$A:$A, Constants!$E:$E, ""),""), 0.25)))))</f>
        <v/>
      </c>
      <c r="P108">
        <f>IF($A108="","",IF($D108="", "", $N108*IFERROR(XLOOKUP(XLOOKUP('Job Control'!$B$3, INPUT_JobSettings!$A:$A, INPUT_JobSettings!$C:$C, ""), Constants!$A:$A, Constants!$D:$D, 0),0) + $O108*IFERROR(XLOOKUP(XLOOKUP('Job Control'!$B$3, INPUT_JobSettings!$A:$A, INPUT_JobSettings!$E:$E, ""), Constants!$A:$A, Constants!$D:$D, 0),0))))</f>
        <v/>
      </c>
      <c r="Q108">
        <f>IF($A108="","", ($J108+$K108+$L108)*$V108 )</f>
        <v/>
      </c>
      <c r="R108">
        <f>IF($A108="","", $Q108/60)</f>
        <v/>
      </c>
      <c r="S108">
        <f>IF($A108="","", $R108*IFERROR(IF(XLOOKUP('Job Control'!$B$3, INPUT_JobSettings!$A:$A, INPUT_JobSettings!$F:$F, "")&lt;&gt;"", XLOOKUP('Job Control'!$B$3, INPUT_JobSettings!$A:$A, INPUT_JobSettings!$F:$F, ""), $B$6), $B$6) + $M108)</f>
        <v/>
      </c>
      <c r="T108">
        <f>IF($A108="","", ($S108+$P108)*IFERROR(IF(XLOOKUP('Job Control'!$B$3, INPUT_JobSettings!$A:$A, INPUT_JobSettings!$G:$G, "")&lt;&gt;"", XLOOKUP('Job Control'!$B$3, INPUT_JobSettings!$A:$A, INPUT_JobSettings!$G:$G, ""), $B$7), $B$7))</f>
        <v/>
      </c>
      <c r="U108">
        <f>IF($A108="","", IFERROR(XLOOKUP($A108, INPUT_Rooms!$B:$B, INPUT_Rooms!$AI:$AI, ""), ""))</f>
        <v/>
      </c>
      <c r="V108">
        <f>IF($A108="","", IF($U108="", 1, IFERROR(XLOOKUP($U108, Constants!$A$160:$A$190, Constants!$C$160:$C$190, 1), 1)))</f>
        <v/>
      </c>
      <c r="W108">
        <f>IF($A108="","", ($D108*IF($U108="",0,IFERROR(XLOOKUP($U108, Constants!$A$160:$A$190, Constants!$D$160:$D$190, 0),0))) )</f>
        <v/>
      </c>
    </row>
    <row r="109">
      <c r="M109">
        <f>IF($A109="","", IFERROR(XLOOKUP($A109, INPUT_Rooms!$B:$B, INPUT_Rooms!$S:$S, 0),0) + $W109)</f>
        <v/>
      </c>
      <c r="N109">
        <f>IF($A109="","",IF($D109="", "", CEILING( ($D109*$H109) / IFERROR(XLOOKUP(XLOOKUP('Job Control'!$B$3, INPUT_JobSettings!$A:$A, INPUT_JobSettings!$C:$C, ""), Constants!$A:$A, Constants!$E:$E, ""),""), 0.25))))</f>
        <v/>
      </c>
      <c r="O109">
        <f>IF($A109="","",IF($G109="None",0,IF($D109="", "", CEILING( ($D109*IF($G109="Full",1, XLOOKUP("PrimerSpotFactor",Constants!$F$20:$F$40,Constants!$G$20:$G$40))) / IFERROR(XLOOKUP(XLOOKUP('Job Control'!$B$3, INPUT_JobSettings!$A:$A, INPUT_JobSettings!$E:$E, ""), Constants!$A:$A, Constants!$E:$E, ""),""), 0.25)))))</f>
        <v/>
      </c>
      <c r="P109">
        <f>IF($A109="","",IF($D109="", "", $N109*IFERROR(XLOOKUP(XLOOKUP('Job Control'!$B$3, INPUT_JobSettings!$A:$A, INPUT_JobSettings!$C:$C, ""), Constants!$A:$A, Constants!$D:$D, 0),0) + $O109*IFERROR(XLOOKUP(XLOOKUP('Job Control'!$B$3, INPUT_JobSettings!$A:$A, INPUT_JobSettings!$E:$E, ""), Constants!$A:$A, Constants!$D:$D, 0),0))))</f>
        <v/>
      </c>
      <c r="Q109">
        <f>IF($A109="","", ($J109+$K109+$L109)*$V109 )</f>
        <v/>
      </c>
      <c r="R109">
        <f>IF($A109="","", $Q109/60)</f>
        <v/>
      </c>
      <c r="S109">
        <f>IF($A109="","", $R109*IFERROR(IF(XLOOKUP('Job Control'!$B$3, INPUT_JobSettings!$A:$A, INPUT_JobSettings!$F:$F, "")&lt;&gt;"", XLOOKUP('Job Control'!$B$3, INPUT_JobSettings!$A:$A, INPUT_JobSettings!$F:$F, ""), $B$6), $B$6) + $M109)</f>
        <v/>
      </c>
      <c r="T109">
        <f>IF($A109="","", ($S109+$P109)*IFERROR(IF(XLOOKUP('Job Control'!$B$3, INPUT_JobSettings!$A:$A, INPUT_JobSettings!$G:$G, "")&lt;&gt;"", XLOOKUP('Job Control'!$B$3, INPUT_JobSettings!$A:$A, INPUT_JobSettings!$G:$G, ""), $B$7), $B$7))</f>
        <v/>
      </c>
      <c r="U109">
        <f>IF($A109="","", IFERROR(XLOOKUP($A109, INPUT_Rooms!$B:$B, INPUT_Rooms!$AI:$AI, ""), ""))</f>
        <v/>
      </c>
      <c r="V109">
        <f>IF($A109="","", IF($U109="", 1, IFERROR(XLOOKUP($U109, Constants!$A$160:$A$190, Constants!$C$160:$C$190, 1), 1)))</f>
        <v/>
      </c>
      <c r="W109">
        <f>IF($A109="","", ($D109*IF($U109="",0,IFERROR(XLOOKUP($U109, Constants!$A$160:$A$190, Constants!$D$160:$D$190, 0),0))) )</f>
        <v/>
      </c>
    </row>
    <row r="110">
      <c r="M110">
        <f>IF($A110="","", IFERROR(XLOOKUP($A110, INPUT_Rooms!$B:$B, INPUT_Rooms!$S:$S, 0),0) + $W110)</f>
        <v/>
      </c>
      <c r="N110">
        <f>IF($A110="","",IF($D110="", "", CEILING( ($D110*$H110) / IFERROR(XLOOKUP(XLOOKUP('Job Control'!$B$3, INPUT_JobSettings!$A:$A, INPUT_JobSettings!$C:$C, ""), Constants!$A:$A, Constants!$E:$E, ""),""), 0.25))))</f>
        <v/>
      </c>
      <c r="O110">
        <f>IF($A110="","",IF($G110="None",0,IF($D110="", "", CEILING( ($D110*IF($G110="Full",1, XLOOKUP("PrimerSpotFactor",Constants!$F$20:$F$40,Constants!$G$20:$G$40))) / IFERROR(XLOOKUP(XLOOKUP('Job Control'!$B$3, INPUT_JobSettings!$A:$A, INPUT_JobSettings!$E:$E, ""), Constants!$A:$A, Constants!$E:$E, ""),""), 0.25)))))</f>
        <v/>
      </c>
      <c r="P110">
        <f>IF($A110="","",IF($D110="", "", $N110*IFERROR(XLOOKUP(XLOOKUP('Job Control'!$B$3, INPUT_JobSettings!$A:$A, INPUT_JobSettings!$C:$C, ""), Constants!$A:$A, Constants!$D:$D, 0),0) + $O110*IFERROR(XLOOKUP(XLOOKUP('Job Control'!$B$3, INPUT_JobSettings!$A:$A, INPUT_JobSettings!$E:$E, ""), Constants!$A:$A, Constants!$D:$D, 0),0))))</f>
        <v/>
      </c>
      <c r="Q110">
        <f>IF($A110="","", ($J110+$K110+$L110)*$V110 )</f>
        <v/>
      </c>
      <c r="R110">
        <f>IF($A110="","", $Q110/60)</f>
        <v/>
      </c>
      <c r="S110">
        <f>IF($A110="","", $R110*IFERROR(IF(XLOOKUP('Job Control'!$B$3, INPUT_JobSettings!$A:$A, INPUT_JobSettings!$F:$F, "")&lt;&gt;"", XLOOKUP('Job Control'!$B$3, INPUT_JobSettings!$A:$A, INPUT_JobSettings!$F:$F, ""), $B$6), $B$6) + $M110)</f>
        <v/>
      </c>
      <c r="T110">
        <f>IF($A110="","", ($S110+$P110)*IFERROR(IF(XLOOKUP('Job Control'!$B$3, INPUT_JobSettings!$A:$A, INPUT_JobSettings!$G:$G, "")&lt;&gt;"", XLOOKUP('Job Control'!$B$3, INPUT_JobSettings!$A:$A, INPUT_JobSettings!$G:$G, ""), $B$7), $B$7))</f>
        <v/>
      </c>
      <c r="U110">
        <f>IF($A110="","", IFERROR(XLOOKUP($A110, INPUT_Rooms!$B:$B, INPUT_Rooms!$AI:$AI, ""), ""))</f>
        <v/>
      </c>
      <c r="V110">
        <f>IF($A110="","", IF($U110="", 1, IFERROR(XLOOKUP($U110, Constants!$A$160:$A$190, Constants!$C$160:$C$190, 1), 1)))</f>
        <v/>
      </c>
      <c r="W110">
        <f>IF($A110="","", ($D110*IF($U110="",0,IFERROR(XLOOKUP($U110, Constants!$A$160:$A$190, Constants!$D$160:$D$190, 0),0))) )</f>
        <v/>
      </c>
    </row>
    <row r="111">
      <c r="M111">
        <f>IF($A111="","", IFERROR(XLOOKUP($A111, INPUT_Rooms!$B:$B, INPUT_Rooms!$S:$S, 0),0) + $W111)</f>
        <v/>
      </c>
      <c r="N111">
        <f>IF($A111="","",IF($D111="", "", CEILING( ($D111*$H111) / IFERROR(XLOOKUP(XLOOKUP('Job Control'!$B$3, INPUT_JobSettings!$A:$A, INPUT_JobSettings!$C:$C, ""), Constants!$A:$A, Constants!$E:$E, ""),""), 0.25))))</f>
        <v/>
      </c>
      <c r="O111">
        <f>IF($A111="","",IF($G111="None",0,IF($D111="", "", CEILING( ($D111*IF($G111="Full",1, XLOOKUP("PrimerSpotFactor",Constants!$F$20:$F$40,Constants!$G$20:$G$40))) / IFERROR(XLOOKUP(XLOOKUP('Job Control'!$B$3, INPUT_JobSettings!$A:$A, INPUT_JobSettings!$E:$E, ""), Constants!$A:$A, Constants!$E:$E, ""),""), 0.25)))))</f>
        <v/>
      </c>
      <c r="P111">
        <f>IF($A111="","",IF($D111="", "", $N111*IFERROR(XLOOKUP(XLOOKUP('Job Control'!$B$3, INPUT_JobSettings!$A:$A, INPUT_JobSettings!$C:$C, ""), Constants!$A:$A, Constants!$D:$D, 0),0) + $O111*IFERROR(XLOOKUP(XLOOKUP('Job Control'!$B$3, INPUT_JobSettings!$A:$A, INPUT_JobSettings!$E:$E, ""), Constants!$A:$A, Constants!$D:$D, 0),0))))</f>
        <v/>
      </c>
      <c r="Q111">
        <f>IF($A111="","", ($J111+$K111+$L111)*$V111 )</f>
        <v/>
      </c>
      <c r="R111">
        <f>IF($A111="","", $Q111/60)</f>
        <v/>
      </c>
      <c r="S111">
        <f>IF($A111="","", $R111*IFERROR(IF(XLOOKUP('Job Control'!$B$3, INPUT_JobSettings!$A:$A, INPUT_JobSettings!$F:$F, "")&lt;&gt;"", XLOOKUP('Job Control'!$B$3, INPUT_JobSettings!$A:$A, INPUT_JobSettings!$F:$F, ""), $B$6), $B$6) + $M111)</f>
        <v/>
      </c>
      <c r="T111">
        <f>IF($A111="","", ($S111+$P111)*IFERROR(IF(XLOOKUP('Job Control'!$B$3, INPUT_JobSettings!$A:$A, INPUT_JobSettings!$G:$G, "")&lt;&gt;"", XLOOKUP('Job Control'!$B$3, INPUT_JobSettings!$A:$A, INPUT_JobSettings!$G:$G, ""), $B$7), $B$7))</f>
        <v/>
      </c>
      <c r="U111">
        <f>IF($A111="","", IFERROR(XLOOKUP($A111, INPUT_Rooms!$B:$B, INPUT_Rooms!$AI:$AI, ""), ""))</f>
        <v/>
      </c>
      <c r="V111">
        <f>IF($A111="","", IF($U111="", 1, IFERROR(XLOOKUP($U111, Constants!$A$160:$A$190, Constants!$C$160:$C$190, 1), 1)))</f>
        <v/>
      </c>
      <c r="W111">
        <f>IF($A111="","", ($D111*IF($U111="",0,IFERROR(XLOOKUP($U111, Constants!$A$160:$A$190, Constants!$D$160:$D$190, 0),0))) )</f>
        <v/>
      </c>
    </row>
    <row r="112">
      <c r="M112">
        <f>IF($A112="","", IFERROR(XLOOKUP($A112, INPUT_Rooms!$B:$B, INPUT_Rooms!$S:$S, 0),0) + $W112)</f>
        <v/>
      </c>
      <c r="N112">
        <f>IF($A112="","",IF($D112="", "", CEILING( ($D112*$H112) / IFERROR(XLOOKUP(XLOOKUP('Job Control'!$B$3, INPUT_JobSettings!$A:$A, INPUT_JobSettings!$C:$C, ""), Constants!$A:$A, Constants!$E:$E, ""),""), 0.25))))</f>
        <v/>
      </c>
      <c r="O112">
        <f>IF($A112="","",IF($G112="None",0,IF($D112="", "", CEILING( ($D112*IF($G112="Full",1, XLOOKUP("PrimerSpotFactor",Constants!$F$20:$F$40,Constants!$G$20:$G$40))) / IFERROR(XLOOKUP(XLOOKUP('Job Control'!$B$3, INPUT_JobSettings!$A:$A, INPUT_JobSettings!$E:$E, ""), Constants!$A:$A, Constants!$E:$E, ""),""), 0.25)))))</f>
        <v/>
      </c>
      <c r="P112">
        <f>IF($A112="","",IF($D112="", "", $N112*IFERROR(XLOOKUP(XLOOKUP('Job Control'!$B$3, INPUT_JobSettings!$A:$A, INPUT_JobSettings!$C:$C, ""), Constants!$A:$A, Constants!$D:$D, 0),0) + $O112*IFERROR(XLOOKUP(XLOOKUP('Job Control'!$B$3, INPUT_JobSettings!$A:$A, INPUT_JobSettings!$E:$E, ""), Constants!$A:$A, Constants!$D:$D, 0),0))))</f>
        <v/>
      </c>
      <c r="Q112">
        <f>IF($A112="","", ($J112+$K112+$L112)*$V112 )</f>
        <v/>
      </c>
      <c r="R112">
        <f>IF($A112="","", $Q112/60)</f>
        <v/>
      </c>
      <c r="S112">
        <f>IF($A112="","", $R112*IFERROR(IF(XLOOKUP('Job Control'!$B$3, INPUT_JobSettings!$A:$A, INPUT_JobSettings!$F:$F, "")&lt;&gt;"", XLOOKUP('Job Control'!$B$3, INPUT_JobSettings!$A:$A, INPUT_JobSettings!$F:$F, ""), $B$6), $B$6) + $M112)</f>
        <v/>
      </c>
      <c r="T112">
        <f>IF($A112="","", ($S112+$P112)*IFERROR(IF(XLOOKUP('Job Control'!$B$3, INPUT_JobSettings!$A:$A, INPUT_JobSettings!$G:$G, "")&lt;&gt;"", XLOOKUP('Job Control'!$B$3, INPUT_JobSettings!$A:$A, INPUT_JobSettings!$G:$G, ""), $B$7), $B$7))</f>
        <v/>
      </c>
      <c r="U112">
        <f>IF($A112="","", IFERROR(XLOOKUP($A112, INPUT_Rooms!$B:$B, INPUT_Rooms!$AI:$AI, ""), ""))</f>
        <v/>
      </c>
      <c r="V112">
        <f>IF($A112="","", IF($U112="", 1, IFERROR(XLOOKUP($U112, Constants!$A$160:$A$190, Constants!$C$160:$C$190, 1), 1)))</f>
        <v/>
      </c>
      <c r="W112">
        <f>IF($A112="","", ($D112*IF($U112="",0,IFERROR(XLOOKUP($U112, Constants!$A$160:$A$190, Constants!$D$160:$D$190, 0),0))) )</f>
        <v/>
      </c>
    </row>
    <row r="113">
      <c r="M113">
        <f>IF($A113="","", IFERROR(XLOOKUP($A113, INPUT_Rooms!$B:$B, INPUT_Rooms!$S:$S, 0),0) + $W113)</f>
        <v/>
      </c>
      <c r="N113">
        <f>IF($A113="","",IF($D113="", "", CEILING( ($D113*$H113) / IFERROR(XLOOKUP(XLOOKUP('Job Control'!$B$3, INPUT_JobSettings!$A:$A, INPUT_JobSettings!$C:$C, ""), Constants!$A:$A, Constants!$E:$E, ""),""), 0.25))))</f>
        <v/>
      </c>
      <c r="O113">
        <f>IF($A113="","",IF($G113="None",0,IF($D113="", "", CEILING( ($D113*IF($G113="Full",1, XLOOKUP("PrimerSpotFactor",Constants!$F$20:$F$40,Constants!$G$20:$G$40))) / IFERROR(XLOOKUP(XLOOKUP('Job Control'!$B$3, INPUT_JobSettings!$A:$A, INPUT_JobSettings!$E:$E, ""), Constants!$A:$A, Constants!$E:$E, ""),""), 0.25)))))</f>
        <v/>
      </c>
      <c r="P113">
        <f>IF($A113="","",IF($D113="", "", $N113*IFERROR(XLOOKUP(XLOOKUP('Job Control'!$B$3, INPUT_JobSettings!$A:$A, INPUT_JobSettings!$C:$C, ""), Constants!$A:$A, Constants!$D:$D, 0),0) + $O113*IFERROR(XLOOKUP(XLOOKUP('Job Control'!$B$3, INPUT_JobSettings!$A:$A, INPUT_JobSettings!$E:$E, ""), Constants!$A:$A, Constants!$D:$D, 0),0))))</f>
        <v/>
      </c>
      <c r="Q113">
        <f>IF($A113="","", ($J113+$K113+$L113)*$V113 )</f>
        <v/>
      </c>
      <c r="R113">
        <f>IF($A113="","", $Q113/60)</f>
        <v/>
      </c>
      <c r="S113">
        <f>IF($A113="","", $R113*IFERROR(IF(XLOOKUP('Job Control'!$B$3, INPUT_JobSettings!$A:$A, INPUT_JobSettings!$F:$F, "")&lt;&gt;"", XLOOKUP('Job Control'!$B$3, INPUT_JobSettings!$A:$A, INPUT_JobSettings!$F:$F, ""), $B$6), $B$6) + $M113)</f>
        <v/>
      </c>
      <c r="T113">
        <f>IF($A113="","", ($S113+$P113)*IFERROR(IF(XLOOKUP('Job Control'!$B$3, INPUT_JobSettings!$A:$A, INPUT_JobSettings!$G:$G, "")&lt;&gt;"", XLOOKUP('Job Control'!$B$3, INPUT_JobSettings!$A:$A, INPUT_JobSettings!$G:$G, ""), $B$7), $B$7))</f>
        <v/>
      </c>
      <c r="U113">
        <f>IF($A113="","", IFERROR(XLOOKUP($A113, INPUT_Rooms!$B:$B, INPUT_Rooms!$AI:$AI, ""), ""))</f>
        <v/>
      </c>
      <c r="V113">
        <f>IF($A113="","", IF($U113="", 1, IFERROR(XLOOKUP($U113, Constants!$A$160:$A$190, Constants!$C$160:$C$190, 1), 1)))</f>
        <v/>
      </c>
      <c r="W113">
        <f>IF($A113="","", ($D113*IF($U113="",0,IFERROR(XLOOKUP($U113, Constants!$A$160:$A$190, Constants!$D$160:$D$190, 0),0))) )</f>
        <v/>
      </c>
    </row>
    <row r="114">
      <c r="M114">
        <f>IF($A114="","", IFERROR(XLOOKUP($A114, INPUT_Rooms!$B:$B, INPUT_Rooms!$S:$S, 0),0) + $W114)</f>
        <v/>
      </c>
      <c r="N114">
        <f>IF($A114="","",IF($D114="", "", CEILING( ($D114*$H114) / IFERROR(XLOOKUP(XLOOKUP('Job Control'!$B$3, INPUT_JobSettings!$A:$A, INPUT_JobSettings!$C:$C, ""), Constants!$A:$A, Constants!$E:$E, ""),""), 0.25))))</f>
        <v/>
      </c>
      <c r="O114">
        <f>IF($A114="","",IF($G114="None",0,IF($D114="", "", CEILING( ($D114*IF($G114="Full",1, XLOOKUP("PrimerSpotFactor",Constants!$F$20:$F$40,Constants!$G$20:$G$40))) / IFERROR(XLOOKUP(XLOOKUP('Job Control'!$B$3, INPUT_JobSettings!$A:$A, INPUT_JobSettings!$E:$E, ""), Constants!$A:$A, Constants!$E:$E, ""),""), 0.25)))))</f>
        <v/>
      </c>
      <c r="P114">
        <f>IF($A114="","",IF($D114="", "", $N114*IFERROR(XLOOKUP(XLOOKUP('Job Control'!$B$3, INPUT_JobSettings!$A:$A, INPUT_JobSettings!$C:$C, ""), Constants!$A:$A, Constants!$D:$D, 0),0) + $O114*IFERROR(XLOOKUP(XLOOKUP('Job Control'!$B$3, INPUT_JobSettings!$A:$A, INPUT_JobSettings!$E:$E, ""), Constants!$A:$A, Constants!$D:$D, 0),0))))</f>
        <v/>
      </c>
      <c r="Q114">
        <f>IF($A114="","", ($J114+$K114+$L114)*$V114 )</f>
        <v/>
      </c>
      <c r="R114">
        <f>IF($A114="","", $Q114/60)</f>
        <v/>
      </c>
      <c r="S114">
        <f>IF($A114="","", $R114*IFERROR(IF(XLOOKUP('Job Control'!$B$3, INPUT_JobSettings!$A:$A, INPUT_JobSettings!$F:$F, "")&lt;&gt;"", XLOOKUP('Job Control'!$B$3, INPUT_JobSettings!$A:$A, INPUT_JobSettings!$F:$F, ""), $B$6), $B$6) + $M114)</f>
        <v/>
      </c>
      <c r="T114">
        <f>IF($A114="","", ($S114+$P114)*IFERROR(IF(XLOOKUP('Job Control'!$B$3, INPUT_JobSettings!$A:$A, INPUT_JobSettings!$G:$G, "")&lt;&gt;"", XLOOKUP('Job Control'!$B$3, INPUT_JobSettings!$A:$A, INPUT_JobSettings!$G:$G, ""), $B$7), $B$7))</f>
        <v/>
      </c>
      <c r="U114">
        <f>IF($A114="","", IFERROR(XLOOKUP($A114, INPUT_Rooms!$B:$B, INPUT_Rooms!$AI:$AI, ""), ""))</f>
        <v/>
      </c>
      <c r="V114">
        <f>IF($A114="","", IF($U114="", 1, IFERROR(XLOOKUP($U114, Constants!$A$160:$A$190, Constants!$C$160:$C$190, 1), 1)))</f>
        <v/>
      </c>
      <c r="W114">
        <f>IF($A114="","", ($D114*IF($U114="",0,IFERROR(XLOOKUP($U114, Constants!$A$160:$A$190, Constants!$D$160:$D$190, 0),0))) )</f>
        <v/>
      </c>
    </row>
    <row r="115">
      <c r="M115">
        <f>IF($A115="","", IFERROR(XLOOKUP($A115, INPUT_Rooms!$B:$B, INPUT_Rooms!$S:$S, 0),0) + $W115)</f>
        <v/>
      </c>
      <c r="N115">
        <f>IF($A115="","",IF($D115="", "", CEILING( ($D115*$H115) / IFERROR(XLOOKUP(XLOOKUP('Job Control'!$B$3, INPUT_JobSettings!$A:$A, INPUT_JobSettings!$C:$C, ""), Constants!$A:$A, Constants!$E:$E, ""),""), 0.25))))</f>
        <v/>
      </c>
      <c r="O115">
        <f>IF($A115="","",IF($G115="None",0,IF($D115="", "", CEILING( ($D115*IF($G115="Full",1, XLOOKUP("PrimerSpotFactor",Constants!$F$20:$F$40,Constants!$G$20:$G$40))) / IFERROR(XLOOKUP(XLOOKUP('Job Control'!$B$3, INPUT_JobSettings!$A:$A, INPUT_JobSettings!$E:$E, ""), Constants!$A:$A, Constants!$E:$E, ""),""), 0.25)))))</f>
        <v/>
      </c>
      <c r="P115">
        <f>IF($A115="","",IF($D115="", "", $N115*IFERROR(XLOOKUP(XLOOKUP('Job Control'!$B$3, INPUT_JobSettings!$A:$A, INPUT_JobSettings!$C:$C, ""), Constants!$A:$A, Constants!$D:$D, 0),0) + $O115*IFERROR(XLOOKUP(XLOOKUP('Job Control'!$B$3, INPUT_JobSettings!$A:$A, INPUT_JobSettings!$E:$E, ""), Constants!$A:$A, Constants!$D:$D, 0),0))))</f>
        <v/>
      </c>
      <c r="Q115">
        <f>IF($A115="","", ($J115+$K115+$L115)*$V115 )</f>
        <v/>
      </c>
      <c r="R115">
        <f>IF($A115="","", $Q115/60)</f>
        <v/>
      </c>
      <c r="S115">
        <f>IF($A115="","", $R115*IFERROR(IF(XLOOKUP('Job Control'!$B$3, INPUT_JobSettings!$A:$A, INPUT_JobSettings!$F:$F, "")&lt;&gt;"", XLOOKUP('Job Control'!$B$3, INPUT_JobSettings!$A:$A, INPUT_JobSettings!$F:$F, ""), $B$6), $B$6) + $M115)</f>
        <v/>
      </c>
      <c r="T115">
        <f>IF($A115="","", ($S115+$P115)*IFERROR(IF(XLOOKUP('Job Control'!$B$3, INPUT_JobSettings!$A:$A, INPUT_JobSettings!$G:$G, "")&lt;&gt;"", XLOOKUP('Job Control'!$B$3, INPUT_JobSettings!$A:$A, INPUT_JobSettings!$G:$G, ""), $B$7), $B$7))</f>
        <v/>
      </c>
      <c r="U115">
        <f>IF($A115="","", IFERROR(XLOOKUP($A115, INPUT_Rooms!$B:$B, INPUT_Rooms!$AI:$AI, ""), ""))</f>
        <v/>
      </c>
      <c r="V115">
        <f>IF($A115="","", IF($U115="", 1, IFERROR(XLOOKUP($U115, Constants!$A$160:$A$190, Constants!$C$160:$C$190, 1), 1)))</f>
        <v/>
      </c>
      <c r="W115">
        <f>IF($A115="","", ($D115*IF($U115="",0,IFERROR(XLOOKUP($U115, Constants!$A$160:$A$190, Constants!$D$160:$D$190, 0),0))) )</f>
        <v/>
      </c>
    </row>
    <row r="116">
      <c r="M116">
        <f>IF($A116="","", IFERROR(XLOOKUP($A116, INPUT_Rooms!$B:$B, INPUT_Rooms!$S:$S, 0),0) + $W116)</f>
        <v/>
      </c>
      <c r="N116">
        <f>IF($A116="","",IF($D116="", "", CEILING( ($D116*$H116) / IFERROR(XLOOKUP(XLOOKUP('Job Control'!$B$3, INPUT_JobSettings!$A:$A, INPUT_JobSettings!$C:$C, ""), Constants!$A:$A, Constants!$E:$E, ""),""), 0.25))))</f>
        <v/>
      </c>
      <c r="O116">
        <f>IF($A116="","",IF($G116="None",0,IF($D116="", "", CEILING( ($D116*IF($G116="Full",1, XLOOKUP("PrimerSpotFactor",Constants!$F$20:$F$40,Constants!$G$20:$G$40))) / IFERROR(XLOOKUP(XLOOKUP('Job Control'!$B$3, INPUT_JobSettings!$A:$A, INPUT_JobSettings!$E:$E, ""), Constants!$A:$A, Constants!$E:$E, ""),""), 0.25)))))</f>
        <v/>
      </c>
      <c r="P116">
        <f>IF($A116="","",IF($D116="", "", $N116*IFERROR(XLOOKUP(XLOOKUP('Job Control'!$B$3, INPUT_JobSettings!$A:$A, INPUT_JobSettings!$C:$C, ""), Constants!$A:$A, Constants!$D:$D, 0),0) + $O116*IFERROR(XLOOKUP(XLOOKUP('Job Control'!$B$3, INPUT_JobSettings!$A:$A, INPUT_JobSettings!$E:$E, ""), Constants!$A:$A, Constants!$D:$D, 0),0))))</f>
        <v/>
      </c>
      <c r="Q116">
        <f>IF($A116="","", ($J116+$K116+$L116)*$V116 )</f>
        <v/>
      </c>
      <c r="R116">
        <f>IF($A116="","", $Q116/60)</f>
        <v/>
      </c>
      <c r="S116">
        <f>IF($A116="","", $R116*IFERROR(IF(XLOOKUP('Job Control'!$B$3, INPUT_JobSettings!$A:$A, INPUT_JobSettings!$F:$F, "")&lt;&gt;"", XLOOKUP('Job Control'!$B$3, INPUT_JobSettings!$A:$A, INPUT_JobSettings!$F:$F, ""), $B$6), $B$6) + $M116)</f>
        <v/>
      </c>
      <c r="T116">
        <f>IF($A116="","", ($S116+$P116)*IFERROR(IF(XLOOKUP('Job Control'!$B$3, INPUT_JobSettings!$A:$A, INPUT_JobSettings!$G:$G, "")&lt;&gt;"", XLOOKUP('Job Control'!$B$3, INPUT_JobSettings!$A:$A, INPUT_JobSettings!$G:$G, ""), $B$7), $B$7))</f>
        <v/>
      </c>
      <c r="U116">
        <f>IF($A116="","", IFERROR(XLOOKUP($A116, INPUT_Rooms!$B:$B, INPUT_Rooms!$AI:$AI, ""), ""))</f>
        <v/>
      </c>
      <c r="V116">
        <f>IF($A116="","", IF($U116="", 1, IFERROR(XLOOKUP($U116, Constants!$A$160:$A$190, Constants!$C$160:$C$190, 1), 1)))</f>
        <v/>
      </c>
      <c r="W116">
        <f>IF($A116="","", ($D116*IF($U116="",0,IFERROR(XLOOKUP($U116, Constants!$A$160:$A$190, Constants!$D$160:$D$190, 0),0))) )</f>
        <v/>
      </c>
    </row>
    <row r="117">
      <c r="M117">
        <f>IF($A117="","", IFERROR(XLOOKUP($A117, INPUT_Rooms!$B:$B, INPUT_Rooms!$S:$S, 0),0) + $W117)</f>
        <v/>
      </c>
      <c r="N117">
        <f>IF($A117="","",IF($D117="", "", CEILING( ($D117*$H117) / IFERROR(XLOOKUP(XLOOKUP('Job Control'!$B$3, INPUT_JobSettings!$A:$A, INPUT_JobSettings!$C:$C, ""), Constants!$A:$A, Constants!$E:$E, ""),""), 0.25))))</f>
        <v/>
      </c>
      <c r="O117">
        <f>IF($A117="","",IF($G117="None",0,IF($D117="", "", CEILING( ($D117*IF($G117="Full",1, XLOOKUP("PrimerSpotFactor",Constants!$F$20:$F$40,Constants!$G$20:$G$40))) / IFERROR(XLOOKUP(XLOOKUP('Job Control'!$B$3, INPUT_JobSettings!$A:$A, INPUT_JobSettings!$E:$E, ""), Constants!$A:$A, Constants!$E:$E, ""),""), 0.25)))))</f>
        <v/>
      </c>
      <c r="P117">
        <f>IF($A117="","",IF($D117="", "", $N117*IFERROR(XLOOKUP(XLOOKUP('Job Control'!$B$3, INPUT_JobSettings!$A:$A, INPUT_JobSettings!$C:$C, ""), Constants!$A:$A, Constants!$D:$D, 0),0) + $O117*IFERROR(XLOOKUP(XLOOKUP('Job Control'!$B$3, INPUT_JobSettings!$A:$A, INPUT_JobSettings!$E:$E, ""), Constants!$A:$A, Constants!$D:$D, 0),0))))</f>
        <v/>
      </c>
      <c r="Q117">
        <f>IF($A117="","", ($J117+$K117+$L117)*$V117 )</f>
        <v/>
      </c>
      <c r="R117">
        <f>IF($A117="","", $Q117/60)</f>
        <v/>
      </c>
      <c r="S117">
        <f>IF($A117="","", $R117*IFERROR(IF(XLOOKUP('Job Control'!$B$3, INPUT_JobSettings!$A:$A, INPUT_JobSettings!$F:$F, "")&lt;&gt;"", XLOOKUP('Job Control'!$B$3, INPUT_JobSettings!$A:$A, INPUT_JobSettings!$F:$F, ""), $B$6), $B$6) + $M117)</f>
        <v/>
      </c>
      <c r="T117">
        <f>IF($A117="","", ($S117+$P117)*IFERROR(IF(XLOOKUP('Job Control'!$B$3, INPUT_JobSettings!$A:$A, INPUT_JobSettings!$G:$G, "")&lt;&gt;"", XLOOKUP('Job Control'!$B$3, INPUT_JobSettings!$A:$A, INPUT_JobSettings!$G:$G, ""), $B$7), $B$7))</f>
        <v/>
      </c>
      <c r="U117">
        <f>IF($A117="","", IFERROR(XLOOKUP($A117, INPUT_Rooms!$B:$B, INPUT_Rooms!$AI:$AI, ""), ""))</f>
        <v/>
      </c>
      <c r="V117">
        <f>IF($A117="","", IF($U117="", 1, IFERROR(XLOOKUP($U117, Constants!$A$160:$A$190, Constants!$C$160:$C$190, 1), 1)))</f>
        <v/>
      </c>
      <c r="W117">
        <f>IF($A117="","", ($D117*IF($U117="",0,IFERROR(XLOOKUP($U117, Constants!$A$160:$A$190, Constants!$D$160:$D$190, 0),0))) )</f>
        <v/>
      </c>
    </row>
    <row r="118">
      <c r="M118">
        <f>IF($A118="","", IFERROR(XLOOKUP($A118, INPUT_Rooms!$B:$B, INPUT_Rooms!$S:$S, 0),0) + $W118)</f>
        <v/>
      </c>
      <c r="N118">
        <f>IF($A118="","",IF($D118="", "", CEILING( ($D118*$H118) / IFERROR(XLOOKUP(XLOOKUP('Job Control'!$B$3, INPUT_JobSettings!$A:$A, INPUT_JobSettings!$C:$C, ""), Constants!$A:$A, Constants!$E:$E, ""),""), 0.25))))</f>
        <v/>
      </c>
      <c r="O118">
        <f>IF($A118="","",IF($G118="None",0,IF($D118="", "", CEILING( ($D118*IF($G118="Full",1, XLOOKUP("PrimerSpotFactor",Constants!$F$20:$F$40,Constants!$G$20:$G$40))) / IFERROR(XLOOKUP(XLOOKUP('Job Control'!$B$3, INPUT_JobSettings!$A:$A, INPUT_JobSettings!$E:$E, ""), Constants!$A:$A, Constants!$E:$E, ""),""), 0.25)))))</f>
        <v/>
      </c>
      <c r="P118">
        <f>IF($A118="","",IF($D118="", "", $N118*IFERROR(XLOOKUP(XLOOKUP('Job Control'!$B$3, INPUT_JobSettings!$A:$A, INPUT_JobSettings!$C:$C, ""), Constants!$A:$A, Constants!$D:$D, 0),0) + $O118*IFERROR(XLOOKUP(XLOOKUP('Job Control'!$B$3, INPUT_JobSettings!$A:$A, INPUT_JobSettings!$E:$E, ""), Constants!$A:$A, Constants!$D:$D, 0),0))))</f>
        <v/>
      </c>
      <c r="Q118">
        <f>IF($A118="","", ($J118+$K118+$L118)*$V118 )</f>
        <v/>
      </c>
      <c r="R118">
        <f>IF($A118="","", $Q118/60)</f>
        <v/>
      </c>
      <c r="S118">
        <f>IF($A118="","", $R118*IFERROR(IF(XLOOKUP('Job Control'!$B$3, INPUT_JobSettings!$A:$A, INPUT_JobSettings!$F:$F, "")&lt;&gt;"", XLOOKUP('Job Control'!$B$3, INPUT_JobSettings!$A:$A, INPUT_JobSettings!$F:$F, ""), $B$6), $B$6) + $M118)</f>
        <v/>
      </c>
      <c r="T118">
        <f>IF($A118="","", ($S118+$P118)*IFERROR(IF(XLOOKUP('Job Control'!$B$3, INPUT_JobSettings!$A:$A, INPUT_JobSettings!$G:$G, "")&lt;&gt;"", XLOOKUP('Job Control'!$B$3, INPUT_JobSettings!$A:$A, INPUT_JobSettings!$G:$G, ""), $B$7), $B$7))</f>
        <v/>
      </c>
      <c r="U118">
        <f>IF($A118="","", IFERROR(XLOOKUP($A118, INPUT_Rooms!$B:$B, INPUT_Rooms!$AI:$AI, ""), ""))</f>
        <v/>
      </c>
      <c r="V118">
        <f>IF($A118="","", IF($U118="", 1, IFERROR(XLOOKUP($U118, Constants!$A$160:$A$190, Constants!$C$160:$C$190, 1), 1)))</f>
        <v/>
      </c>
      <c r="W118">
        <f>IF($A118="","", ($D118*IF($U118="",0,IFERROR(XLOOKUP($U118, Constants!$A$160:$A$190, Constants!$D$160:$D$190, 0),0))) )</f>
        <v/>
      </c>
    </row>
    <row r="119">
      <c r="M119">
        <f>IF($A119="","", IFERROR(XLOOKUP($A119, INPUT_Rooms!$B:$B, INPUT_Rooms!$S:$S, 0),0) + $W119)</f>
        <v/>
      </c>
      <c r="N119">
        <f>IF($A119="","",IF($D119="", "", CEILING( ($D119*$H119) / IFERROR(XLOOKUP(XLOOKUP('Job Control'!$B$3, INPUT_JobSettings!$A:$A, INPUT_JobSettings!$C:$C, ""), Constants!$A:$A, Constants!$E:$E, ""),""), 0.25))))</f>
        <v/>
      </c>
      <c r="O119">
        <f>IF($A119="","",IF($G119="None",0,IF($D119="", "", CEILING( ($D119*IF($G119="Full",1, XLOOKUP("PrimerSpotFactor",Constants!$F$20:$F$40,Constants!$G$20:$G$40))) / IFERROR(XLOOKUP(XLOOKUP('Job Control'!$B$3, INPUT_JobSettings!$A:$A, INPUT_JobSettings!$E:$E, ""), Constants!$A:$A, Constants!$E:$E, ""),""), 0.25)))))</f>
        <v/>
      </c>
      <c r="P119">
        <f>IF($A119="","",IF($D119="", "", $N119*IFERROR(XLOOKUP(XLOOKUP('Job Control'!$B$3, INPUT_JobSettings!$A:$A, INPUT_JobSettings!$C:$C, ""), Constants!$A:$A, Constants!$D:$D, 0),0) + $O119*IFERROR(XLOOKUP(XLOOKUP('Job Control'!$B$3, INPUT_JobSettings!$A:$A, INPUT_JobSettings!$E:$E, ""), Constants!$A:$A, Constants!$D:$D, 0),0))))</f>
        <v/>
      </c>
      <c r="Q119">
        <f>IF($A119="","", ($J119+$K119+$L119)*$V119 )</f>
        <v/>
      </c>
      <c r="R119">
        <f>IF($A119="","", $Q119/60)</f>
        <v/>
      </c>
      <c r="S119">
        <f>IF($A119="","", $R119*IFERROR(IF(XLOOKUP('Job Control'!$B$3, INPUT_JobSettings!$A:$A, INPUT_JobSettings!$F:$F, "")&lt;&gt;"", XLOOKUP('Job Control'!$B$3, INPUT_JobSettings!$A:$A, INPUT_JobSettings!$F:$F, ""), $B$6), $B$6) + $M119)</f>
        <v/>
      </c>
      <c r="T119">
        <f>IF($A119="","", ($S119+$P119)*IFERROR(IF(XLOOKUP('Job Control'!$B$3, INPUT_JobSettings!$A:$A, INPUT_JobSettings!$G:$G, "")&lt;&gt;"", XLOOKUP('Job Control'!$B$3, INPUT_JobSettings!$A:$A, INPUT_JobSettings!$G:$G, ""), $B$7), $B$7))</f>
        <v/>
      </c>
      <c r="U119">
        <f>IF($A119="","", IFERROR(XLOOKUP($A119, INPUT_Rooms!$B:$B, INPUT_Rooms!$AI:$AI, ""), ""))</f>
        <v/>
      </c>
      <c r="V119">
        <f>IF($A119="","", IF($U119="", 1, IFERROR(XLOOKUP($U119, Constants!$A$160:$A$190, Constants!$C$160:$C$190, 1), 1)))</f>
        <v/>
      </c>
      <c r="W119">
        <f>IF($A119="","", ($D119*IF($U119="",0,IFERROR(XLOOKUP($U119, Constants!$A$160:$A$190, Constants!$D$160:$D$190, 0),0))) )</f>
        <v/>
      </c>
    </row>
    <row r="120">
      <c r="M120">
        <f>IF($A120="","", IFERROR(XLOOKUP($A120, INPUT_Rooms!$B:$B, INPUT_Rooms!$S:$S, 0),0) + $W120)</f>
        <v/>
      </c>
      <c r="N120">
        <f>IF($A120="","",IF($D120="", "", CEILING( ($D120*$H120) / IFERROR(XLOOKUP(XLOOKUP('Job Control'!$B$3, INPUT_JobSettings!$A:$A, INPUT_JobSettings!$C:$C, ""), Constants!$A:$A, Constants!$E:$E, ""),""), 0.25))))</f>
        <v/>
      </c>
      <c r="O120">
        <f>IF($A120="","",IF($G120="None",0,IF($D120="", "", CEILING( ($D120*IF($G120="Full",1, XLOOKUP("PrimerSpotFactor",Constants!$F$20:$F$40,Constants!$G$20:$G$40))) / IFERROR(XLOOKUP(XLOOKUP('Job Control'!$B$3, INPUT_JobSettings!$A:$A, INPUT_JobSettings!$E:$E, ""), Constants!$A:$A, Constants!$E:$E, ""),""), 0.25)))))</f>
        <v/>
      </c>
      <c r="P120">
        <f>IF($A120="","",IF($D120="", "", $N120*IFERROR(XLOOKUP(XLOOKUP('Job Control'!$B$3, INPUT_JobSettings!$A:$A, INPUT_JobSettings!$C:$C, ""), Constants!$A:$A, Constants!$D:$D, 0),0) + $O120*IFERROR(XLOOKUP(XLOOKUP('Job Control'!$B$3, INPUT_JobSettings!$A:$A, INPUT_JobSettings!$E:$E, ""), Constants!$A:$A, Constants!$D:$D, 0),0))))</f>
        <v/>
      </c>
      <c r="Q120">
        <f>IF($A120="","", ($J120+$K120+$L120)*$V120 )</f>
        <v/>
      </c>
      <c r="R120">
        <f>IF($A120="","", $Q120/60)</f>
        <v/>
      </c>
      <c r="S120">
        <f>IF($A120="","", $R120*IFERROR(IF(XLOOKUP('Job Control'!$B$3, INPUT_JobSettings!$A:$A, INPUT_JobSettings!$F:$F, "")&lt;&gt;"", XLOOKUP('Job Control'!$B$3, INPUT_JobSettings!$A:$A, INPUT_JobSettings!$F:$F, ""), $B$6), $B$6) + $M120)</f>
        <v/>
      </c>
      <c r="T120">
        <f>IF($A120="","", ($S120+$P120)*IFERROR(IF(XLOOKUP('Job Control'!$B$3, INPUT_JobSettings!$A:$A, INPUT_JobSettings!$G:$G, "")&lt;&gt;"", XLOOKUP('Job Control'!$B$3, INPUT_JobSettings!$A:$A, INPUT_JobSettings!$G:$G, ""), $B$7), $B$7))</f>
        <v/>
      </c>
      <c r="U120">
        <f>IF($A120="","", IFERROR(XLOOKUP($A120, INPUT_Rooms!$B:$B, INPUT_Rooms!$AI:$AI, ""), ""))</f>
        <v/>
      </c>
      <c r="V120">
        <f>IF($A120="","", IF($U120="", 1, IFERROR(XLOOKUP($U120, Constants!$A$160:$A$190, Constants!$C$160:$C$190, 1), 1)))</f>
        <v/>
      </c>
      <c r="W120">
        <f>IF($A120="","", ($D120*IF($U120="",0,IFERROR(XLOOKUP($U120, Constants!$A$160:$A$190, Constants!$D$160:$D$190, 0),0))) )</f>
        <v/>
      </c>
    </row>
    <row r="121">
      <c r="M121">
        <f>IF($A121="","", IFERROR(XLOOKUP($A121, INPUT_Rooms!$B:$B, INPUT_Rooms!$S:$S, 0),0) + $W121)</f>
        <v/>
      </c>
      <c r="N121">
        <f>IF($A121="","",IF($D121="", "", CEILING( ($D121*$H121) / IFERROR(XLOOKUP(XLOOKUP('Job Control'!$B$3, INPUT_JobSettings!$A:$A, INPUT_JobSettings!$C:$C, ""), Constants!$A:$A, Constants!$E:$E, ""),""), 0.25))))</f>
        <v/>
      </c>
      <c r="O121">
        <f>IF($A121="","",IF($G121="None",0,IF($D121="", "", CEILING( ($D121*IF($G121="Full",1, XLOOKUP("PrimerSpotFactor",Constants!$F$20:$F$40,Constants!$G$20:$G$40))) / IFERROR(XLOOKUP(XLOOKUP('Job Control'!$B$3, INPUT_JobSettings!$A:$A, INPUT_JobSettings!$E:$E, ""), Constants!$A:$A, Constants!$E:$E, ""),""), 0.25)))))</f>
        <v/>
      </c>
      <c r="P121">
        <f>IF($A121="","",IF($D121="", "", $N121*IFERROR(XLOOKUP(XLOOKUP('Job Control'!$B$3, INPUT_JobSettings!$A:$A, INPUT_JobSettings!$C:$C, ""), Constants!$A:$A, Constants!$D:$D, 0),0) + $O121*IFERROR(XLOOKUP(XLOOKUP('Job Control'!$B$3, INPUT_JobSettings!$A:$A, INPUT_JobSettings!$E:$E, ""), Constants!$A:$A, Constants!$D:$D, 0),0))))</f>
        <v/>
      </c>
      <c r="Q121">
        <f>IF($A121="","", ($J121+$K121+$L121)*$V121 )</f>
        <v/>
      </c>
      <c r="R121">
        <f>IF($A121="","", $Q121/60)</f>
        <v/>
      </c>
      <c r="S121">
        <f>IF($A121="","", $R121*IFERROR(IF(XLOOKUP('Job Control'!$B$3, INPUT_JobSettings!$A:$A, INPUT_JobSettings!$F:$F, "")&lt;&gt;"", XLOOKUP('Job Control'!$B$3, INPUT_JobSettings!$A:$A, INPUT_JobSettings!$F:$F, ""), $B$6), $B$6) + $M121)</f>
        <v/>
      </c>
      <c r="T121">
        <f>IF($A121="","", ($S121+$P121)*IFERROR(IF(XLOOKUP('Job Control'!$B$3, INPUT_JobSettings!$A:$A, INPUT_JobSettings!$G:$G, "")&lt;&gt;"", XLOOKUP('Job Control'!$B$3, INPUT_JobSettings!$A:$A, INPUT_JobSettings!$G:$G, ""), $B$7), $B$7))</f>
        <v/>
      </c>
      <c r="U121">
        <f>IF($A121="","", IFERROR(XLOOKUP($A121, INPUT_Rooms!$B:$B, INPUT_Rooms!$AI:$AI, ""), ""))</f>
        <v/>
      </c>
      <c r="V121">
        <f>IF($A121="","", IF($U121="", 1, IFERROR(XLOOKUP($U121, Constants!$A$160:$A$190, Constants!$C$160:$C$190, 1), 1)))</f>
        <v/>
      </c>
      <c r="W121">
        <f>IF($A121="","", ($D121*IF($U121="",0,IFERROR(XLOOKUP($U121, Constants!$A$160:$A$190, Constants!$D$160:$D$190, 0),0))) )</f>
        <v/>
      </c>
    </row>
    <row r="122">
      <c r="M122">
        <f>IF($A122="","", IFERROR(XLOOKUP($A122, INPUT_Rooms!$B:$B, INPUT_Rooms!$S:$S, 0),0) + $W122)</f>
        <v/>
      </c>
      <c r="N122">
        <f>IF($A122="","",IF($D122="", "", CEILING( ($D122*$H122) / IFERROR(XLOOKUP(XLOOKUP('Job Control'!$B$3, INPUT_JobSettings!$A:$A, INPUT_JobSettings!$C:$C, ""), Constants!$A:$A, Constants!$E:$E, ""),""), 0.25))))</f>
        <v/>
      </c>
      <c r="O122">
        <f>IF($A122="","",IF($G122="None",0,IF($D122="", "", CEILING( ($D122*IF($G122="Full",1, XLOOKUP("PrimerSpotFactor",Constants!$F$20:$F$40,Constants!$G$20:$G$40))) / IFERROR(XLOOKUP(XLOOKUP('Job Control'!$B$3, INPUT_JobSettings!$A:$A, INPUT_JobSettings!$E:$E, ""), Constants!$A:$A, Constants!$E:$E, ""),""), 0.25)))))</f>
        <v/>
      </c>
      <c r="P122">
        <f>IF($A122="","",IF($D122="", "", $N122*IFERROR(XLOOKUP(XLOOKUP('Job Control'!$B$3, INPUT_JobSettings!$A:$A, INPUT_JobSettings!$C:$C, ""), Constants!$A:$A, Constants!$D:$D, 0),0) + $O122*IFERROR(XLOOKUP(XLOOKUP('Job Control'!$B$3, INPUT_JobSettings!$A:$A, INPUT_JobSettings!$E:$E, ""), Constants!$A:$A, Constants!$D:$D, 0),0))))</f>
        <v/>
      </c>
      <c r="Q122">
        <f>IF($A122="","", ($J122+$K122+$L122)*$V122 )</f>
        <v/>
      </c>
      <c r="R122">
        <f>IF($A122="","", $Q122/60)</f>
        <v/>
      </c>
      <c r="S122">
        <f>IF($A122="","", $R122*IFERROR(IF(XLOOKUP('Job Control'!$B$3, INPUT_JobSettings!$A:$A, INPUT_JobSettings!$F:$F, "")&lt;&gt;"", XLOOKUP('Job Control'!$B$3, INPUT_JobSettings!$A:$A, INPUT_JobSettings!$F:$F, ""), $B$6), $B$6) + $M122)</f>
        <v/>
      </c>
      <c r="T122">
        <f>IF($A122="","", ($S122+$P122)*IFERROR(IF(XLOOKUP('Job Control'!$B$3, INPUT_JobSettings!$A:$A, INPUT_JobSettings!$G:$G, "")&lt;&gt;"", XLOOKUP('Job Control'!$B$3, INPUT_JobSettings!$A:$A, INPUT_JobSettings!$G:$G, ""), $B$7), $B$7))</f>
        <v/>
      </c>
      <c r="U122">
        <f>IF($A122="","", IFERROR(XLOOKUP($A122, INPUT_Rooms!$B:$B, INPUT_Rooms!$AI:$AI, ""), ""))</f>
        <v/>
      </c>
      <c r="V122">
        <f>IF($A122="","", IF($U122="", 1, IFERROR(XLOOKUP($U122, Constants!$A$160:$A$190, Constants!$C$160:$C$190, 1), 1)))</f>
        <v/>
      </c>
      <c r="W122">
        <f>IF($A122="","", ($D122*IF($U122="",0,IFERROR(XLOOKUP($U122, Constants!$A$160:$A$190, Constants!$D$160:$D$190, 0),0))) )</f>
        <v/>
      </c>
    </row>
    <row r="123">
      <c r="M123">
        <f>IF($A123="","", IFERROR(XLOOKUP($A123, INPUT_Rooms!$B:$B, INPUT_Rooms!$S:$S, 0),0) + $W123)</f>
        <v/>
      </c>
      <c r="N123">
        <f>IF($A123="","",IF($D123="", "", CEILING( ($D123*$H123) / IFERROR(XLOOKUP(XLOOKUP('Job Control'!$B$3, INPUT_JobSettings!$A:$A, INPUT_JobSettings!$C:$C, ""), Constants!$A:$A, Constants!$E:$E, ""),""), 0.25))))</f>
        <v/>
      </c>
      <c r="O123">
        <f>IF($A123="","",IF($G123="None",0,IF($D123="", "", CEILING( ($D123*IF($G123="Full",1, XLOOKUP("PrimerSpotFactor",Constants!$F$20:$F$40,Constants!$G$20:$G$40))) / IFERROR(XLOOKUP(XLOOKUP('Job Control'!$B$3, INPUT_JobSettings!$A:$A, INPUT_JobSettings!$E:$E, ""), Constants!$A:$A, Constants!$E:$E, ""),""), 0.25)))))</f>
        <v/>
      </c>
      <c r="P123">
        <f>IF($A123="","",IF($D123="", "", $N123*IFERROR(XLOOKUP(XLOOKUP('Job Control'!$B$3, INPUT_JobSettings!$A:$A, INPUT_JobSettings!$C:$C, ""), Constants!$A:$A, Constants!$D:$D, 0),0) + $O123*IFERROR(XLOOKUP(XLOOKUP('Job Control'!$B$3, INPUT_JobSettings!$A:$A, INPUT_JobSettings!$E:$E, ""), Constants!$A:$A, Constants!$D:$D, 0),0))))</f>
        <v/>
      </c>
      <c r="Q123">
        <f>IF($A123="","", ($J123+$K123+$L123)*$V123 )</f>
        <v/>
      </c>
      <c r="R123">
        <f>IF($A123="","", $Q123/60)</f>
        <v/>
      </c>
      <c r="S123">
        <f>IF($A123="","", $R123*IFERROR(IF(XLOOKUP('Job Control'!$B$3, INPUT_JobSettings!$A:$A, INPUT_JobSettings!$F:$F, "")&lt;&gt;"", XLOOKUP('Job Control'!$B$3, INPUT_JobSettings!$A:$A, INPUT_JobSettings!$F:$F, ""), $B$6), $B$6) + $M123)</f>
        <v/>
      </c>
      <c r="T123">
        <f>IF($A123="","", ($S123+$P123)*IFERROR(IF(XLOOKUP('Job Control'!$B$3, INPUT_JobSettings!$A:$A, INPUT_JobSettings!$G:$G, "")&lt;&gt;"", XLOOKUP('Job Control'!$B$3, INPUT_JobSettings!$A:$A, INPUT_JobSettings!$G:$G, ""), $B$7), $B$7))</f>
        <v/>
      </c>
      <c r="U123">
        <f>IF($A123="","", IFERROR(XLOOKUP($A123, INPUT_Rooms!$B:$B, INPUT_Rooms!$AI:$AI, ""), ""))</f>
        <v/>
      </c>
      <c r="V123">
        <f>IF($A123="","", IF($U123="", 1, IFERROR(XLOOKUP($U123, Constants!$A$160:$A$190, Constants!$C$160:$C$190, 1), 1)))</f>
        <v/>
      </c>
      <c r="W123">
        <f>IF($A123="","", ($D123*IF($U123="",0,IFERROR(XLOOKUP($U123, Constants!$A$160:$A$190, Constants!$D$160:$D$190, 0),0))) )</f>
        <v/>
      </c>
    </row>
    <row r="124">
      <c r="M124">
        <f>IF($A124="","", IFERROR(XLOOKUP($A124, INPUT_Rooms!$B:$B, INPUT_Rooms!$S:$S, 0),0) + $W124)</f>
        <v/>
      </c>
      <c r="N124">
        <f>IF($A124="","",IF($D124="", "", CEILING( ($D124*$H124) / IFERROR(XLOOKUP(XLOOKUP('Job Control'!$B$3, INPUT_JobSettings!$A:$A, INPUT_JobSettings!$C:$C, ""), Constants!$A:$A, Constants!$E:$E, ""),""), 0.25))))</f>
        <v/>
      </c>
      <c r="O124">
        <f>IF($A124="","",IF($G124="None",0,IF($D124="", "", CEILING( ($D124*IF($G124="Full",1, XLOOKUP("PrimerSpotFactor",Constants!$F$20:$F$40,Constants!$G$20:$G$40))) / IFERROR(XLOOKUP(XLOOKUP('Job Control'!$B$3, INPUT_JobSettings!$A:$A, INPUT_JobSettings!$E:$E, ""), Constants!$A:$A, Constants!$E:$E, ""),""), 0.25)))))</f>
        <v/>
      </c>
      <c r="P124">
        <f>IF($A124="","",IF($D124="", "", $N124*IFERROR(XLOOKUP(XLOOKUP('Job Control'!$B$3, INPUT_JobSettings!$A:$A, INPUT_JobSettings!$C:$C, ""), Constants!$A:$A, Constants!$D:$D, 0),0) + $O124*IFERROR(XLOOKUP(XLOOKUP('Job Control'!$B$3, INPUT_JobSettings!$A:$A, INPUT_JobSettings!$E:$E, ""), Constants!$A:$A, Constants!$D:$D, 0),0))))</f>
        <v/>
      </c>
      <c r="Q124">
        <f>IF($A124="","", ($J124+$K124+$L124)*$V124 )</f>
        <v/>
      </c>
      <c r="R124">
        <f>IF($A124="","", $Q124/60)</f>
        <v/>
      </c>
      <c r="S124">
        <f>IF($A124="","", $R124*IFERROR(IF(XLOOKUP('Job Control'!$B$3, INPUT_JobSettings!$A:$A, INPUT_JobSettings!$F:$F, "")&lt;&gt;"", XLOOKUP('Job Control'!$B$3, INPUT_JobSettings!$A:$A, INPUT_JobSettings!$F:$F, ""), $B$6), $B$6) + $M124)</f>
        <v/>
      </c>
      <c r="T124">
        <f>IF($A124="","", ($S124+$P124)*IFERROR(IF(XLOOKUP('Job Control'!$B$3, INPUT_JobSettings!$A:$A, INPUT_JobSettings!$G:$G, "")&lt;&gt;"", XLOOKUP('Job Control'!$B$3, INPUT_JobSettings!$A:$A, INPUT_JobSettings!$G:$G, ""), $B$7), $B$7))</f>
        <v/>
      </c>
      <c r="U124">
        <f>IF($A124="","", IFERROR(XLOOKUP($A124, INPUT_Rooms!$B:$B, INPUT_Rooms!$AI:$AI, ""), ""))</f>
        <v/>
      </c>
      <c r="V124">
        <f>IF($A124="","", IF($U124="", 1, IFERROR(XLOOKUP($U124, Constants!$A$160:$A$190, Constants!$C$160:$C$190, 1), 1)))</f>
        <v/>
      </c>
      <c r="W124">
        <f>IF($A124="","", ($D124*IF($U124="",0,IFERROR(XLOOKUP($U124, Constants!$A$160:$A$190, Constants!$D$160:$D$190, 0),0))) )</f>
        <v/>
      </c>
    </row>
    <row r="125">
      <c r="M125">
        <f>IF($A125="","", IFERROR(XLOOKUP($A125, INPUT_Rooms!$B:$B, INPUT_Rooms!$S:$S, 0),0) + $W125)</f>
        <v/>
      </c>
      <c r="N125">
        <f>IF($A125="","",IF($D125="", "", CEILING( ($D125*$H125) / IFERROR(XLOOKUP(XLOOKUP('Job Control'!$B$3, INPUT_JobSettings!$A:$A, INPUT_JobSettings!$C:$C, ""), Constants!$A:$A, Constants!$E:$E, ""),""), 0.25))))</f>
        <v/>
      </c>
      <c r="O125">
        <f>IF($A125="","",IF($G125="None",0,IF($D125="", "", CEILING( ($D125*IF($G125="Full",1, XLOOKUP("PrimerSpotFactor",Constants!$F$20:$F$40,Constants!$G$20:$G$40))) / IFERROR(XLOOKUP(XLOOKUP('Job Control'!$B$3, INPUT_JobSettings!$A:$A, INPUT_JobSettings!$E:$E, ""), Constants!$A:$A, Constants!$E:$E, ""),""), 0.25)))))</f>
        <v/>
      </c>
      <c r="P125">
        <f>IF($A125="","",IF($D125="", "", $N125*IFERROR(XLOOKUP(XLOOKUP('Job Control'!$B$3, INPUT_JobSettings!$A:$A, INPUT_JobSettings!$C:$C, ""), Constants!$A:$A, Constants!$D:$D, 0),0) + $O125*IFERROR(XLOOKUP(XLOOKUP('Job Control'!$B$3, INPUT_JobSettings!$A:$A, INPUT_JobSettings!$E:$E, ""), Constants!$A:$A, Constants!$D:$D, 0),0))))</f>
        <v/>
      </c>
      <c r="Q125">
        <f>IF($A125="","", ($J125+$K125+$L125)*$V125 )</f>
        <v/>
      </c>
      <c r="R125">
        <f>IF($A125="","", $Q125/60)</f>
        <v/>
      </c>
      <c r="S125">
        <f>IF($A125="","", $R125*IFERROR(IF(XLOOKUP('Job Control'!$B$3, INPUT_JobSettings!$A:$A, INPUT_JobSettings!$F:$F, "")&lt;&gt;"", XLOOKUP('Job Control'!$B$3, INPUT_JobSettings!$A:$A, INPUT_JobSettings!$F:$F, ""), $B$6), $B$6) + $M125)</f>
        <v/>
      </c>
      <c r="T125">
        <f>IF($A125="","", ($S125+$P125)*IFERROR(IF(XLOOKUP('Job Control'!$B$3, INPUT_JobSettings!$A:$A, INPUT_JobSettings!$G:$G, "")&lt;&gt;"", XLOOKUP('Job Control'!$B$3, INPUT_JobSettings!$A:$A, INPUT_JobSettings!$G:$G, ""), $B$7), $B$7))</f>
        <v/>
      </c>
      <c r="U125">
        <f>IF($A125="","", IFERROR(XLOOKUP($A125, INPUT_Rooms!$B:$B, INPUT_Rooms!$AI:$AI, ""), ""))</f>
        <v/>
      </c>
      <c r="V125">
        <f>IF($A125="","", IF($U125="", 1, IFERROR(XLOOKUP($U125, Constants!$A$160:$A$190, Constants!$C$160:$C$190, 1), 1)))</f>
        <v/>
      </c>
      <c r="W125">
        <f>IF($A125="","", ($D125*IF($U125="",0,IFERROR(XLOOKUP($U125, Constants!$A$160:$A$190, Constants!$D$160:$D$190, 0),0))) )</f>
        <v/>
      </c>
    </row>
    <row r="126">
      <c r="M126">
        <f>IF($A126="","", IFERROR(XLOOKUP($A126, INPUT_Rooms!$B:$B, INPUT_Rooms!$S:$S, 0),0) + $W126)</f>
        <v/>
      </c>
      <c r="N126">
        <f>IF($A126="","",IF($D126="", "", CEILING( ($D126*$H126) / IFERROR(XLOOKUP(XLOOKUP('Job Control'!$B$3, INPUT_JobSettings!$A:$A, INPUT_JobSettings!$C:$C, ""), Constants!$A:$A, Constants!$E:$E, ""),""), 0.25))))</f>
        <v/>
      </c>
      <c r="O126">
        <f>IF($A126="","",IF($G126="None",0,IF($D126="", "", CEILING( ($D126*IF($G126="Full",1, XLOOKUP("PrimerSpotFactor",Constants!$F$20:$F$40,Constants!$G$20:$G$40))) / IFERROR(XLOOKUP(XLOOKUP('Job Control'!$B$3, INPUT_JobSettings!$A:$A, INPUT_JobSettings!$E:$E, ""), Constants!$A:$A, Constants!$E:$E, ""),""), 0.25)))))</f>
        <v/>
      </c>
      <c r="P126">
        <f>IF($A126="","",IF($D126="", "", $N126*IFERROR(XLOOKUP(XLOOKUP('Job Control'!$B$3, INPUT_JobSettings!$A:$A, INPUT_JobSettings!$C:$C, ""), Constants!$A:$A, Constants!$D:$D, 0),0) + $O126*IFERROR(XLOOKUP(XLOOKUP('Job Control'!$B$3, INPUT_JobSettings!$A:$A, INPUT_JobSettings!$E:$E, ""), Constants!$A:$A, Constants!$D:$D, 0),0))))</f>
        <v/>
      </c>
      <c r="Q126">
        <f>IF($A126="","", ($J126+$K126+$L126)*$V126 )</f>
        <v/>
      </c>
      <c r="R126">
        <f>IF($A126="","", $Q126/60)</f>
        <v/>
      </c>
      <c r="S126">
        <f>IF($A126="","", $R126*IFERROR(IF(XLOOKUP('Job Control'!$B$3, INPUT_JobSettings!$A:$A, INPUT_JobSettings!$F:$F, "")&lt;&gt;"", XLOOKUP('Job Control'!$B$3, INPUT_JobSettings!$A:$A, INPUT_JobSettings!$F:$F, ""), $B$6), $B$6) + $M126)</f>
        <v/>
      </c>
      <c r="T126">
        <f>IF($A126="","", ($S126+$P126)*IFERROR(IF(XLOOKUP('Job Control'!$B$3, INPUT_JobSettings!$A:$A, INPUT_JobSettings!$G:$G, "")&lt;&gt;"", XLOOKUP('Job Control'!$B$3, INPUT_JobSettings!$A:$A, INPUT_JobSettings!$G:$G, ""), $B$7), $B$7))</f>
        <v/>
      </c>
      <c r="U126">
        <f>IF($A126="","", IFERROR(XLOOKUP($A126, INPUT_Rooms!$B:$B, INPUT_Rooms!$AI:$AI, ""), ""))</f>
        <v/>
      </c>
      <c r="V126">
        <f>IF($A126="","", IF($U126="", 1, IFERROR(XLOOKUP($U126, Constants!$A$160:$A$190, Constants!$C$160:$C$190, 1), 1)))</f>
        <v/>
      </c>
      <c r="W126">
        <f>IF($A126="","", ($D126*IF($U126="",0,IFERROR(XLOOKUP($U126, Constants!$A$160:$A$190, Constants!$D$160:$D$190, 0),0))) )</f>
        <v/>
      </c>
    </row>
    <row r="127">
      <c r="M127">
        <f>IF($A127="","", IFERROR(XLOOKUP($A127, INPUT_Rooms!$B:$B, INPUT_Rooms!$S:$S, 0),0) + $W127)</f>
        <v/>
      </c>
      <c r="N127">
        <f>IF($A127="","",IF($D127="", "", CEILING( ($D127*$H127) / IFERROR(XLOOKUP(XLOOKUP('Job Control'!$B$3, INPUT_JobSettings!$A:$A, INPUT_JobSettings!$C:$C, ""), Constants!$A:$A, Constants!$E:$E, ""),""), 0.25))))</f>
        <v/>
      </c>
      <c r="O127">
        <f>IF($A127="","",IF($G127="None",0,IF($D127="", "", CEILING( ($D127*IF($G127="Full",1, XLOOKUP("PrimerSpotFactor",Constants!$F$20:$F$40,Constants!$G$20:$G$40))) / IFERROR(XLOOKUP(XLOOKUP('Job Control'!$B$3, INPUT_JobSettings!$A:$A, INPUT_JobSettings!$E:$E, ""), Constants!$A:$A, Constants!$E:$E, ""),""), 0.25)))))</f>
        <v/>
      </c>
      <c r="P127">
        <f>IF($A127="","",IF($D127="", "", $N127*IFERROR(XLOOKUP(XLOOKUP('Job Control'!$B$3, INPUT_JobSettings!$A:$A, INPUT_JobSettings!$C:$C, ""), Constants!$A:$A, Constants!$D:$D, 0),0) + $O127*IFERROR(XLOOKUP(XLOOKUP('Job Control'!$B$3, INPUT_JobSettings!$A:$A, INPUT_JobSettings!$E:$E, ""), Constants!$A:$A, Constants!$D:$D, 0),0))))</f>
        <v/>
      </c>
      <c r="Q127">
        <f>IF($A127="","", ($J127+$K127+$L127)*$V127 )</f>
        <v/>
      </c>
      <c r="R127">
        <f>IF($A127="","", $Q127/60)</f>
        <v/>
      </c>
      <c r="S127">
        <f>IF($A127="","", $R127*IFERROR(IF(XLOOKUP('Job Control'!$B$3, INPUT_JobSettings!$A:$A, INPUT_JobSettings!$F:$F, "")&lt;&gt;"", XLOOKUP('Job Control'!$B$3, INPUT_JobSettings!$A:$A, INPUT_JobSettings!$F:$F, ""), $B$6), $B$6) + $M127)</f>
        <v/>
      </c>
      <c r="T127">
        <f>IF($A127="","", ($S127+$P127)*IFERROR(IF(XLOOKUP('Job Control'!$B$3, INPUT_JobSettings!$A:$A, INPUT_JobSettings!$G:$G, "")&lt;&gt;"", XLOOKUP('Job Control'!$B$3, INPUT_JobSettings!$A:$A, INPUT_JobSettings!$G:$G, ""), $B$7), $B$7))</f>
        <v/>
      </c>
      <c r="U127">
        <f>IF($A127="","", IFERROR(XLOOKUP($A127, INPUT_Rooms!$B:$B, INPUT_Rooms!$AI:$AI, ""), ""))</f>
        <v/>
      </c>
      <c r="V127">
        <f>IF($A127="","", IF($U127="", 1, IFERROR(XLOOKUP($U127, Constants!$A$160:$A$190, Constants!$C$160:$C$190, 1), 1)))</f>
        <v/>
      </c>
      <c r="W127">
        <f>IF($A127="","", ($D127*IF($U127="",0,IFERROR(XLOOKUP($U127, Constants!$A$160:$A$190, Constants!$D$160:$D$190, 0),0))) )</f>
        <v/>
      </c>
    </row>
    <row r="128">
      <c r="M128">
        <f>IF($A128="","", IFERROR(XLOOKUP($A128, INPUT_Rooms!$B:$B, INPUT_Rooms!$S:$S, 0),0) + $W128)</f>
        <v/>
      </c>
      <c r="N128">
        <f>IF($A128="","",IF($D128="", "", CEILING( ($D128*$H128) / IFERROR(XLOOKUP(XLOOKUP('Job Control'!$B$3, INPUT_JobSettings!$A:$A, INPUT_JobSettings!$C:$C, ""), Constants!$A:$A, Constants!$E:$E, ""),""), 0.25))))</f>
        <v/>
      </c>
      <c r="O128">
        <f>IF($A128="","",IF($G128="None",0,IF($D128="", "", CEILING( ($D128*IF($G128="Full",1, XLOOKUP("PrimerSpotFactor",Constants!$F$20:$F$40,Constants!$G$20:$G$40))) / IFERROR(XLOOKUP(XLOOKUP('Job Control'!$B$3, INPUT_JobSettings!$A:$A, INPUT_JobSettings!$E:$E, ""), Constants!$A:$A, Constants!$E:$E, ""),""), 0.25)))))</f>
        <v/>
      </c>
      <c r="P128">
        <f>IF($A128="","",IF($D128="", "", $N128*IFERROR(XLOOKUP(XLOOKUP('Job Control'!$B$3, INPUT_JobSettings!$A:$A, INPUT_JobSettings!$C:$C, ""), Constants!$A:$A, Constants!$D:$D, 0),0) + $O128*IFERROR(XLOOKUP(XLOOKUP('Job Control'!$B$3, INPUT_JobSettings!$A:$A, INPUT_JobSettings!$E:$E, ""), Constants!$A:$A, Constants!$D:$D, 0),0))))</f>
        <v/>
      </c>
      <c r="Q128">
        <f>IF($A128="","", ($J128+$K128+$L128)*$V128 )</f>
        <v/>
      </c>
      <c r="R128">
        <f>IF($A128="","", $Q128/60)</f>
        <v/>
      </c>
      <c r="S128">
        <f>IF($A128="","", $R128*IFERROR(IF(XLOOKUP('Job Control'!$B$3, INPUT_JobSettings!$A:$A, INPUT_JobSettings!$F:$F, "")&lt;&gt;"", XLOOKUP('Job Control'!$B$3, INPUT_JobSettings!$A:$A, INPUT_JobSettings!$F:$F, ""), $B$6), $B$6) + $M128)</f>
        <v/>
      </c>
      <c r="T128">
        <f>IF($A128="","", ($S128+$P128)*IFERROR(IF(XLOOKUP('Job Control'!$B$3, INPUT_JobSettings!$A:$A, INPUT_JobSettings!$G:$G, "")&lt;&gt;"", XLOOKUP('Job Control'!$B$3, INPUT_JobSettings!$A:$A, INPUT_JobSettings!$G:$G, ""), $B$7), $B$7))</f>
        <v/>
      </c>
      <c r="U128">
        <f>IF($A128="","", IFERROR(XLOOKUP($A128, INPUT_Rooms!$B:$B, INPUT_Rooms!$AI:$AI, ""), ""))</f>
        <v/>
      </c>
      <c r="V128">
        <f>IF($A128="","", IF($U128="", 1, IFERROR(XLOOKUP($U128, Constants!$A$160:$A$190, Constants!$C$160:$C$190, 1), 1)))</f>
        <v/>
      </c>
      <c r="W128">
        <f>IF($A128="","", ($D128*IF($U128="",0,IFERROR(XLOOKUP($U128, Constants!$A$160:$A$190, Constants!$D$160:$D$190, 0),0))) )</f>
        <v/>
      </c>
    </row>
    <row r="129">
      <c r="M129">
        <f>IF($A129="","", IFERROR(XLOOKUP($A129, INPUT_Rooms!$B:$B, INPUT_Rooms!$S:$S, 0),0) + $W129)</f>
        <v/>
      </c>
      <c r="N129">
        <f>IF($A129="","",IF($D129="", "", CEILING( ($D129*$H129) / IFERROR(XLOOKUP(XLOOKUP('Job Control'!$B$3, INPUT_JobSettings!$A:$A, INPUT_JobSettings!$C:$C, ""), Constants!$A:$A, Constants!$E:$E, ""),""), 0.25))))</f>
        <v/>
      </c>
      <c r="O129">
        <f>IF($A129="","",IF($G129="None",0,IF($D129="", "", CEILING( ($D129*IF($G129="Full",1, XLOOKUP("PrimerSpotFactor",Constants!$F$20:$F$40,Constants!$G$20:$G$40))) / IFERROR(XLOOKUP(XLOOKUP('Job Control'!$B$3, INPUT_JobSettings!$A:$A, INPUT_JobSettings!$E:$E, ""), Constants!$A:$A, Constants!$E:$E, ""),""), 0.25)))))</f>
        <v/>
      </c>
      <c r="P129">
        <f>IF($A129="","",IF($D129="", "", $N129*IFERROR(XLOOKUP(XLOOKUP('Job Control'!$B$3, INPUT_JobSettings!$A:$A, INPUT_JobSettings!$C:$C, ""), Constants!$A:$A, Constants!$D:$D, 0),0) + $O129*IFERROR(XLOOKUP(XLOOKUP('Job Control'!$B$3, INPUT_JobSettings!$A:$A, INPUT_JobSettings!$E:$E, ""), Constants!$A:$A, Constants!$D:$D, 0),0))))</f>
        <v/>
      </c>
      <c r="Q129">
        <f>IF($A129="","", ($J129+$K129+$L129)*$V129 )</f>
        <v/>
      </c>
      <c r="R129">
        <f>IF($A129="","", $Q129/60)</f>
        <v/>
      </c>
      <c r="S129">
        <f>IF($A129="","", $R129*IFERROR(IF(XLOOKUP('Job Control'!$B$3, INPUT_JobSettings!$A:$A, INPUT_JobSettings!$F:$F, "")&lt;&gt;"", XLOOKUP('Job Control'!$B$3, INPUT_JobSettings!$A:$A, INPUT_JobSettings!$F:$F, ""), $B$6), $B$6) + $M129)</f>
        <v/>
      </c>
      <c r="T129">
        <f>IF($A129="","", ($S129+$P129)*IFERROR(IF(XLOOKUP('Job Control'!$B$3, INPUT_JobSettings!$A:$A, INPUT_JobSettings!$G:$G, "")&lt;&gt;"", XLOOKUP('Job Control'!$B$3, INPUT_JobSettings!$A:$A, INPUT_JobSettings!$G:$G, ""), $B$7), $B$7))</f>
        <v/>
      </c>
      <c r="U129">
        <f>IF($A129="","", IFERROR(XLOOKUP($A129, INPUT_Rooms!$B:$B, INPUT_Rooms!$AI:$AI, ""), ""))</f>
        <v/>
      </c>
      <c r="V129">
        <f>IF($A129="","", IF($U129="", 1, IFERROR(XLOOKUP($U129, Constants!$A$160:$A$190, Constants!$C$160:$C$190, 1), 1)))</f>
        <v/>
      </c>
      <c r="W129">
        <f>IF($A129="","", ($D129*IF($U129="",0,IFERROR(XLOOKUP($U129, Constants!$A$160:$A$190, Constants!$D$160:$D$190, 0),0))) )</f>
        <v/>
      </c>
    </row>
    <row r="130">
      <c r="M130">
        <f>IF($A130="","", IFERROR(XLOOKUP($A130, INPUT_Rooms!$B:$B, INPUT_Rooms!$S:$S, 0),0) + $W130)</f>
        <v/>
      </c>
      <c r="N130">
        <f>IF($A130="","",IF($D130="", "", CEILING( ($D130*$H130) / IFERROR(XLOOKUP(XLOOKUP('Job Control'!$B$3, INPUT_JobSettings!$A:$A, INPUT_JobSettings!$C:$C, ""), Constants!$A:$A, Constants!$E:$E, ""),""), 0.25))))</f>
        <v/>
      </c>
      <c r="O130">
        <f>IF($A130="","",IF($G130="None",0,IF($D130="", "", CEILING( ($D130*IF($G130="Full",1, XLOOKUP("PrimerSpotFactor",Constants!$F$20:$F$40,Constants!$G$20:$G$40))) / IFERROR(XLOOKUP(XLOOKUP('Job Control'!$B$3, INPUT_JobSettings!$A:$A, INPUT_JobSettings!$E:$E, ""), Constants!$A:$A, Constants!$E:$E, ""),""), 0.25)))))</f>
        <v/>
      </c>
      <c r="P130">
        <f>IF($A130="","",IF($D130="", "", $N130*IFERROR(XLOOKUP(XLOOKUP('Job Control'!$B$3, INPUT_JobSettings!$A:$A, INPUT_JobSettings!$C:$C, ""), Constants!$A:$A, Constants!$D:$D, 0),0) + $O130*IFERROR(XLOOKUP(XLOOKUP('Job Control'!$B$3, INPUT_JobSettings!$A:$A, INPUT_JobSettings!$E:$E, ""), Constants!$A:$A, Constants!$D:$D, 0),0))))</f>
        <v/>
      </c>
      <c r="Q130">
        <f>IF($A130="","", ($J130+$K130+$L130)*$V130 )</f>
        <v/>
      </c>
      <c r="R130">
        <f>IF($A130="","", $Q130/60)</f>
        <v/>
      </c>
      <c r="S130">
        <f>IF($A130="","", $R130*IFERROR(IF(XLOOKUP('Job Control'!$B$3, INPUT_JobSettings!$A:$A, INPUT_JobSettings!$F:$F, "")&lt;&gt;"", XLOOKUP('Job Control'!$B$3, INPUT_JobSettings!$A:$A, INPUT_JobSettings!$F:$F, ""), $B$6), $B$6) + $M130)</f>
        <v/>
      </c>
      <c r="T130">
        <f>IF($A130="","", ($S130+$P130)*IFERROR(IF(XLOOKUP('Job Control'!$B$3, INPUT_JobSettings!$A:$A, INPUT_JobSettings!$G:$G, "")&lt;&gt;"", XLOOKUP('Job Control'!$B$3, INPUT_JobSettings!$A:$A, INPUT_JobSettings!$G:$G, ""), $B$7), $B$7))</f>
        <v/>
      </c>
      <c r="U130">
        <f>IF($A130="","", IFERROR(XLOOKUP($A130, INPUT_Rooms!$B:$B, INPUT_Rooms!$AI:$AI, ""), ""))</f>
        <v/>
      </c>
      <c r="V130">
        <f>IF($A130="","", IF($U130="", 1, IFERROR(XLOOKUP($U130, Constants!$A$160:$A$190, Constants!$C$160:$C$190, 1), 1)))</f>
        <v/>
      </c>
      <c r="W130">
        <f>IF($A130="","", ($D130*IF($U130="",0,IFERROR(XLOOKUP($U130, Constants!$A$160:$A$190, Constants!$D$160:$D$190, 0),0))) )</f>
        <v/>
      </c>
    </row>
    <row r="131">
      <c r="M131">
        <f>IF($A131="","", IFERROR(XLOOKUP($A131, INPUT_Rooms!$B:$B, INPUT_Rooms!$S:$S, 0),0) + $W131)</f>
        <v/>
      </c>
      <c r="N131">
        <f>IF($A131="","",IF($D131="", "", CEILING( ($D131*$H131) / IFERROR(XLOOKUP(XLOOKUP('Job Control'!$B$3, INPUT_JobSettings!$A:$A, INPUT_JobSettings!$C:$C, ""), Constants!$A:$A, Constants!$E:$E, ""),""), 0.25))))</f>
        <v/>
      </c>
      <c r="O131">
        <f>IF($A131="","",IF($G131="None",0,IF($D131="", "", CEILING( ($D131*IF($G131="Full",1, XLOOKUP("PrimerSpotFactor",Constants!$F$20:$F$40,Constants!$G$20:$G$40))) / IFERROR(XLOOKUP(XLOOKUP('Job Control'!$B$3, INPUT_JobSettings!$A:$A, INPUT_JobSettings!$E:$E, ""), Constants!$A:$A, Constants!$E:$E, ""),""), 0.25)))))</f>
        <v/>
      </c>
      <c r="P131">
        <f>IF($A131="","",IF($D131="", "", $N131*IFERROR(XLOOKUP(XLOOKUP('Job Control'!$B$3, INPUT_JobSettings!$A:$A, INPUT_JobSettings!$C:$C, ""), Constants!$A:$A, Constants!$D:$D, 0),0) + $O131*IFERROR(XLOOKUP(XLOOKUP('Job Control'!$B$3, INPUT_JobSettings!$A:$A, INPUT_JobSettings!$E:$E, ""), Constants!$A:$A, Constants!$D:$D, 0),0))))</f>
        <v/>
      </c>
      <c r="Q131">
        <f>IF($A131="","", ($J131+$K131+$L131)*$V131 )</f>
        <v/>
      </c>
      <c r="R131">
        <f>IF($A131="","", $Q131/60)</f>
        <v/>
      </c>
      <c r="S131">
        <f>IF($A131="","", $R131*IFERROR(IF(XLOOKUP('Job Control'!$B$3, INPUT_JobSettings!$A:$A, INPUT_JobSettings!$F:$F, "")&lt;&gt;"", XLOOKUP('Job Control'!$B$3, INPUT_JobSettings!$A:$A, INPUT_JobSettings!$F:$F, ""), $B$6), $B$6) + $M131)</f>
        <v/>
      </c>
      <c r="T131">
        <f>IF($A131="","", ($S131+$P131)*IFERROR(IF(XLOOKUP('Job Control'!$B$3, INPUT_JobSettings!$A:$A, INPUT_JobSettings!$G:$G, "")&lt;&gt;"", XLOOKUP('Job Control'!$B$3, INPUT_JobSettings!$A:$A, INPUT_JobSettings!$G:$G, ""), $B$7), $B$7))</f>
        <v/>
      </c>
      <c r="U131">
        <f>IF($A131="","", IFERROR(XLOOKUP($A131, INPUT_Rooms!$B:$B, INPUT_Rooms!$AI:$AI, ""), ""))</f>
        <v/>
      </c>
      <c r="V131">
        <f>IF($A131="","", IF($U131="", 1, IFERROR(XLOOKUP($U131, Constants!$A$160:$A$190, Constants!$C$160:$C$190, 1), 1)))</f>
        <v/>
      </c>
      <c r="W131">
        <f>IF($A131="","", ($D131*IF($U131="",0,IFERROR(XLOOKUP($U131, Constants!$A$160:$A$190, Constants!$D$160:$D$190, 0),0))) )</f>
        <v/>
      </c>
    </row>
    <row r="132">
      <c r="M132">
        <f>IF($A132="","", IFERROR(XLOOKUP($A132, INPUT_Rooms!$B:$B, INPUT_Rooms!$S:$S, 0),0) + $W132)</f>
        <v/>
      </c>
      <c r="N132">
        <f>IF($A132="","",IF($D132="", "", CEILING( ($D132*$H132) / IFERROR(XLOOKUP(XLOOKUP('Job Control'!$B$3, INPUT_JobSettings!$A:$A, INPUT_JobSettings!$C:$C, ""), Constants!$A:$A, Constants!$E:$E, ""),""), 0.25))))</f>
        <v/>
      </c>
      <c r="O132">
        <f>IF($A132="","",IF($G132="None",0,IF($D132="", "", CEILING( ($D132*IF($G132="Full",1, XLOOKUP("PrimerSpotFactor",Constants!$F$20:$F$40,Constants!$G$20:$G$40))) / IFERROR(XLOOKUP(XLOOKUP('Job Control'!$B$3, INPUT_JobSettings!$A:$A, INPUT_JobSettings!$E:$E, ""), Constants!$A:$A, Constants!$E:$E, ""),""), 0.25)))))</f>
        <v/>
      </c>
      <c r="P132">
        <f>IF($A132="","",IF($D132="", "", $N132*IFERROR(XLOOKUP(XLOOKUP('Job Control'!$B$3, INPUT_JobSettings!$A:$A, INPUT_JobSettings!$C:$C, ""), Constants!$A:$A, Constants!$D:$D, 0),0) + $O132*IFERROR(XLOOKUP(XLOOKUP('Job Control'!$B$3, INPUT_JobSettings!$A:$A, INPUT_JobSettings!$E:$E, ""), Constants!$A:$A, Constants!$D:$D, 0),0))))</f>
        <v/>
      </c>
      <c r="Q132">
        <f>IF($A132="","", ($J132+$K132+$L132)*$V132 )</f>
        <v/>
      </c>
      <c r="R132">
        <f>IF($A132="","", $Q132/60)</f>
        <v/>
      </c>
      <c r="S132">
        <f>IF($A132="","", $R132*IFERROR(IF(XLOOKUP('Job Control'!$B$3, INPUT_JobSettings!$A:$A, INPUT_JobSettings!$F:$F, "")&lt;&gt;"", XLOOKUP('Job Control'!$B$3, INPUT_JobSettings!$A:$A, INPUT_JobSettings!$F:$F, ""), $B$6), $B$6) + $M132)</f>
        <v/>
      </c>
      <c r="T132">
        <f>IF($A132="","", ($S132+$P132)*IFERROR(IF(XLOOKUP('Job Control'!$B$3, INPUT_JobSettings!$A:$A, INPUT_JobSettings!$G:$G, "")&lt;&gt;"", XLOOKUP('Job Control'!$B$3, INPUT_JobSettings!$A:$A, INPUT_JobSettings!$G:$G, ""), $B$7), $B$7))</f>
        <v/>
      </c>
      <c r="U132">
        <f>IF($A132="","", IFERROR(XLOOKUP($A132, INPUT_Rooms!$B:$B, INPUT_Rooms!$AI:$AI, ""), ""))</f>
        <v/>
      </c>
      <c r="V132">
        <f>IF($A132="","", IF($U132="", 1, IFERROR(XLOOKUP($U132, Constants!$A$160:$A$190, Constants!$C$160:$C$190, 1), 1)))</f>
        <v/>
      </c>
      <c r="W132">
        <f>IF($A132="","", ($D132*IF($U132="",0,IFERROR(XLOOKUP($U132, Constants!$A$160:$A$190, Constants!$D$160:$D$190, 0),0))) )</f>
        <v/>
      </c>
    </row>
    <row r="133">
      <c r="M133">
        <f>IF($A133="","", IFERROR(XLOOKUP($A133, INPUT_Rooms!$B:$B, INPUT_Rooms!$S:$S, 0),0) + $W133)</f>
        <v/>
      </c>
      <c r="N133">
        <f>IF($A133="","",IF($D133="", "", CEILING( ($D133*$H133) / IFERROR(XLOOKUP(XLOOKUP('Job Control'!$B$3, INPUT_JobSettings!$A:$A, INPUT_JobSettings!$C:$C, ""), Constants!$A:$A, Constants!$E:$E, ""),""), 0.25))))</f>
        <v/>
      </c>
      <c r="O133">
        <f>IF($A133="","",IF($G133="None",0,IF($D133="", "", CEILING( ($D133*IF($G133="Full",1, XLOOKUP("PrimerSpotFactor",Constants!$F$20:$F$40,Constants!$G$20:$G$40))) / IFERROR(XLOOKUP(XLOOKUP('Job Control'!$B$3, INPUT_JobSettings!$A:$A, INPUT_JobSettings!$E:$E, ""), Constants!$A:$A, Constants!$E:$E, ""),""), 0.25)))))</f>
        <v/>
      </c>
      <c r="P133">
        <f>IF($A133="","",IF($D133="", "", $N133*IFERROR(XLOOKUP(XLOOKUP('Job Control'!$B$3, INPUT_JobSettings!$A:$A, INPUT_JobSettings!$C:$C, ""), Constants!$A:$A, Constants!$D:$D, 0),0) + $O133*IFERROR(XLOOKUP(XLOOKUP('Job Control'!$B$3, INPUT_JobSettings!$A:$A, INPUT_JobSettings!$E:$E, ""), Constants!$A:$A, Constants!$D:$D, 0),0))))</f>
        <v/>
      </c>
      <c r="Q133">
        <f>IF($A133="","", ($J133+$K133+$L133)*$V133 )</f>
        <v/>
      </c>
      <c r="R133">
        <f>IF($A133="","", $Q133/60)</f>
        <v/>
      </c>
      <c r="S133">
        <f>IF($A133="","", $R133*IFERROR(IF(XLOOKUP('Job Control'!$B$3, INPUT_JobSettings!$A:$A, INPUT_JobSettings!$F:$F, "")&lt;&gt;"", XLOOKUP('Job Control'!$B$3, INPUT_JobSettings!$A:$A, INPUT_JobSettings!$F:$F, ""), $B$6), $B$6) + $M133)</f>
        <v/>
      </c>
      <c r="T133">
        <f>IF($A133="","", ($S133+$P133)*IFERROR(IF(XLOOKUP('Job Control'!$B$3, INPUT_JobSettings!$A:$A, INPUT_JobSettings!$G:$G, "")&lt;&gt;"", XLOOKUP('Job Control'!$B$3, INPUT_JobSettings!$A:$A, INPUT_JobSettings!$G:$G, ""), $B$7), $B$7))</f>
        <v/>
      </c>
      <c r="U133">
        <f>IF($A133="","", IFERROR(XLOOKUP($A133, INPUT_Rooms!$B:$B, INPUT_Rooms!$AI:$AI, ""), ""))</f>
        <v/>
      </c>
      <c r="V133">
        <f>IF($A133="","", IF($U133="", 1, IFERROR(XLOOKUP($U133, Constants!$A$160:$A$190, Constants!$C$160:$C$190, 1), 1)))</f>
        <v/>
      </c>
      <c r="W133">
        <f>IF($A133="","", ($D133*IF($U133="",0,IFERROR(XLOOKUP($U133, Constants!$A$160:$A$190, Constants!$D$160:$D$190, 0),0))) )</f>
        <v/>
      </c>
    </row>
    <row r="134">
      <c r="M134">
        <f>IF($A134="","", IFERROR(XLOOKUP($A134, INPUT_Rooms!$B:$B, INPUT_Rooms!$S:$S, 0),0) + $W134)</f>
        <v/>
      </c>
      <c r="N134">
        <f>IF($A134="","",IF($D134="", "", CEILING( ($D134*$H134) / IFERROR(XLOOKUP(XLOOKUP('Job Control'!$B$3, INPUT_JobSettings!$A:$A, INPUT_JobSettings!$C:$C, ""), Constants!$A:$A, Constants!$E:$E, ""),""), 0.25))))</f>
        <v/>
      </c>
      <c r="O134">
        <f>IF($A134="","",IF($G134="None",0,IF($D134="", "", CEILING( ($D134*IF($G134="Full",1, XLOOKUP("PrimerSpotFactor",Constants!$F$20:$F$40,Constants!$G$20:$G$40))) / IFERROR(XLOOKUP(XLOOKUP('Job Control'!$B$3, INPUT_JobSettings!$A:$A, INPUT_JobSettings!$E:$E, ""), Constants!$A:$A, Constants!$E:$E, ""),""), 0.25)))))</f>
        <v/>
      </c>
      <c r="P134">
        <f>IF($A134="","",IF($D134="", "", $N134*IFERROR(XLOOKUP(XLOOKUP('Job Control'!$B$3, INPUT_JobSettings!$A:$A, INPUT_JobSettings!$C:$C, ""), Constants!$A:$A, Constants!$D:$D, 0),0) + $O134*IFERROR(XLOOKUP(XLOOKUP('Job Control'!$B$3, INPUT_JobSettings!$A:$A, INPUT_JobSettings!$E:$E, ""), Constants!$A:$A, Constants!$D:$D, 0),0))))</f>
        <v/>
      </c>
      <c r="Q134">
        <f>IF($A134="","", ($J134+$K134+$L134)*$V134 )</f>
        <v/>
      </c>
      <c r="R134">
        <f>IF($A134="","", $Q134/60)</f>
        <v/>
      </c>
      <c r="S134">
        <f>IF($A134="","", $R134*IFERROR(IF(XLOOKUP('Job Control'!$B$3, INPUT_JobSettings!$A:$A, INPUT_JobSettings!$F:$F, "")&lt;&gt;"", XLOOKUP('Job Control'!$B$3, INPUT_JobSettings!$A:$A, INPUT_JobSettings!$F:$F, ""), $B$6), $B$6) + $M134)</f>
        <v/>
      </c>
      <c r="T134">
        <f>IF($A134="","", ($S134+$P134)*IFERROR(IF(XLOOKUP('Job Control'!$B$3, INPUT_JobSettings!$A:$A, INPUT_JobSettings!$G:$G, "")&lt;&gt;"", XLOOKUP('Job Control'!$B$3, INPUT_JobSettings!$A:$A, INPUT_JobSettings!$G:$G, ""), $B$7), $B$7))</f>
        <v/>
      </c>
      <c r="U134">
        <f>IF($A134="","", IFERROR(XLOOKUP($A134, INPUT_Rooms!$B:$B, INPUT_Rooms!$AI:$AI, ""), ""))</f>
        <v/>
      </c>
      <c r="V134">
        <f>IF($A134="","", IF($U134="", 1, IFERROR(XLOOKUP($U134, Constants!$A$160:$A$190, Constants!$C$160:$C$190, 1), 1)))</f>
        <v/>
      </c>
      <c r="W134">
        <f>IF($A134="","", ($D134*IF($U134="",0,IFERROR(XLOOKUP($U134, Constants!$A$160:$A$190, Constants!$D$160:$D$190, 0),0))) )</f>
        <v/>
      </c>
    </row>
    <row r="135">
      <c r="M135">
        <f>IF($A135="","", IFERROR(XLOOKUP($A135, INPUT_Rooms!$B:$B, INPUT_Rooms!$S:$S, 0),0) + $W135)</f>
        <v/>
      </c>
      <c r="N135">
        <f>IF($A135="","",IF($D135="", "", CEILING( ($D135*$H135) / IFERROR(XLOOKUP(XLOOKUP('Job Control'!$B$3, INPUT_JobSettings!$A:$A, INPUT_JobSettings!$C:$C, ""), Constants!$A:$A, Constants!$E:$E, ""),""), 0.25))))</f>
        <v/>
      </c>
      <c r="O135">
        <f>IF($A135="","",IF($G135="None",0,IF($D135="", "", CEILING( ($D135*IF($G135="Full",1, XLOOKUP("PrimerSpotFactor",Constants!$F$20:$F$40,Constants!$G$20:$G$40))) / IFERROR(XLOOKUP(XLOOKUP('Job Control'!$B$3, INPUT_JobSettings!$A:$A, INPUT_JobSettings!$E:$E, ""), Constants!$A:$A, Constants!$E:$E, ""),""), 0.25)))))</f>
        <v/>
      </c>
      <c r="P135">
        <f>IF($A135="","",IF($D135="", "", $N135*IFERROR(XLOOKUP(XLOOKUP('Job Control'!$B$3, INPUT_JobSettings!$A:$A, INPUT_JobSettings!$C:$C, ""), Constants!$A:$A, Constants!$D:$D, 0),0) + $O135*IFERROR(XLOOKUP(XLOOKUP('Job Control'!$B$3, INPUT_JobSettings!$A:$A, INPUT_JobSettings!$E:$E, ""), Constants!$A:$A, Constants!$D:$D, 0),0))))</f>
        <v/>
      </c>
      <c r="Q135">
        <f>IF($A135="","", ($J135+$K135+$L135)*$V135 )</f>
        <v/>
      </c>
      <c r="R135">
        <f>IF($A135="","", $Q135/60)</f>
        <v/>
      </c>
      <c r="S135">
        <f>IF($A135="","", $R135*IFERROR(IF(XLOOKUP('Job Control'!$B$3, INPUT_JobSettings!$A:$A, INPUT_JobSettings!$F:$F, "")&lt;&gt;"", XLOOKUP('Job Control'!$B$3, INPUT_JobSettings!$A:$A, INPUT_JobSettings!$F:$F, ""), $B$6), $B$6) + $M135)</f>
        <v/>
      </c>
      <c r="T135">
        <f>IF($A135="","", ($S135+$P135)*IFERROR(IF(XLOOKUP('Job Control'!$B$3, INPUT_JobSettings!$A:$A, INPUT_JobSettings!$G:$G, "")&lt;&gt;"", XLOOKUP('Job Control'!$B$3, INPUT_JobSettings!$A:$A, INPUT_JobSettings!$G:$G, ""), $B$7), $B$7))</f>
        <v/>
      </c>
      <c r="U135">
        <f>IF($A135="","", IFERROR(XLOOKUP($A135, INPUT_Rooms!$B:$B, INPUT_Rooms!$AI:$AI, ""), ""))</f>
        <v/>
      </c>
      <c r="V135">
        <f>IF($A135="","", IF($U135="", 1, IFERROR(XLOOKUP($U135, Constants!$A$160:$A$190, Constants!$C$160:$C$190, 1), 1)))</f>
        <v/>
      </c>
      <c r="W135">
        <f>IF($A135="","", ($D135*IF($U135="",0,IFERROR(XLOOKUP($U135, Constants!$A$160:$A$190, Constants!$D$160:$D$190, 0),0))) )</f>
        <v/>
      </c>
    </row>
    <row r="136">
      <c r="M136">
        <f>IF($A136="","", IFERROR(XLOOKUP($A136, INPUT_Rooms!$B:$B, INPUT_Rooms!$S:$S, 0),0) + $W136)</f>
        <v/>
      </c>
      <c r="N136">
        <f>IF($A136="","",IF($D136="", "", CEILING( ($D136*$H136) / IFERROR(XLOOKUP(XLOOKUP('Job Control'!$B$3, INPUT_JobSettings!$A:$A, INPUT_JobSettings!$C:$C, ""), Constants!$A:$A, Constants!$E:$E, ""),""), 0.25))))</f>
        <v/>
      </c>
      <c r="O136">
        <f>IF($A136="","",IF($G136="None",0,IF($D136="", "", CEILING( ($D136*IF($G136="Full",1, XLOOKUP("PrimerSpotFactor",Constants!$F$20:$F$40,Constants!$G$20:$G$40))) / IFERROR(XLOOKUP(XLOOKUP('Job Control'!$B$3, INPUT_JobSettings!$A:$A, INPUT_JobSettings!$E:$E, ""), Constants!$A:$A, Constants!$E:$E, ""),""), 0.25)))))</f>
        <v/>
      </c>
      <c r="P136">
        <f>IF($A136="","",IF($D136="", "", $N136*IFERROR(XLOOKUP(XLOOKUP('Job Control'!$B$3, INPUT_JobSettings!$A:$A, INPUT_JobSettings!$C:$C, ""), Constants!$A:$A, Constants!$D:$D, 0),0) + $O136*IFERROR(XLOOKUP(XLOOKUP('Job Control'!$B$3, INPUT_JobSettings!$A:$A, INPUT_JobSettings!$E:$E, ""), Constants!$A:$A, Constants!$D:$D, 0),0))))</f>
        <v/>
      </c>
      <c r="Q136">
        <f>IF($A136="","", ($J136+$K136+$L136)*$V136 )</f>
        <v/>
      </c>
      <c r="R136">
        <f>IF($A136="","", $Q136/60)</f>
        <v/>
      </c>
      <c r="S136">
        <f>IF($A136="","", $R136*IFERROR(IF(XLOOKUP('Job Control'!$B$3, INPUT_JobSettings!$A:$A, INPUT_JobSettings!$F:$F, "")&lt;&gt;"", XLOOKUP('Job Control'!$B$3, INPUT_JobSettings!$A:$A, INPUT_JobSettings!$F:$F, ""), $B$6), $B$6) + $M136)</f>
        <v/>
      </c>
      <c r="T136">
        <f>IF($A136="","", ($S136+$P136)*IFERROR(IF(XLOOKUP('Job Control'!$B$3, INPUT_JobSettings!$A:$A, INPUT_JobSettings!$G:$G, "")&lt;&gt;"", XLOOKUP('Job Control'!$B$3, INPUT_JobSettings!$A:$A, INPUT_JobSettings!$G:$G, ""), $B$7), $B$7))</f>
        <v/>
      </c>
      <c r="U136">
        <f>IF($A136="","", IFERROR(XLOOKUP($A136, INPUT_Rooms!$B:$B, INPUT_Rooms!$AI:$AI, ""), ""))</f>
        <v/>
      </c>
      <c r="V136">
        <f>IF($A136="","", IF($U136="", 1, IFERROR(XLOOKUP($U136, Constants!$A$160:$A$190, Constants!$C$160:$C$190, 1), 1)))</f>
        <v/>
      </c>
      <c r="W136">
        <f>IF($A136="","", ($D136*IF($U136="",0,IFERROR(XLOOKUP($U136, Constants!$A$160:$A$190, Constants!$D$160:$D$190, 0),0))) )</f>
        <v/>
      </c>
    </row>
    <row r="137">
      <c r="M137">
        <f>IF($A137="","", IFERROR(XLOOKUP($A137, INPUT_Rooms!$B:$B, INPUT_Rooms!$S:$S, 0),0) + $W137)</f>
        <v/>
      </c>
      <c r="N137">
        <f>IF($A137="","",IF($D137="", "", CEILING( ($D137*$H137) / IFERROR(XLOOKUP(XLOOKUP('Job Control'!$B$3, INPUT_JobSettings!$A:$A, INPUT_JobSettings!$C:$C, ""), Constants!$A:$A, Constants!$E:$E, ""),""), 0.25))))</f>
        <v/>
      </c>
      <c r="O137">
        <f>IF($A137="","",IF($G137="None",0,IF($D137="", "", CEILING( ($D137*IF($G137="Full",1, XLOOKUP("PrimerSpotFactor",Constants!$F$20:$F$40,Constants!$G$20:$G$40))) / IFERROR(XLOOKUP(XLOOKUP('Job Control'!$B$3, INPUT_JobSettings!$A:$A, INPUT_JobSettings!$E:$E, ""), Constants!$A:$A, Constants!$E:$E, ""),""), 0.25)))))</f>
        <v/>
      </c>
      <c r="P137">
        <f>IF($A137="","",IF($D137="", "", $N137*IFERROR(XLOOKUP(XLOOKUP('Job Control'!$B$3, INPUT_JobSettings!$A:$A, INPUT_JobSettings!$C:$C, ""), Constants!$A:$A, Constants!$D:$D, 0),0) + $O137*IFERROR(XLOOKUP(XLOOKUP('Job Control'!$B$3, INPUT_JobSettings!$A:$A, INPUT_JobSettings!$E:$E, ""), Constants!$A:$A, Constants!$D:$D, 0),0))))</f>
        <v/>
      </c>
      <c r="Q137">
        <f>IF($A137="","", ($J137+$K137+$L137)*$V137 )</f>
        <v/>
      </c>
      <c r="R137">
        <f>IF($A137="","", $Q137/60)</f>
        <v/>
      </c>
      <c r="S137">
        <f>IF($A137="","", $R137*IFERROR(IF(XLOOKUP('Job Control'!$B$3, INPUT_JobSettings!$A:$A, INPUT_JobSettings!$F:$F, "")&lt;&gt;"", XLOOKUP('Job Control'!$B$3, INPUT_JobSettings!$A:$A, INPUT_JobSettings!$F:$F, ""), $B$6), $B$6) + $M137)</f>
        <v/>
      </c>
      <c r="T137">
        <f>IF($A137="","", ($S137+$P137)*IFERROR(IF(XLOOKUP('Job Control'!$B$3, INPUT_JobSettings!$A:$A, INPUT_JobSettings!$G:$G, "")&lt;&gt;"", XLOOKUP('Job Control'!$B$3, INPUT_JobSettings!$A:$A, INPUT_JobSettings!$G:$G, ""), $B$7), $B$7))</f>
        <v/>
      </c>
      <c r="U137">
        <f>IF($A137="","", IFERROR(XLOOKUP($A137, INPUT_Rooms!$B:$B, INPUT_Rooms!$AI:$AI, ""), ""))</f>
        <v/>
      </c>
      <c r="V137">
        <f>IF($A137="","", IF($U137="", 1, IFERROR(XLOOKUP($U137, Constants!$A$160:$A$190, Constants!$C$160:$C$190, 1), 1)))</f>
        <v/>
      </c>
      <c r="W137">
        <f>IF($A137="","", ($D137*IF($U137="",0,IFERROR(XLOOKUP($U137, Constants!$A$160:$A$190, Constants!$D$160:$D$190, 0),0))) )</f>
        <v/>
      </c>
    </row>
    <row r="138">
      <c r="M138">
        <f>IF($A138="","", IFERROR(XLOOKUP($A138, INPUT_Rooms!$B:$B, INPUT_Rooms!$S:$S, 0),0) + $W138)</f>
        <v/>
      </c>
      <c r="N138">
        <f>IF($A138="","",IF($D138="", "", CEILING( ($D138*$H138) / IFERROR(XLOOKUP(XLOOKUP('Job Control'!$B$3, INPUT_JobSettings!$A:$A, INPUT_JobSettings!$C:$C, ""), Constants!$A:$A, Constants!$E:$E, ""),""), 0.25))))</f>
        <v/>
      </c>
      <c r="O138">
        <f>IF($A138="","",IF($G138="None",0,IF($D138="", "", CEILING( ($D138*IF($G138="Full",1, XLOOKUP("PrimerSpotFactor",Constants!$F$20:$F$40,Constants!$G$20:$G$40))) / IFERROR(XLOOKUP(XLOOKUP('Job Control'!$B$3, INPUT_JobSettings!$A:$A, INPUT_JobSettings!$E:$E, ""), Constants!$A:$A, Constants!$E:$E, ""),""), 0.25)))))</f>
        <v/>
      </c>
      <c r="P138">
        <f>IF($A138="","",IF($D138="", "", $N138*IFERROR(XLOOKUP(XLOOKUP('Job Control'!$B$3, INPUT_JobSettings!$A:$A, INPUT_JobSettings!$C:$C, ""), Constants!$A:$A, Constants!$D:$D, 0),0) + $O138*IFERROR(XLOOKUP(XLOOKUP('Job Control'!$B$3, INPUT_JobSettings!$A:$A, INPUT_JobSettings!$E:$E, ""), Constants!$A:$A, Constants!$D:$D, 0),0))))</f>
        <v/>
      </c>
      <c r="Q138">
        <f>IF($A138="","", ($J138+$K138+$L138)*$V138 )</f>
        <v/>
      </c>
      <c r="R138">
        <f>IF($A138="","", $Q138/60)</f>
        <v/>
      </c>
      <c r="S138">
        <f>IF($A138="","", $R138*IFERROR(IF(XLOOKUP('Job Control'!$B$3, INPUT_JobSettings!$A:$A, INPUT_JobSettings!$F:$F, "")&lt;&gt;"", XLOOKUP('Job Control'!$B$3, INPUT_JobSettings!$A:$A, INPUT_JobSettings!$F:$F, ""), $B$6), $B$6) + $M138)</f>
        <v/>
      </c>
      <c r="T138">
        <f>IF($A138="","", ($S138+$P138)*IFERROR(IF(XLOOKUP('Job Control'!$B$3, INPUT_JobSettings!$A:$A, INPUT_JobSettings!$G:$G, "")&lt;&gt;"", XLOOKUP('Job Control'!$B$3, INPUT_JobSettings!$A:$A, INPUT_JobSettings!$G:$G, ""), $B$7), $B$7))</f>
        <v/>
      </c>
      <c r="U138">
        <f>IF($A138="","", IFERROR(XLOOKUP($A138, INPUT_Rooms!$B:$B, INPUT_Rooms!$AI:$AI, ""), ""))</f>
        <v/>
      </c>
      <c r="V138">
        <f>IF($A138="","", IF($U138="", 1, IFERROR(XLOOKUP($U138, Constants!$A$160:$A$190, Constants!$C$160:$C$190, 1), 1)))</f>
        <v/>
      </c>
      <c r="W138">
        <f>IF($A138="","", ($D138*IF($U138="",0,IFERROR(XLOOKUP($U138, Constants!$A$160:$A$190, Constants!$D$160:$D$190, 0),0))) )</f>
        <v/>
      </c>
    </row>
    <row r="139">
      <c r="M139">
        <f>IF($A139="","", IFERROR(XLOOKUP($A139, INPUT_Rooms!$B:$B, INPUT_Rooms!$S:$S, 0),0) + $W139)</f>
        <v/>
      </c>
      <c r="N139">
        <f>IF($A139="","",IF($D139="", "", CEILING( ($D139*$H139) / IFERROR(XLOOKUP(XLOOKUP('Job Control'!$B$3, INPUT_JobSettings!$A:$A, INPUT_JobSettings!$C:$C, ""), Constants!$A:$A, Constants!$E:$E, ""),""), 0.25))))</f>
        <v/>
      </c>
      <c r="O139">
        <f>IF($A139="","",IF($G139="None",0,IF($D139="", "", CEILING( ($D139*IF($G139="Full",1, XLOOKUP("PrimerSpotFactor",Constants!$F$20:$F$40,Constants!$G$20:$G$40))) / IFERROR(XLOOKUP(XLOOKUP('Job Control'!$B$3, INPUT_JobSettings!$A:$A, INPUT_JobSettings!$E:$E, ""), Constants!$A:$A, Constants!$E:$E, ""),""), 0.25)))))</f>
        <v/>
      </c>
      <c r="P139">
        <f>IF($A139="","",IF($D139="", "", $N139*IFERROR(XLOOKUP(XLOOKUP('Job Control'!$B$3, INPUT_JobSettings!$A:$A, INPUT_JobSettings!$C:$C, ""), Constants!$A:$A, Constants!$D:$D, 0),0) + $O139*IFERROR(XLOOKUP(XLOOKUP('Job Control'!$B$3, INPUT_JobSettings!$A:$A, INPUT_JobSettings!$E:$E, ""), Constants!$A:$A, Constants!$D:$D, 0),0))))</f>
        <v/>
      </c>
      <c r="Q139">
        <f>IF($A139="","", ($J139+$K139+$L139)*$V139 )</f>
        <v/>
      </c>
      <c r="R139">
        <f>IF($A139="","", $Q139/60)</f>
        <v/>
      </c>
      <c r="S139">
        <f>IF($A139="","", $R139*IFERROR(IF(XLOOKUP('Job Control'!$B$3, INPUT_JobSettings!$A:$A, INPUT_JobSettings!$F:$F, "")&lt;&gt;"", XLOOKUP('Job Control'!$B$3, INPUT_JobSettings!$A:$A, INPUT_JobSettings!$F:$F, ""), $B$6), $B$6) + $M139)</f>
        <v/>
      </c>
      <c r="T139">
        <f>IF($A139="","", ($S139+$P139)*IFERROR(IF(XLOOKUP('Job Control'!$B$3, INPUT_JobSettings!$A:$A, INPUT_JobSettings!$G:$G, "")&lt;&gt;"", XLOOKUP('Job Control'!$B$3, INPUT_JobSettings!$A:$A, INPUT_JobSettings!$G:$G, ""), $B$7), $B$7))</f>
        <v/>
      </c>
      <c r="U139">
        <f>IF($A139="","", IFERROR(XLOOKUP($A139, INPUT_Rooms!$B:$B, INPUT_Rooms!$AI:$AI, ""), ""))</f>
        <v/>
      </c>
      <c r="V139">
        <f>IF($A139="","", IF($U139="", 1, IFERROR(XLOOKUP($U139, Constants!$A$160:$A$190, Constants!$C$160:$C$190, 1), 1)))</f>
        <v/>
      </c>
      <c r="W139">
        <f>IF($A139="","", ($D139*IF($U139="",0,IFERROR(XLOOKUP($U139, Constants!$A$160:$A$190, Constants!$D$160:$D$190, 0),0))) )</f>
        <v/>
      </c>
    </row>
    <row r="140">
      <c r="M140">
        <f>IF($A140="","", IFERROR(XLOOKUP($A140, INPUT_Rooms!$B:$B, INPUT_Rooms!$S:$S, 0),0) + $W140)</f>
        <v/>
      </c>
      <c r="N140">
        <f>IF($A140="","",IF($D140="", "", CEILING( ($D140*$H140) / IFERROR(XLOOKUP(XLOOKUP('Job Control'!$B$3, INPUT_JobSettings!$A:$A, INPUT_JobSettings!$C:$C, ""), Constants!$A:$A, Constants!$E:$E, ""),""), 0.25))))</f>
        <v/>
      </c>
      <c r="O140">
        <f>IF($A140="","",IF($G140="None",0,IF($D140="", "", CEILING( ($D140*IF($G140="Full",1, XLOOKUP("PrimerSpotFactor",Constants!$F$20:$F$40,Constants!$G$20:$G$40))) / IFERROR(XLOOKUP(XLOOKUP('Job Control'!$B$3, INPUT_JobSettings!$A:$A, INPUT_JobSettings!$E:$E, ""), Constants!$A:$A, Constants!$E:$E, ""),""), 0.25)))))</f>
        <v/>
      </c>
      <c r="P140">
        <f>IF($A140="","",IF($D140="", "", $N140*IFERROR(XLOOKUP(XLOOKUP('Job Control'!$B$3, INPUT_JobSettings!$A:$A, INPUT_JobSettings!$C:$C, ""), Constants!$A:$A, Constants!$D:$D, 0),0) + $O140*IFERROR(XLOOKUP(XLOOKUP('Job Control'!$B$3, INPUT_JobSettings!$A:$A, INPUT_JobSettings!$E:$E, ""), Constants!$A:$A, Constants!$D:$D, 0),0))))</f>
        <v/>
      </c>
      <c r="Q140">
        <f>IF($A140="","", ($J140+$K140+$L140)*$V140 )</f>
        <v/>
      </c>
      <c r="R140">
        <f>IF($A140="","", $Q140/60)</f>
        <v/>
      </c>
      <c r="S140">
        <f>IF($A140="","", $R140*IFERROR(IF(XLOOKUP('Job Control'!$B$3, INPUT_JobSettings!$A:$A, INPUT_JobSettings!$F:$F, "")&lt;&gt;"", XLOOKUP('Job Control'!$B$3, INPUT_JobSettings!$A:$A, INPUT_JobSettings!$F:$F, ""), $B$6), $B$6) + $M140)</f>
        <v/>
      </c>
      <c r="T140">
        <f>IF($A140="","", ($S140+$P140)*IFERROR(IF(XLOOKUP('Job Control'!$B$3, INPUT_JobSettings!$A:$A, INPUT_JobSettings!$G:$G, "")&lt;&gt;"", XLOOKUP('Job Control'!$B$3, INPUT_JobSettings!$A:$A, INPUT_JobSettings!$G:$G, ""), $B$7), $B$7))</f>
        <v/>
      </c>
      <c r="U140">
        <f>IF($A140="","", IFERROR(XLOOKUP($A140, INPUT_Rooms!$B:$B, INPUT_Rooms!$AI:$AI, ""), ""))</f>
        <v/>
      </c>
      <c r="V140">
        <f>IF($A140="","", IF($U140="", 1, IFERROR(XLOOKUP($U140, Constants!$A$160:$A$190, Constants!$C$160:$C$190, 1), 1)))</f>
        <v/>
      </c>
      <c r="W140">
        <f>IF($A140="","", ($D140*IF($U140="",0,IFERROR(XLOOKUP($U140, Constants!$A$160:$A$190, Constants!$D$160:$D$190, 0),0))) )</f>
        <v/>
      </c>
    </row>
    <row r="141">
      <c r="M141">
        <f>IF($A141="","", IFERROR(XLOOKUP($A141, INPUT_Rooms!$B:$B, INPUT_Rooms!$S:$S, 0),0) + $W141)</f>
        <v/>
      </c>
      <c r="N141">
        <f>IF($A141="","",IF($D141="", "", CEILING( ($D141*$H141) / IFERROR(XLOOKUP(XLOOKUP('Job Control'!$B$3, INPUT_JobSettings!$A:$A, INPUT_JobSettings!$C:$C, ""), Constants!$A:$A, Constants!$E:$E, ""),""), 0.25))))</f>
        <v/>
      </c>
      <c r="O141">
        <f>IF($A141="","",IF($G141="None",0,IF($D141="", "", CEILING( ($D141*IF($G141="Full",1, XLOOKUP("PrimerSpotFactor",Constants!$F$20:$F$40,Constants!$G$20:$G$40))) / IFERROR(XLOOKUP(XLOOKUP('Job Control'!$B$3, INPUT_JobSettings!$A:$A, INPUT_JobSettings!$E:$E, ""), Constants!$A:$A, Constants!$E:$E, ""),""), 0.25)))))</f>
        <v/>
      </c>
      <c r="P141">
        <f>IF($A141="","",IF($D141="", "", $N141*IFERROR(XLOOKUP(XLOOKUP('Job Control'!$B$3, INPUT_JobSettings!$A:$A, INPUT_JobSettings!$C:$C, ""), Constants!$A:$A, Constants!$D:$D, 0),0) + $O141*IFERROR(XLOOKUP(XLOOKUP('Job Control'!$B$3, INPUT_JobSettings!$A:$A, INPUT_JobSettings!$E:$E, ""), Constants!$A:$A, Constants!$D:$D, 0),0))))</f>
        <v/>
      </c>
      <c r="Q141">
        <f>IF($A141="","", ($J141+$K141+$L141)*$V141 )</f>
        <v/>
      </c>
      <c r="R141">
        <f>IF($A141="","", $Q141/60)</f>
        <v/>
      </c>
      <c r="S141">
        <f>IF($A141="","", $R141*IFERROR(IF(XLOOKUP('Job Control'!$B$3, INPUT_JobSettings!$A:$A, INPUT_JobSettings!$F:$F, "")&lt;&gt;"", XLOOKUP('Job Control'!$B$3, INPUT_JobSettings!$A:$A, INPUT_JobSettings!$F:$F, ""), $B$6), $B$6) + $M141)</f>
        <v/>
      </c>
      <c r="T141">
        <f>IF($A141="","", ($S141+$P141)*IFERROR(IF(XLOOKUP('Job Control'!$B$3, INPUT_JobSettings!$A:$A, INPUT_JobSettings!$G:$G, "")&lt;&gt;"", XLOOKUP('Job Control'!$B$3, INPUT_JobSettings!$A:$A, INPUT_JobSettings!$G:$G, ""), $B$7), $B$7))</f>
        <v/>
      </c>
      <c r="U141">
        <f>IF($A141="","", IFERROR(XLOOKUP($A141, INPUT_Rooms!$B:$B, INPUT_Rooms!$AI:$AI, ""), ""))</f>
        <v/>
      </c>
      <c r="V141">
        <f>IF($A141="","", IF($U141="", 1, IFERROR(XLOOKUP($U141, Constants!$A$160:$A$190, Constants!$C$160:$C$190, 1), 1)))</f>
        <v/>
      </c>
      <c r="W141">
        <f>IF($A141="","", ($D141*IF($U141="",0,IFERROR(XLOOKUP($U141, Constants!$A$160:$A$190, Constants!$D$160:$D$190, 0),0))) )</f>
        <v/>
      </c>
    </row>
    <row r="142">
      <c r="M142">
        <f>IF($A142="","", IFERROR(XLOOKUP($A142, INPUT_Rooms!$B:$B, INPUT_Rooms!$S:$S, 0),0) + $W142)</f>
        <v/>
      </c>
      <c r="N142">
        <f>IF($A142="","",IF($D142="", "", CEILING( ($D142*$H142) / IFERROR(XLOOKUP(XLOOKUP('Job Control'!$B$3, INPUT_JobSettings!$A:$A, INPUT_JobSettings!$C:$C, ""), Constants!$A:$A, Constants!$E:$E, ""),""), 0.25))))</f>
        <v/>
      </c>
      <c r="O142">
        <f>IF($A142="","",IF($G142="None",0,IF($D142="", "", CEILING( ($D142*IF($G142="Full",1, XLOOKUP("PrimerSpotFactor",Constants!$F$20:$F$40,Constants!$G$20:$G$40))) / IFERROR(XLOOKUP(XLOOKUP('Job Control'!$B$3, INPUT_JobSettings!$A:$A, INPUT_JobSettings!$E:$E, ""), Constants!$A:$A, Constants!$E:$E, ""),""), 0.25)))))</f>
        <v/>
      </c>
      <c r="P142">
        <f>IF($A142="","",IF($D142="", "", $N142*IFERROR(XLOOKUP(XLOOKUP('Job Control'!$B$3, INPUT_JobSettings!$A:$A, INPUT_JobSettings!$C:$C, ""), Constants!$A:$A, Constants!$D:$D, 0),0) + $O142*IFERROR(XLOOKUP(XLOOKUP('Job Control'!$B$3, INPUT_JobSettings!$A:$A, INPUT_JobSettings!$E:$E, ""), Constants!$A:$A, Constants!$D:$D, 0),0))))</f>
        <v/>
      </c>
      <c r="Q142">
        <f>IF($A142="","", ($J142+$K142+$L142)*$V142 )</f>
        <v/>
      </c>
      <c r="R142">
        <f>IF($A142="","", $Q142/60)</f>
        <v/>
      </c>
      <c r="S142">
        <f>IF($A142="","", $R142*IFERROR(IF(XLOOKUP('Job Control'!$B$3, INPUT_JobSettings!$A:$A, INPUT_JobSettings!$F:$F, "")&lt;&gt;"", XLOOKUP('Job Control'!$B$3, INPUT_JobSettings!$A:$A, INPUT_JobSettings!$F:$F, ""), $B$6), $B$6) + $M142)</f>
        <v/>
      </c>
      <c r="T142">
        <f>IF($A142="","", ($S142+$P142)*IFERROR(IF(XLOOKUP('Job Control'!$B$3, INPUT_JobSettings!$A:$A, INPUT_JobSettings!$G:$G, "")&lt;&gt;"", XLOOKUP('Job Control'!$B$3, INPUT_JobSettings!$A:$A, INPUT_JobSettings!$G:$G, ""), $B$7), $B$7))</f>
        <v/>
      </c>
      <c r="U142">
        <f>IF($A142="","", IFERROR(XLOOKUP($A142, INPUT_Rooms!$B:$B, INPUT_Rooms!$AI:$AI, ""), ""))</f>
        <v/>
      </c>
      <c r="V142">
        <f>IF($A142="","", IF($U142="", 1, IFERROR(XLOOKUP($U142, Constants!$A$160:$A$190, Constants!$C$160:$C$190, 1), 1)))</f>
        <v/>
      </c>
      <c r="W142">
        <f>IF($A142="","", ($D142*IF($U142="",0,IFERROR(XLOOKUP($U142, Constants!$A$160:$A$190, Constants!$D$160:$D$190, 0),0))) )</f>
        <v/>
      </c>
    </row>
    <row r="143">
      <c r="M143">
        <f>IF($A143="","", IFERROR(XLOOKUP($A143, INPUT_Rooms!$B:$B, INPUT_Rooms!$S:$S, 0),0) + $W143)</f>
        <v/>
      </c>
      <c r="N143">
        <f>IF($A143="","",IF($D143="", "", CEILING( ($D143*$H143) / IFERROR(XLOOKUP(XLOOKUP('Job Control'!$B$3, INPUT_JobSettings!$A:$A, INPUT_JobSettings!$C:$C, ""), Constants!$A:$A, Constants!$E:$E, ""),""), 0.25))))</f>
        <v/>
      </c>
      <c r="O143">
        <f>IF($A143="","",IF($G143="None",0,IF($D143="", "", CEILING( ($D143*IF($G143="Full",1, XLOOKUP("PrimerSpotFactor",Constants!$F$20:$F$40,Constants!$G$20:$G$40))) / IFERROR(XLOOKUP(XLOOKUP('Job Control'!$B$3, INPUT_JobSettings!$A:$A, INPUT_JobSettings!$E:$E, ""), Constants!$A:$A, Constants!$E:$E, ""),""), 0.25)))))</f>
        <v/>
      </c>
      <c r="P143">
        <f>IF($A143="","",IF($D143="", "", $N143*IFERROR(XLOOKUP(XLOOKUP('Job Control'!$B$3, INPUT_JobSettings!$A:$A, INPUT_JobSettings!$C:$C, ""), Constants!$A:$A, Constants!$D:$D, 0),0) + $O143*IFERROR(XLOOKUP(XLOOKUP('Job Control'!$B$3, INPUT_JobSettings!$A:$A, INPUT_JobSettings!$E:$E, ""), Constants!$A:$A, Constants!$D:$D, 0),0))))</f>
        <v/>
      </c>
      <c r="Q143">
        <f>IF($A143="","", ($J143+$K143+$L143)*$V143 )</f>
        <v/>
      </c>
      <c r="R143">
        <f>IF($A143="","", $Q143/60)</f>
        <v/>
      </c>
      <c r="S143">
        <f>IF($A143="","", $R143*IFERROR(IF(XLOOKUP('Job Control'!$B$3, INPUT_JobSettings!$A:$A, INPUT_JobSettings!$F:$F, "")&lt;&gt;"", XLOOKUP('Job Control'!$B$3, INPUT_JobSettings!$A:$A, INPUT_JobSettings!$F:$F, ""), $B$6), $B$6) + $M143)</f>
        <v/>
      </c>
      <c r="T143">
        <f>IF($A143="","", ($S143+$P143)*IFERROR(IF(XLOOKUP('Job Control'!$B$3, INPUT_JobSettings!$A:$A, INPUT_JobSettings!$G:$G, "")&lt;&gt;"", XLOOKUP('Job Control'!$B$3, INPUT_JobSettings!$A:$A, INPUT_JobSettings!$G:$G, ""), $B$7), $B$7))</f>
        <v/>
      </c>
      <c r="U143">
        <f>IF($A143="","", IFERROR(XLOOKUP($A143, INPUT_Rooms!$B:$B, INPUT_Rooms!$AI:$AI, ""), ""))</f>
        <v/>
      </c>
      <c r="V143">
        <f>IF($A143="","", IF($U143="", 1, IFERROR(XLOOKUP($U143, Constants!$A$160:$A$190, Constants!$C$160:$C$190, 1), 1)))</f>
        <v/>
      </c>
      <c r="W143">
        <f>IF($A143="","", ($D143*IF($U143="",0,IFERROR(XLOOKUP($U143, Constants!$A$160:$A$190, Constants!$D$160:$D$190, 0),0))) )</f>
        <v/>
      </c>
    </row>
    <row r="144">
      <c r="M144">
        <f>IF($A144="","", IFERROR(XLOOKUP($A144, INPUT_Rooms!$B:$B, INPUT_Rooms!$S:$S, 0),0) + $W144)</f>
        <v/>
      </c>
      <c r="N144">
        <f>IF($A144="","",IF($D144="", "", CEILING( ($D144*$H144) / IFERROR(XLOOKUP(XLOOKUP('Job Control'!$B$3, INPUT_JobSettings!$A:$A, INPUT_JobSettings!$C:$C, ""), Constants!$A:$A, Constants!$E:$E, ""),""), 0.25))))</f>
        <v/>
      </c>
      <c r="O144">
        <f>IF($A144="","",IF($G144="None",0,IF($D144="", "", CEILING( ($D144*IF($G144="Full",1, XLOOKUP("PrimerSpotFactor",Constants!$F$20:$F$40,Constants!$G$20:$G$40))) / IFERROR(XLOOKUP(XLOOKUP('Job Control'!$B$3, INPUT_JobSettings!$A:$A, INPUT_JobSettings!$E:$E, ""), Constants!$A:$A, Constants!$E:$E, ""),""), 0.25)))))</f>
        <v/>
      </c>
      <c r="P144">
        <f>IF($A144="","",IF($D144="", "", $N144*IFERROR(XLOOKUP(XLOOKUP('Job Control'!$B$3, INPUT_JobSettings!$A:$A, INPUT_JobSettings!$C:$C, ""), Constants!$A:$A, Constants!$D:$D, 0),0) + $O144*IFERROR(XLOOKUP(XLOOKUP('Job Control'!$B$3, INPUT_JobSettings!$A:$A, INPUT_JobSettings!$E:$E, ""), Constants!$A:$A, Constants!$D:$D, 0),0))))</f>
        <v/>
      </c>
      <c r="Q144">
        <f>IF($A144="","", ($J144+$K144+$L144)*$V144 )</f>
        <v/>
      </c>
      <c r="R144">
        <f>IF($A144="","", $Q144/60)</f>
        <v/>
      </c>
      <c r="S144">
        <f>IF($A144="","", $R144*IFERROR(IF(XLOOKUP('Job Control'!$B$3, INPUT_JobSettings!$A:$A, INPUT_JobSettings!$F:$F, "")&lt;&gt;"", XLOOKUP('Job Control'!$B$3, INPUT_JobSettings!$A:$A, INPUT_JobSettings!$F:$F, ""), $B$6), $B$6) + $M144)</f>
        <v/>
      </c>
      <c r="T144">
        <f>IF($A144="","", ($S144+$P144)*IFERROR(IF(XLOOKUP('Job Control'!$B$3, INPUT_JobSettings!$A:$A, INPUT_JobSettings!$G:$G, "")&lt;&gt;"", XLOOKUP('Job Control'!$B$3, INPUT_JobSettings!$A:$A, INPUT_JobSettings!$G:$G, ""), $B$7), $B$7))</f>
        <v/>
      </c>
      <c r="U144">
        <f>IF($A144="","", IFERROR(XLOOKUP($A144, INPUT_Rooms!$B:$B, INPUT_Rooms!$AI:$AI, ""), ""))</f>
        <v/>
      </c>
      <c r="V144">
        <f>IF($A144="","", IF($U144="", 1, IFERROR(XLOOKUP($U144, Constants!$A$160:$A$190, Constants!$C$160:$C$190, 1), 1)))</f>
        <v/>
      </c>
      <c r="W144">
        <f>IF($A144="","", ($D144*IF($U144="",0,IFERROR(XLOOKUP($U144, Constants!$A$160:$A$190, Constants!$D$160:$D$190, 0),0))) )</f>
        <v/>
      </c>
    </row>
    <row r="145">
      <c r="M145">
        <f>IF($A145="","", IFERROR(XLOOKUP($A145, INPUT_Rooms!$B:$B, INPUT_Rooms!$S:$S, 0),0) + $W145)</f>
        <v/>
      </c>
      <c r="N145">
        <f>IF($A145="","",IF($D145="", "", CEILING( ($D145*$H145) / IFERROR(XLOOKUP(XLOOKUP('Job Control'!$B$3, INPUT_JobSettings!$A:$A, INPUT_JobSettings!$C:$C, ""), Constants!$A:$A, Constants!$E:$E, ""),""), 0.25))))</f>
        <v/>
      </c>
      <c r="O145">
        <f>IF($A145="","",IF($G145="None",0,IF($D145="", "", CEILING( ($D145*IF($G145="Full",1, XLOOKUP("PrimerSpotFactor",Constants!$F$20:$F$40,Constants!$G$20:$G$40))) / IFERROR(XLOOKUP(XLOOKUP('Job Control'!$B$3, INPUT_JobSettings!$A:$A, INPUT_JobSettings!$E:$E, ""), Constants!$A:$A, Constants!$E:$E, ""),""), 0.25)))))</f>
        <v/>
      </c>
      <c r="P145">
        <f>IF($A145="","",IF($D145="", "", $N145*IFERROR(XLOOKUP(XLOOKUP('Job Control'!$B$3, INPUT_JobSettings!$A:$A, INPUT_JobSettings!$C:$C, ""), Constants!$A:$A, Constants!$D:$D, 0),0) + $O145*IFERROR(XLOOKUP(XLOOKUP('Job Control'!$B$3, INPUT_JobSettings!$A:$A, INPUT_JobSettings!$E:$E, ""), Constants!$A:$A, Constants!$D:$D, 0),0))))</f>
        <v/>
      </c>
      <c r="Q145">
        <f>IF($A145="","", ($J145+$K145+$L145)*$V145 )</f>
        <v/>
      </c>
      <c r="R145">
        <f>IF($A145="","", $Q145/60)</f>
        <v/>
      </c>
      <c r="S145">
        <f>IF($A145="","", $R145*IFERROR(IF(XLOOKUP('Job Control'!$B$3, INPUT_JobSettings!$A:$A, INPUT_JobSettings!$F:$F, "")&lt;&gt;"", XLOOKUP('Job Control'!$B$3, INPUT_JobSettings!$A:$A, INPUT_JobSettings!$F:$F, ""), $B$6), $B$6) + $M145)</f>
        <v/>
      </c>
      <c r="T145">
        <f>IF($A145="","", ($S145+$P145)*IFERROR(IF(XLOOKUP('Job Control'!$B$3, INPUT_JobSettings!$A:$A, INPUT_JobSettings!$G:$G, "")&lt;&gt;"", XLOOKUP('Job Control'!$B$3, INPUT_JobSettings!$A:$A, INPUT_JobSettings!$G:$G, ""), $B$7), $B$7))</f>
        <v/>
      </c>
      <c r="U145">
        <f>IF($A145="","", IFERROR(XLOOKUP($A145, INPUT_Rooms!$B:$B, INPUT_Rooms!$AI:$AI, ""), ""))</f>
        <v/>
      </c>
      <c r="V145">
        <f>IF($A145="","", IF($U145="", 1, IFERROR(XLOOKUP($U145, Constants!$A$160:$A$190, Constants!$C$160:$C$190, 1), 1)))</f>
        <v/>
      </c>
      <c r="W145">
        <f>IF($A145="","", ($D145*IF($U145="",0,IFERROR(XLOOKUP($U145, Constants!$A$160:$A$190, Constants!$D$160:$D$190, 0),0))) )</f>
        <v/>
      </c>
    </row>
    <row r="146">
      <c r="M146">
        <f>IF($A146="","", IFERROR(XLOOKUP($A146, INPUT_Rooms!$B:$B, INPUT_Rooms!$S:$S, 0),0) + $W146)</f>
        <v/>
      </c>
      <c r="N146">
        <f>IF($A146="","",IF($D146="", "", CEILING( ($D146*$H146) / IFERROR(XLOOKUP(XLOOKUP('Job Control'!$B$3, INPUT_JobSettings!$A:$A, INPUT_JobSettings!$C:$C, ""), Constants!$A:$A, Constants!$E:$E, ""),""), 0.25))))</f>
        <v/>
      </c>
      <c r="O146">
        <f>IF($A146="","",IF($G146="None",0,IF($D146="", "", CEILING( ($D146*IF($G146="Full",1, XLOOKUP("PrimerSpotFactor",Constants!$F$20:$F$40,Constants!$G$20:$G$40))) / IFERROR(XLOOKUP(XLOOKUP('Job Control'!$B$3, INPUT_JobSettings!$A:$A, INPUT_JobSettings!$E:$E, ""), Constants!$A:$A, Constants!$E:$E, ""),""), 0.25)))))</f>
        <v/>
      </c>
      <c r="P146">
        <f>IF($A146="","",IF($D146="", "", $N146*IFERROR(XLOOKUP(XLOOKUP('Job Control'!$B$3, INPUT_JobSettings!$A:$A, INPUT_JobSettings!$C:$C, ""), Constants!$A:$A, Constants!$D:$D, 0),0) + $O146*IFERROR(XLOOKUP(XLOOKUP('Job Control'!$B$3, INPUT_JobSettings!$A:$A, INPUT_JobSettings!$E:$E, ""), Constants!$A:$A, Constants!$D:$D, 0),0))))</f>
        <v/>
      </c>
      <c r="Q146">
        <f>IF($A146="","", ($J146+$K146+$L146)*$V146 )</f>
        <v/>
      </c>
      <c r="R146">
        <f>IF($A146="","", $Q146/60)</f>
        <v/>
      </c>
      <c r="S146">
        <f>IF($A146="","", $R146*IFERROR(IF(XLOOKUP('Job Control'!$B$3, INPUT_JobSettings!$A:$A, INPUT_JobSettings!$F:$F, "")&lt;&gt;"", XLOOKUP('Job Control'!$B$3, INPUT_JobSettings!$A:$A, INPUT_JobSettings!$F:$F, ""), $B$6), $B$6) + $M146)</f>
        <v/>
      </c>
      <c r="T146">
        <f>IF($A146="","", ($S146+$P146)*IFERROR(IF(XLOOKUP('Job Control'!$B$3, INPUT_JobSettings!$A:$A, INPUT_JobSettings!$G:$G, "")&lt;&gt;"", XLOOKUP('Job Control'!$B$3, INPUT_JobSettings!$A:$A, INPUT_JobSettings!$G:$G, ""), $B$7), $B$7))</f>
        <v/>
      </c>
      <c r="U146">
        <f>IF($A146="","", IFERROR(XLOOKUP($A146, INPUT_Rooms!$B:$B, INPUT_Rooms!$AI:$AI, ""), ""))</f>
        <v/>
      </c>
      <c r="V146">
        <f>IF($A146="","", IF($U146="", 1, IFERROR(XLOOKUP($U146, Constants!$A$160:$A$190, Constants!$C$160:$C$190, 1), 1)))</f>
        <v/>
      </c>
      <c r="W146">
        <f>IF($A146="","", ($D146*IF($U146="",0,IFERROR(XLOOKUP($U146, Constants!$A$160:$A$190, Constants!$D$160:$D$190, 0),0))) )</f>
        <v/>
      </c>
    </row>
    <row r="147">
      <c r="M147">
        <f>IF($A147="","", IFERROR(XLOOKUP($A147, INPUT_Rooms!$B:$B, INPUT_Rooms!$S:$S, 0),0) + $W147)</f>
        <v/>
      </c>
      <c r="N147">
        <f>IF($A147="","",IF($D147="", "", CEILING( ($D147*$H147) / IFERROR(XLOOKUP(XLOOKUP('Job Control'!$B$3, INPUT_JobSettings!$A:$A, INPUT_JobSettings!$C:$C, ""), Constants!$A:$A, Constants!$E:$E, ""),""), 0.25))))</f>
        <v/>
      </c>
      <c r="O147">
        <f>IF($A147="","",IF($G147="None",0,IF($D147="", "", CEILING( ($D147*IF($G147="Full",1, XLOOKUP("PrimerSpotFactor",Constants!$F$20:$F$40,Constants!$G$20:$G$40))) / IFERROR(XLOOKUP(XLOOKUP('Job Control'!$B$3, INPUT_JobSettings!$A:$A, INPUT_JobSettings!$E:$E, ""), Constants!$A:$A, Constants!$E:$E, ""),""), 0.25)))))</f>
        <v/>
      </c>
      <c r="P147">
        <f>IF($A147="","",IF($D147="", "", $N147*IFERROR(XLOOKUP(XLOOKUP('Job Control'!$B$3, INPUT_JobSettings!$A:$A, INPUT_JobSettings!$C:$C, ""), Constants!$A:$A, Constants!$D:$D, 0),0) + $O147*IFERROR(XLOOKUP(XLOOKUP('Job Control'!$B$3, INPUT_JobSettings!$A:$A, INPUT_JobSettings!$E:$E, ""), Constants!$A:$A, Constants!$D:$D, 0),0))))</f>
        <v/>
      </c>
      <c r="Q147">
        <f>IF($A147="","", ($J147+$K147+$L147)*$V147 )</f>
        <v/>
      </c>
      <c r="R147">
        <f>IF($A147="","", $Q147/60)</f>
        <v/>
      </c>
      <c r="S147">
        <f>IF($A147="","", $R147*IFERROR(IF(XLOOKUP('Job Control'!$B$3, INPUT_JobSettings!$A:$A, INPUT_JobSettings!$F:$F, "")&lt;&gt;"", XLOOKUP('Job Control'!$B$3, INPUT_JobSettings!$A:$A, INPUT_JobSettings!$F:$F, ""), $B$6), $B$6) + $M147)</f>
        <v/>
      </c>
      <c r="T147">
        <f>IF($A147="","", ($S147+$P147)*IFERROR(IF(XLOOKUP('Job Control'!$B$3, INPUT_JobSettings!$A:$A, INPUT_JobSettings!$G:$G, "")&lt;&gt;"", XLOOKUP('Job Control'!$B$3, INPUT_JobSettings!$A:$A, INPUT_JobSettings!$G:$G, ""), $B$7), $B$7))</f>
        <v/>
      </c>
      <c r="U147">
        <f>IF($A147="","", IFERROR(XLOOKUP($A147, INPUT_Rooms!$B:$B, INPUT_Rooms!$AI:$AI, ""), ""))</f>
        <v/>
      </c>
      <c r="V147">
        <f>IF($A147="","", IF($U147="", 1, IFERROR(XLOOKUP($U147, Constants!$A$160:$A$190, Constants!$C$160:$C$190, 1), 1)))</f>
        <v/>
      </c>
      <c r="W147">
        <f>IF($A147="","", ($D147*IF($U147="",0,IFERROR(XLOOKUP($U147, Constants!$A$160:$A$190, Constants!$D$160:$D$190, 0),0))) )</f>
        <v/>
      </c>
    </row>
    <row r="148">
      <c r="M148">
        <f>IF($A148="","", IFERROR(XLOOKUP($A148, INPUT_Rooms!$B:$B, INPUT_Rooms!$S:$S, 0),0) + $W148)</f>
        <v/>
      </c>
      <c r="N148">
        <f>IF($A148="","",IF($D148="", "", CEILING( ($D148*$H148) / IFERROR(XLOOKUP(XLOOKUP('Job Control'!$B$3, INPUT_JobSettings!$A:$A, INPUT_JobSettings!$C:$C, ""), Constants!$A:$A, Constants!$E:$E, ""),""), 0.25))))</f>
        <v/>
      </c>
      <c r="O148">
        <f>IF($A148="","",IF($G148="None",0,IF($D148="", "", CEILING( ($D148*IF($G148="Full",1, XLOOKUP("PrimerSpotFactor",Constants!$F$20:$F$40,Constants!$G$20:$G$40))) / IFERROR(XLOOKUP(XLOOKUP('Job Control'!$B$3, INPUT_JobSettings!$A:$A, INPUT_JobSettings!$E:$E, ""), Constants!$A:$A, Constants!$E:$E, ""),""), 0.25)))))</f>
        <v/>
      </c>
      <c r="P148">
        <f>IF($A148="","",IF($D148="", "", $N148*IFERROR(XLOOKUP(XLOOKUP('Job Control'!$B$3, INPUT_JobSettings!$A:$A, INPUT_JobSettings!$C:$C, ""), Constants!$A:$A, Constants!$D:$D, 0),0) + $O148*IFERROR(XLOOKUP(XLOOKUP('Job Control'!$B$3, INPUT_JobSettings!$A:$A, INPUT_JobSettings!$E:$E, ""), Constants!$A:$A, Constants!$D:$D, 0),0))))</f>
        <v/>
      </c>
      <c r="Q148">
        <f>IF($A148="","", ($J148+$K148+$L148)*$V148 )</f>
        <v/>
      </c>
      <c r="R148">
        <f>IF($A148="","", $Q148/60)</f>
        <v/>
      </c>
      <c r="S148">
        <f>IF($A148="","", $R148*IFERROR(IF(XLOOKUP('Job Control'!$B$3, INPUT_JobSettings!$A:$A, INPUT_JobSettings!$F:$F, "")&lt;&gt;"", XLOOKUP('Job Control'!$B$3, INPUT_JobSettings!$A:$A, INPUT_JobSettings!$F:$F, ""), $B$6), $B$6) + $M148)</f>
        <v/>
      </c>
      <c r="T148">
        <f>IF($A148="","", ($S148+$P148)*IFERROR(IF(XLOOKUP('Job Control'!$B$3, INPUT_JobSettings!$A:$A, INPUT_JobSettings!$G:$G, "")&lt;&gt;"", XLOOKUP('Job Control'!$B$3, INPUT_JobSettings!$A:$A, INPUT_JobSettings!$G:$G, ""), $B$7), $B$7))</f>
        <v/>
      </c>
      <c r="U148">
        <f>IF($A148="","", IFERROR(XLOOKUP($A148, INPUT_Rooms!$B:$B, INPUT_Rooms!$AI:$AI, ""), ""))</f>
        <v/>
      </c>
      <c r="V148">
        <f>IF($A148="","", IF($U148="", 1, IFERROR(XLOOKUP($U148, Constants!$A$160:$A$190, Constants!$C$160:$C$190, 1), 1)))</f>
        <v/>
      </c>
      <c r="W148">
        <f>IF($A148="","", ($D148*IF($U148="",0,IFERROR(XLOOKUP($U148, Constants!$A$160:$A$190, Constants!$D$160:$D$190, 0),0))) )</f>
        <v/>
      </c>
    </row>
    <row r="149">
      <c r="M149">
        <f>IF($A149="","", IFERROR(XLOOKUP($A149, INPUT_Rooms!$B:$B, INPUT_Rooms!$S:$S, 0),0) + $W149)</f>
        <v/>
      </c>
      <c r="N149">
        <f>IF($A149="","",IF($D149="", "", CEILING( ($D149*$H149) / IFERROR(XLOOKUP(XLOOKUP('Job Control'!$B$3, INPUT_JobSettings!$A:$A, INPUT_JobSettings!$C:$C, ""), Constants!$A:$A, Constants!$E:$E, ""),""), 0.25))))</f>
        <v/>
      </c>
      <c r="O149">
        <f>IF($A149="","",IF($G149="None",0,IF($D149="", "", CEILING( ($D149*IF($G149="Full",1, XLOOKUP("PrimerSpotFactor",Constants!$F$20:$F$40,Constants!$G$20:$G$40))) / IFERROR(XLOOKUP(XLOOKUP('Job Control'!$B$3, INPUT_JobSettings!$A:$A, INPUT_JobSettings!$E:$E, ""), Constants!$A:$A, Constants!$E:$E, ""),""), 0.25)))))</f>
        <v/>
      </c>
      <c r="P149">
        <f>IF($A149="","",IF($D149="", "", $N149*IFERROR(XLOOKUP(XLOOKUP('Job Control'!$B$3, INPUT_JobSettings!$A:$A, INPUT_JobSettings!$C:$C, ""), Constants!$A:$A, Constants!$D:$D, 0),0) + $O149*IFERROR(XLOOKUP(XLOOKUP('Job Control'!$B$3, INPUT_JobSettings!$A:$A, INPUT_JobSettings!$E:$E, ""), Constants!$A:$A, Constants!$D:$D, 0),0))))</f>
        <v/>
      </c>
      <c r="Q149">
        <f>IF($A149="","", ($J149+$K149+$L149)*$V149 )</f>
        <v/>
      </c>
      <c r="R149">
        <f>IF($A149="","", $Q149/60)</f>
        <v/>
      </c>
      <c r="S149">
        <f>IF($A149="","", $R149*IFERROR(IF(XLOOKUP('Job Control'!$B$3, INPUT_JobSettings!$A:$A, INPUT_JobSettings!$F:$F, "")&lt;&gt;"", XLOOKUP('Job Control'!$B$3, INPUT_JobSettings!$A:$A, INPUT_JobSettings!$F:$F, ""), $B$6), $B$6) + $M149)</f>
        <v/>
      </c>
      <c r="T149">
        <f>IF($A149="","", ($S149+$P149)*IFERROR(IF(XLOOKUP('Job Control'!$B$3, INPUT_JobSettings!$A:$A, INPUT_JobSettings!$G:$G, "")&lt;&gt;"", XLOOKUP('Job Control'!$B$3, INPUT_JobSettings!$A:$A, INPUT_JobSettings!$G:$G, ""), $B$7), $B$7))</f>
        <v/>
      </c>
      <c r="U149">
        <f>IF($A149="","", IFERROR(XLOOKUP($A149, INPUT_Rooms!$B:$B, INPUT_Rooms!$AI:$AI, ""), ""))</f>
        <v/>
      </c>
      <c r="V149">
        <f>IF($A149="","", IF($U149="", 1, IFERROR(XLOOKUP($U149, Constants!$A$160:$A$190, Constants!$C$160:$C$190, 1), 1)))</f>
        <v/>
      </c>
      <c r="W149">
        <f>IF($A149="","", ($D149*IF($U149="",0,IFERROR(XLOOKUP($U149, Constants!$A$160:$A$190, Constants!$D$160:$D$190, 0),0))) )</f>
        <v/>
      </c>
    </row>
    <row r="150">
      <c r="M150">
        <f>IF($A150="","", IFERROR(XLOOKUP($A150, INPUT_Rooms!$B:$B, INPUT_Rooms!$S:$S, 0),0) + $W150)</f>
        <v/>
      </c>
      <c r="N150">
        <f>IF($A150="","",IF($D150="", "", CEILING( ($D150*$H150) / IFERROR(XLOOKUP(XLOOKUP('Job Control'!$B$3, INPUT_JobSettings!$A:$A, INPUT_JobSettings!$C:$C, ""), Constants!$A:$A, Constants!$E:$E, ""),""), 0.25))))</f>
        <v/>
      </c>
      <c r="O150">
        <f>IF($A150="","",IF($G150="None",0,IF($D150="", "", CEILING( ($D150*IF($G150="Full",1, XLOOKUP("PrimerSpotFactor",Constants!$F$20:$F$40,Constants!$G$20:$G$40))) / IFERROR(XLOOKUP(XLOOKUP('Job Control'!$B$3, INPUT_JobSettings!$A:$A, INPUT_JobSettings!$E:$E, ""), Constants!$A:$A, Constants!$E:$E, ""),""), 0.25)))))</f>
        <v/>
      </c>
      <c r="P150">
        <f>IF($A150="","",IF($D150="", "", $N150*IFERROR(XLOOKUP(XLOOKUP('Job Control'!$B$3, INPUT_JobSettings!$A:$A, INPUT_JobSettings!$C:$C, ""), Constants!$A:$A, Constants!$D:$D, 0),0) + $O150*IFERROR(XLOOKUP(XLOOKUP('Job Control'!$B$3, INPUT_JobSettings!$A:$A, INPUT_JobSettings!$E:$E, ""), Constants!$A:$A, Constants!$D:$D, 0),0))))</f>
        <v/>
      </c>
      <c r="Q150">
        <f>IF($A150="","", ($J150+$K150+$L150)*$V150 )</f>
        <v/>
      </c>
      <c r="R150">
        <f>IF($A150="","", $Q150/60)</f>
        <v/>
      </c>
      <c r="S150">
        <f>IF($A150="","", $R150*IFERROR(IF(XLOOKUP('Job Control'!$B$3, INPUT_JobSettings!$A:$A, INPUT_JobSettings!$F:$F, "")&lt;&gt;"", XLOOKUP('Job Control'!$B$3, INPUT_JobSettings!$A:$A, INPUT_JobSettings!$F:$F, ""), $B$6), $B$6) + $M150)</f>
        <v/>
      </c>
      <c r="T150">
        <f>IF($A150="","", ($S150+$P150)*IFERROR(IF(XLOOKUP('Job Control'!$B$3, INPUT_JobSettings!$A:$A, INPUT_JobSettings!$G:$G, "")&lt;&gt;"", XLOOKUP('Job Control'!$B$3, INPUT_JobSettings!$A:$A, INPUT_JobSettings!$G:$G, ""), $B$7), $B$7))</f>
        <v/>
      </c>
      <c r="U150">
        <f>IF($A150="","", IFERROR(XLOOKUP($A150, INPUT_Rooms!$B:$B, INPUT_Rooms!$AI:$AI, ""), ""))</f>
        <v/>
      </c>
      <c r="V150">
        <f>IF($A150="","", IF($U150="", 1, IFERROR(XLOOKUP($U150, Constants!$A$160:$A$190, Constants!$C$160:$C$190, 1), 1)))</f>
        <v/>
      </c>
      <c r="W150">
        <f>IF($A150="","", ($D150*IF($U150="",0,IFERROR(XLOOKUP($U150, Constants!$A$160:$A$190, Constants!$D$160:$D$190, 0),0))) )</f>
        <v/>
      </c>
    </row>
    <row r="151">
      <c r="M151">
        <f>IF($A151="","", IFERROR(XLOOKUP($A151, INPUT_Rooms!$B:$B, INPUT_Rooms!$S:$S, 0),0) + $W151)</f>
        <v/>
      </c>
      <c r="N151">
        <f>IF($A151="","",IF($D151="", "", CEILING( ($D151*$H151) / IFERROR(XLOOKUP(XLOOKUP('Job Control'!$B$3, INPUT_JobSettings!$A:$A, INPUT_JobSettings!$C:$C, ""), Constants!$A:$A, Constants!$E:$E, ""),""), 0.25))))</f>
        <v/>
      </c>
      <c r="O151">
        <f>IF($A151="","",IF($G151="None",0,IF($D151="", "", CEILING( ($D151*IF($G151="Full",1, XLOOKUP("PrimerSpotFactor",Constants!$F$20:$F$40,Constants!$G$20:$G$40))) / IFERROR(XLOOKUP(XLOOKUP('Job Control'!$B$3, INPUT_JobSettings!$A:$A, INPUT_JobSettings!$E:$E, ""), Constants!$A:$A, Constants!$E:$E, ""),""), 0.25)))))</f>
        <v/>
      </c>
      <c r="P151">
        <f>IF($A151="","",IF($D151="", "", $N151*IFERROR(XLOOKUP(XLOOKUP('Job Control'!$B$3, INPUT_JobSettings!$A:$A, INPUT_JobSettings!$C:$C, ""), Constants!$A:$A, Constants!$D:$D, 0),0) + $O151*IFERROR(XLOOKUP(XLOOKUP('Job Control'!$B$3, INPUT_JobSettings!$A:$A, INPUT_JobSettings!$E:$E, ""), Constants!$A:$A, Constants!$D:$D, 0),0))))</f>
        <v/>
      </c>
      <c r="Q151">
        <f>IF($A151="","", ($J151+$K151+$L151)*$V151 )</f>
        <v/>
      </c>
      <c r="R151">
        <f>IF($A151="","", $Q151/60)</f>
        <v/>
      </c>
      <c r="S151">
        <f>IF($A151="","", $R151*IFERROR(IF(XLOOKUP('Job Control'!$B$3, INPUT_JobSettings!$A:$A, INPUT_JobSettings!$F:$F, "")&lt;&gt;"", XLOOKUP('Job Control'!$B$3, INPUT_JobSettings!$A:$A, INPUT_JobSettings!$F:$F, ""), $B$6), $B$6) + $M151)</f>
        <v/>
      </c>
      <c r="T151">
        <f>IF($A151="","", ($S151+$P151)*IFERROR(IF(XLOOKUP('Job Control'!$B$3, INPUT_JobSettings!$A:$A, INPUT_JobSettings!$G:$G, "")&lt;&gt;"", XLOOKUP('Job Control'!$B$3, INPUT_JobSettings!$A:$A, INPUT_JobSettings!$G:$G, ""), $B$7), $B$7))</f>
        <v/>
      </c>
      <c r="U151">
        <f>IF($A151="","", IFERROR(XLOOKUP($A151, INPUT_Rooms!$B:$B, INPUT_Rooms!$AI:$AI, ""), ""))</f>
        <v/>
      </c>
      <c r="V151">
        <f>IF($A151="","", IF($U151="", 1, IFERROR(XLOOKUP($U151, Constants!$A$160:$A$190, Constants!$C$160:$C$190, 1), 1)))</f>
        <v/>
      </c>
      <c r="W151">
        <f>IF($A151="","", ($D151*IF($U151="",0,IFERROR(XLOOKUP($U151, Constants!$A$160:$A$190, Constants!$D$160:$D$190, 0),0))) )</f>
        <v/>
      </c>
    </row>
    <row r="152">
      <c r="M152">
        <f>IF($A152="","", IFERROR(XLOOKUP($A152, INPUT_Rooms!$B:$B, INPUT_Rooms!$S:$S, 0),0) + $W152)</f>
        <v/>
      </c>
      <c r="N152">
        <f>IF($A152="","",IF($D152="", "", CEILING( ($D152*$H152) / IFERROR(XLOOKUP(XLOOKUP('Job Control'!$B$3, INPUT_JobSettings!$A:$A, INPUT_JobSettings!$C:$C, ""), Constants!$A:$A, Constants!$E:$E, ""),""), 0.25))))</f>
        <v/>
      </c>
      <c r="O152">
        <f>IF($A152="","",IF($G152="None",0,IF($D152="", "", CEILING( ($D152*IF($G152="Full",1, XLOOKUP("PrimerSpotFactor",Constants!$F$20:$F$40,Constants!$G$20:$G$40))) / IFERROR(XLOOKUP(XLOOKUP('Job Control'!$B$3, INPUT_JobSettings!$A:$A, INPUT_JobSettings!$E:$E, ""), Constants!$A:$A, Constants!$E:$E, ""),""), 0.25)))))</f>
        <v/>
      </c>
      <c r="P152">
        <f>IF($A152="","",IF($D152="", "", $N152*IFERROR(XLOOKUP(XLOOKUP('Job Control'!$B$3, INPUT_JobSettings!$A:$A, INPUT_JobSettings!$C:$C, ""), Constants!$A:$A, Constants!$D:$D, 0),0) + $O152*IFERROR(XLOOKUP(XLOOKUP('Job Control'!$B$3, INPUT_JobSettings!$A:$A, INPUT_JobSettings!$E:$E, ""), Constants!$A:$A, Constants!$D:$D, 0),0))))</f>
        <v/>
      </c>
      <c r="Q152">
        <f>IF($A152="","", ($J152+$K152+$L152)*$V152 )</f>
        <v/>
      </c>
      <c r="R152">
        <f>IF($A152="","", $Q152/60)</f>
        <v/>
      </c>
      <c r="S152">
        <f>IF($A152="","", $R152*IFERROR(IF(XLOOKUP('Job Control'!$B$3, INPUT_JobSettings!$A:$A, INPUT_JobSettings!$F:$F, "")&lt;&gt;"", XLOOKUP('Job Control'!$B$3, INPUT_JobSettings!$A:$A, INPUT_JobSettings!$F:$F, ""), $B$6), $B$6) + $M152)</f>
        <v/>
      </c>
      <c r="T152">
        <f>IF($A152="","", ($S152+$P152)*IFERROR(IF(XLOOKUP('Job Control'!$B$3, INPUT_JobSettings!$A:$A, INPUT_JobSettings!$G:$G, "")&lt;&gt;"", XLOOKUP('Job Control'!$B$3, INPUT_JobSettings!$A:$A, INPUT_JobSettings!$G:$G, ""), $B$7), $B$7))</f>
        <v/>
      </c>
      <c r="U152">
        <f>IF($A152="","", IFERROR(XLOOKUP($A152, INPUT_Rooms!$B:$B, INPUT_Rooms!$AI:$AI, ""), ""))</f>
        <v/>
      </c>
      <c r="V152">
        <f>IF($A152="","", IF($U152="", 1, IFERROR(XLOOKUP($U152, Constants!$A$160:$A$190, Constants!$C$160:$C$190, 1), 1)))</f>
        <v/>
      </c>
      <c r="W152">
        <f>IF($A152="","", ($D152*IF($U152="",0,IFERROR(XLOOKUP($U152, Constants!$A$160:$A$190, Constants!$D$160:$D$190, 0),0))) )</f>
        <v/>
      </c>
    </row>
    <row r="153">
      <c r="M153">
        <f>IF($A153="","", IFERROR(XLOOKUP($A153, INPUT_Rooms!$B:$B, INPUT_Rooms!$S:$S, 0),0) + $W153)</f>
        <v/>
      </c>
      <c r="N153">
        <f>IF($A153="","",IF($D153="", "", CEILING( ($D153*$H153) / IFERROR(XLOOKUP(XLOOKUP('Job Control'!$B$3, INPUT_JobSettings!$A:$A, INPUT_JobSettings!$C:$C, ""), Constants!$A:$A, Constants!$E:$E, ""),""), 0.25))))</f>
        <v/>
      </c>
      <c r="O153">
        <f>IF($A153="","",IF($G153="None",0,IF($D153="", "", CEILING( ($D153*IF($G153="Full",1, XLOOKUP("PrimerSpotFactor",Constants!$F$20:$F$40,Constants!$G$20:$G$40))) / IFERROR(XLOOKUP(XLOOKUP('Job Control'!$B$3, INPUT_JobSettings!$A:$A, INPUT_JobSettings!$E:$E, ""), Constants!$A:$A, Constants!$E:$E, ""),""), 0.25)))))</f>
        <v/>
      </c>
      <c r="P153">
        <f>IF($A153="","",IF($D153="", "", $N153*IFERROR(XLOOKUP(XLOOKUP('Job Control'!$B$3, INPUT_JobSettings!$A:$A, INPUT_JobSettings!$C:$C, ""), Constants!$A:$A, Constants!$D:$D, 0),0) + $O153*IFERROR(XLOOKUP(XLOOKUP('Job Control'!$B$3, INPUT_JobSettings!$A:$A, INPUT_JobSettings!$E:$E, ""), Constants!$A:$A, Constants!$D:$D, 0),0))))</f>
        <v/>
      </c>
      <c r="Q153">
        <f>IF($A153="","", ($J153+$K153+$L153)*$V153 )</f>
        <v/>
      </c>
      <c r="R153">
        <f>IF($A153="","", $Q153/60)</f>
        <v/>
      </c>
      <c r="S153">
        <f>IF($A153="","", $R153*IFERROR(IF(XLOOKUP('Job Control'!$B$3, INPUT_JobSettings!$A:$A, INPUT_JobSettings!$F:$F, "")&lt;&gt;"", XLOOKUP('Job Control'!$B$3, INPUT_JobSettings!$A:$A, INPUT_JobSettings!$F:$F, ""), $B$6), $B$6) + $M153)</f>
        <v/>
      </c>
      <c r="T153">
        <f>IF($A153="","", ($S153+$P153)*IFERROR(IF(XLOOKUP('Job Control'!$B$3, INPUT_JobSettings!$A:$A, INPUT_JobSettings!$G:$G, "")&lt;&gt;"", XLOOKUP('Job Control'!$B$3, INPUT_JobSettings!$A:$A, INPUT_JobSettings!$G:$G, ""), $B$7), $B$7))</f>
        <v/>
      </c>
      <c r="U153">
        <f>IF($A153="","", IFERROR(XLOOKUP($A153, INPUT_Rooms!$B:$B, INPUT_Rooms!$AI:$AI, ""), ""))</f>
        <v/>
      </c>
      <c r="V153">
        <f>IF($A153="","", IF($U153="", 1, IFERROR(XLOOKUP($U153, Constants!$A$160:$A$190, Constants!$C$160:$C$190, 1), 1)))</f>
        <v/>
      </c>
      <c r="W153">
        <f>IF($A153="","", ($D153*IF($U153="",0,IFERROR(XLOOKUP($U153, Constants!$A$160:$A$190, Constants!$D$160:$D$190, 0),0))) )</f>
        <v/>
      </c>
    </row>
    <row r="154">
      <c r="M154">
        <f>IF($A154="","", IFERROR(XLOOKUP($A154, INPUT_Rooms!$B:$B, INPUT_Rooms!$S:$S, 0),0) + $W154)</f>
        <v/>
      </c>
      <c r="N154">
        <f>IF($A154="","",IF($D154="", "", CEILING( ($D154*$H154) / IFERROR(XLOOKUP(XLOOKUP('Job Control'!$B$3, INPUT_JobSettings!$A:$A, INPUT_JobSettings!$C:$C, ""), Constants!$A:$A, Constants!$E:$E, ""),""), 0.25))))</f>
        <v/>
      </c>
      <c r="O154">
        <f>IF($A154="","",IF($G154="None",0,IF($D154="", "", CEILING( ($D154*IF($G154="Full",1, XLOOKUP("PrimerSpotFactor",Constants!$F$20:$F$40,Constants!$G$20:$G$40))) / IFERROR(XLOOKUP(XLOOKUP('Job Control'!$B$3, INPUT_JobSettings!$A:$A, INPUT_JobSettings!$E:$E, ""), Constants!$A:$A, Constants!$E:$E, ""),""), 0.25)))))</f>
        <v/>
      </c>
      <c r="P154">
        <f>IF($A154="","",IF($D154="", "", $N154*IFERROR(XLOOKUP(XLOOKUP('Job Control'!$B$3, INPUT_JobSettings!$A:$A, INPUT_JobSettings!$C:$C, ""), Constants!$A:$A, Constants!$D:$D, 0),0) + $O154*IFERROR(XLOOKUP(XLOOKUP('Job Control'!$B$3, INPUT_JobSettings!$A:$A, INPUT_JobSettings!$E:$E, ""), Constants!$A:$A, Constants!$D:$D, 0),0))))</f>
        <v/>
      </c>
      <c r="Q154">
        <f>IF($A154="","", ($J154+$K154+$L154)*$V154 )</f>
        <v/>
      </c>
      <c r="R154">
        <f>IF($A154="","", $Q154/60)</f>
        <v/>
      </c>
      <c r="S154">
        <f>IF($A154="","", $R154*IFERROR(IF(XLOOKUP('Job Control'!$B$3, INPUT_JobSettings!$A:$A, INPUT_JobSettings!$F:$F, "")&lt;&gt;"", XLOOKUP('Job Control'!$B$3, INPUT_JobSettings!$A:$A, INPUT_JobSettings!$F:$F, ""), $B$6), $B$6) + $M154)</f>
        <v/>
      </c>
      <c r="T154">
        <f>IF($A154="","", ($S154+$P154)*IFERROR(IF(XLOOKUP('Job Control'!$B$3, INPUT_JobSettings!$A:$A, INPUT_JobSettings!$G:$G, "")&lt;&gt;"", XLOOKUP('Job Control'!$B$3, INPUT_JobSettings!$A:$A, INPUT_JobSettings!$G:$G, ""), $B$7), $B$7))</f>
        <v/>
      </c>
      <c r="U154">
        <f>IF($A154="","", IFERROR(XLOOKUP($A154, INPUT_Rooms!$B:$B, INPUT_Rooms!$AI:$AI, ""), ""))</f>
        <v/>
      </c>
      <c r="V154">
        <f>IF($A154="","", IF($U154="", 1, IFERROR(XLOOKUP($U154, Constants!$A$160:$A$190, Constants!$C$160:$C$190, 1), 1)))</f>
        <v/>
      </c>
      <c r="W154">
        <f>IF($A154="","", ($D154*IF($U154="",0,IFERROR(XLOOKUP($U154, Constants!$A$160:$A$190, Constants!$D$160:$D$190, 0),0))) )</f>
        <v/>
      </c>
    </row>
    <row r="155">
      <c r="M155">
        <f>IF($A155="","", IFERROR(XLOOKUP($A155, INPUT_Rooms!$B:$B, INPUT_Rooms!$S:$S, 0),0) + $W155)</f>
        <v/>
      </c>
      <c r="N155">
        <f>IF($A155="","",IF($D155="", "", CEILING( ($D155*$H155) / IFERROR(XLOOKUP(XLOOKUP('Job Control'!$B$3, INPUT_JobSettings!$A:$A, INPUT_JobSettings!$C:$C, ""), Constants!$A:$A, Constants!$E:$E, ""),""), 0.25))))</f>
        <v/>
      </c>
      <c r="O155">
        <f>IF($A155="","",IF($G155="None",0,IF($D155="", "", CEILING( ($D155*IF($G155="Full",1, XLOOKUP("PrimerSpotFactor",Constants!$F$20:$F$40,Constants!$G$20:$G$40))) / IFERROR(XLOOKUP(XLOOKUP('Job Control'!$B$3, INPUT_JobSettings!$A:$A, INPUT_JobSettings!$E:$E, ""), Constants!$A:$A, Constants!$E:$E, ""),""), 0.25)))))</f>
        <v/>
      </c>
      <c r="P155">
        <f>IF($A155="","",IF($D155="", "", $N155*IFERROR(XLOOKUP(XLOOKUP('Job Control'!$B$3, INPUT_JobSettings!$A:$A, INPUT_JobSettings!$C:$C, ""), Constants!$A:$A, Constants!$D:$D, 0),0) + $O155*IFERROR(XLOOKUP(XLOOKUP('Job Control'!$B$3, INPUT_JobSettings!$A:$A, INPUT_JobSettings!$E:$E, ""), Constants!$A:$A, Constants!$D:$D, 0),0))))</f>
        <v/>
      </c>
      <c r="Q155">
        <f>IF($A155="","", ($J155+$K155+$L155)*$V155 )</f>
        <v/>
      </c>
      <c r="R155">
        <f>IF($A155="","", $Q155/60)</f>
        <v/>
      </c>
      <c r="S155">
        <f>IF($A155="","", $R155*IFERROR(IF(XLOOKUP('Job Control'!$B$3, INPUT_JobSettings!$A:$A, INPUT_JobSettings!$F:$F, "")&lt;&gt;"", XLOOKUP('Job Control'!$B$3, INPUT_JobSettings!$A:$A, INPUT_JobSettings!$F:$F, ""), $B$6), $B$6) + $M155)</f>
        <v/>
      </c>
      <c r="T155">
        <f>IF($A155="","", ($S155+$P155)*IFERROR(IF(XLOOKUP('Job Control'!$B$3, INPUT_JobSettings!$A:$A, INPUT_JobSettings!$G:$G, "")&lt;&gt;"", XLOOKUP('Job Control'!$B$3, INPUT_JobSettings!$A:$A, INPUT_JobSettings!$G:$G, ""), $B$7), $B$7))</f>
        <v/>
      </c>
      <c r="U155">
        <f>IF($A155="","", IFERROR(XLOOKUP($A155, INPUT_Rooms!$B:$B, INPUT_Rooms!$AI:$AI, ""), ""))</f>
        <v/>
      </c>
      <c r="V155">
        <f>IF($A155="","", IF($U155="", 1, IFERROR(XLOOKUP($U155, Constants!$A$160:$A$190, Constants!$C$160:$C$190, 1), 1)))</f>
        <v/>
      </c>
      <c r="W155">
        <f>IF($A155="","", ($D155*IF($U155="",0,IFERROR(XLOOKUP($U155, Constants!$A$160:$A$190, Constants!$D$160:$D$190, 0),0))) )</f>
        <v/>
      </c>
    </row>
    <row r="156">
      <c r="M156">
        <f>IF($A156="","", IFERROR(XLOOKUP($A156, INPUT_Rooms!$B:$B, INPUT_Rooms!$S:$S, 0),0) + $W156)</f>
        <v/>
      </c>
      <c r="N156">
        <f>IF($A156="","",IF($D156="", "", CEILING( ($D156*$H156) / IFERROR(XLOOKUP(XLOOKUP('Job Control'!$B$3, INPUT_JobSettings!$A:$A, INPUT_JobSettings!$C:$C, ""), Constants!$A:$A, Constants!$E:$E, ""),""), 0.25))))</f>
        <v/>
      </c>
      <c r="O156">
        <f>IF($A156="","",IF($G156="None",0,IF($D156="", "", CEILING( ($D156*IF($G156="Full",1, XLOOKUP("PrimerSpotFactor",Constants!$F$20:$F$40,Constants!$G$20:$G$40))) / IFERROR(XLOOKUP(XLOOKUP('Job Control'!$B$3, INPUT_JobSettings!$A:$A, INPUT_JobSettings!$E:$E, ""), Constants!$A:$A, Constants!$E:$E, ""),""), 0.25)))))</f>
        <v/>
      </c>
      <c r="P156">
        <f>IF($A156="","",IF($D156="", "", $N156*IFERROR(XLOOKUP(XLOOKUP('Job Control'!$B$3, INPUT_JobSettings!$A:$A, INPUT_JobSettings!$C:$C, ""), Constants!$A:$A, Constants!$D:$D, 0),0) + $O156*IFERROR(XLOOKUP(XLOOKUP('Job Control'!$B$3, INPUT_JobSettings!$A:$A, INPUT_JobSettings!$E:$E, ""), Constants!$A:$A, Constants!$D:$D, 0),0))))</f>
        <v/>
      </c>
      <c r="Q156">
        <f>IF($A156="","", ($J156+$K156+$L156)*$V156 )</f>
        <v/>
      </c>
      <c r="R156">
        <f>IF($A156="","", $Q156/60)</f>
        <v/>
      </c>
      <c r="S156">
        <f>IF($A156="","", $R156*IFERROR(IF(XLOOKUP('Job Control'!$B$3, INPUT_JobSettings!$A:$A, INPUT_JobSettings!$F:$F, "")&lt;&gt;"", XLOOKUP('Job Control'!$B$3, INPUT_JobSettings!$A:$A, INPUT_JobSettings!$F:$F, ""), $B$6), $B$6) + $M156)</f>
        <v/>
      </c>
      <c r="T156">
        <f>IF($A156="","", ($S156+$P156)*IFERROR(IF(XLOOKUP('Job Control'!$B$3, INPUT_JobSettings!$A:$A, INPUT_JobSettings!$G:$G, "")&lt;&gt;"", XLOOKUP('Job Control'!$B$3, INPUT_JobSettings!$A:$A, INPUT_JobSettings!$G:$G, ""), $B$7), $B$7))</f>
        <v/>
      </c>
      <c r="U156">
        <f>IF($A156="","", IFERROR(XLOOKUP($A156, INPUT_Rooms!$B:$B, INPUT_Rooms!$AI:$AI, ""), ""))</f>
        <v/>
      </c>
      <c r="V156">
        <f>IF($A156="","", IF($U156="", 1, IFERROR(XLOOKUP($U156, Constants!$A$160:$A$190, Constants!$C$160:$C$190, 1), 1)))</f>
        <v/>
      </c>
      <c r="W156">
        <f>IF($A156="","", ($D156*IF($U156="",0,IFERROR(XLOOKUP($U156, Constants!$A$160:$A$190, Constants!$D$160:$D$190, 0),0))) )</f>
        <v/>
      </c>
    </row>
    <row r="157">
      <c r="M157">
        <f>IF($A157="","", IFERROR(XLOOKUP($A157, INPUT_Rooms!$B:$B, INPUT_Rooms!$S:$S, 0),0) + $W157)</f>
        <v/>
      </c>
      <c r="N157">
        <f>IF($A157="","",IF($D157="", "", CEILING( ($D157*$H157) / IFERROR(XLOOKUP(XLOOKUP('Job Control'!$B$3, INPUT_JobSettings!$A:$A, INPUT_JobSettings!$C:$C, ""), Constants!$A:$A, Constants!$E:$E, ""),""), 0.25))))</f>
        <v/>
      </c>
      <c r="O157">
        <f>IF($A157="","",IF($G157="None",0,IF($D157="", "", CEILING( ($D157*IF($G157="Full",1, XLOOKUP("PrimerSpotFactor",Constants!$F$20:$F$40,Constants!$G$20:$G$40))) / IFERROR(XLOOKUP(XLOOKUP('Job Control'!$B$3, INPUT_JobSettings!$A:$A, INPUT_JobSettings!$E:$E, ""), Constants!$A:$A, Constants!$E:$E, ""),""), 0.25)))))</f>
        <v/>
      </c>
      <c r="P157">
        <f>IF($A157="","",IF($D157="", "", $N157*IFERROR(XLOOKUP(XLOOKUP('Job Control'!$B$3, INPUT_JobSettings!$A:$A, INPUT_JobSettings!$C:$C, ""), Constants!$A:$A, Constants!$D:$D, 0),0) + $O157*IFERROR(XLOOKUP(XLOOKUP('Job Control'!$B$3, INPUT_JobSettings!$A:$A, INPUT_JobSettings!$E:$E, ""), Constants!$A:$A, Constants!$D:$D, 0),0))))</f>
        <v/>
      </c>
      <c r="Q157">
        <f>IF($A157="","", ($J157+$K157+$L157)*$V157 )</f>
        <v/>
      </c>
      <c r="R157">
        <f>IF($A157="","", $Q157/60)</f>
        <v/>
      </c>
      <c r="S157">
        <f>IF($A157="","", $R157*IFERROR(IF(XLOOKUP('Job Control'!$B$3, INPUT_JobSettings!$A:$A, INPUT_JobSettings!$F:$F, "")&lt;&gt;"", XLOOKUP('Job Control'!$B$3, INPUT_JobSettings!$A:$A, INPUT_JobSettings!$F:$F, ""), $B$6), $B$6) + $M157)</f>
        <v/>
      </c>
      <c r="T157">
        <f>IF($A157="","", ($S157+$P157)*IFERROR(IF(XLOOKUP('Job Control'!$B$3, INPUT_JobSettings!$A:$A, INPUT_JobSettings!$G:$G, "")&lt;&gt;"", XLOOKUP('Job Control'!$B$3, INPUT_JobSettings!$A:$A, INPUT_JobSettings!$G:$G, ""), $B$7), $B$7))</f>
        <v/>
      </c>
      <c r="U157">
        <f>IF($A157="","", IFERROR(XLOOKUP($A157, INPUT_Rooms!$B:$B, INPUT_Rooms!$AI:$AI, ""), ""))</f>
        <v/>
      </c>
      <c r="V157">
        <f>IF($A157="","", IF($U157="", 1, IFERROR(XLOOKUP($U157, Constants!$A$160:$A$190, Constants!$C$160:$C$190, 1), 1)))</f>
        <v/>
      </c>
      <c r="W157">
        <f>IF($A157="","", ($D157*IF($U157="",0,IFERROR(XLOOKUP($U157, Constants!$A$160:$A$190, Constants!$D$160:$D$190, 0),0))) )</f>
        <v/>
      </c>
    </row>
    <row r="158">
      <c r="M158">
        <f>IF($A158="","", IFERROR(XLOOKUP($A158, INPUT_Rooms!$B:$B, INPUT_Rooms!$S:$S, 0),0) + $W158)</f>
        <v/>
      </c>
      <c r="N158">
        <f>IF($A158="","",IF($D158="", "", CEILING( ($D158*$H158) / IFERROR(XLOOKUP(XLOOKUP('Job Control'!$B$3, INPUT_JobSettings!$A:$A, INPUT_JobSettings!$C:$C, ""), Constants!$A:$A, Constants!$E:$E, ""),""), 0.25))))</f>
        <v/>
      </c>
      <c r="O158">
        <f>IF($A158="","",IF($G158="None",0,IF($D158="", "", CEILING( ($D158*IF($G158="Full",1, XLOOKUP("PrimerSpotFactor",Constants!$F$20:$F$40,Constants!$G$20:$G$40))) / IFERROR(XLOOKUP(XLOOKUP('Job Control'!$B$3, INPUT_JobSettings!$A:$A, INPUT_JobSettings!$E:$E, ""), Constants!$A:$A, Constants!$E:$E, ""),""), 0.25)))))</f>
        <v/>
      </c>
      <c r="P158">
        <f>IF($A158="","",IF($D158="", "", $N158*IFERROR(XLOOKUP(XLOOKUP('Job Control'!$B$3, INPUT_JobSettings!$A:$A, INPUT_JobSettings!$C:$C, ""), Constants!$A:$A, Constants!$D:$D, 0),0) + $O158*IFERROR(XLOOKUP(XLOOKUP('Job Control'!$B$3, INPUT_JobSettings!$A:$A, INPUT_JobSettings!$E:$E, ""), Constants!$A:$A, Constants!$D:$D, 0),0))))</f>
        <v/>
      </c>
      <c r="Q158">
        <f>IF($A158="","", ($J158+$K158+$L158)*$V158 )</f>
        <v/>
      </c>
      <c r="R158">
        <f>IF($A158="","", $Q158/60)</f>
        <v/>
      </c>
      <c r="S158">
        <f>IF($A158="","", $R158*IFERROR(IF(XLOOKUP('Job Control'!$B$3, INPUT_JobSettings!$A:$A, INPUT_JobSettings!$F:$F, "")&lt;&gt;"", XLOOKUP('Job Control'!$B$3, INPUT_JobSettings!$A:$A, INPUT_JobSettings!$F:$F, ""), $B$6), $B$6) + $M158)</f>
        <v/>
      </c>
      <c r="T158">
        <f>IF($A158="","", ($S158+$P158)*IFERROR(IF(XLOOKUP('Job Control'!$B$3, INPUT_JobSettings!$A:$A, INPUT_JobSettings!$G:$G, "")&lt;&gt;"", XLOOKUP('Job Control'!$B$3, INPUT_JobSettings!$A:$A, INPUT_JobSettings!$G:$G, ""), $B$7), $B$7))</f>
        <v/>
      </c>
      <c r="U158">
        <f>IF($A158="","", IFERROR(XLOOKUP($A158, INPUT_Rooms!$B:$B, INPUT_Rooms!$AI:$AI, ""), ""))</f>
        <v/>
      </c>
      <c r="V158">
        <f>IF($A158="","", IF($U158="", 1, IFERROR(XLOOKUP($U158, Constants!$A$160:$A$190, Constants!$C$160:$C$190, 1), 1)))</f>
        <v/>
      </c>
      <c r="W158">
        <f>IF($A158="","", ($D158*IF($U158="",0,IFERROR(XLOOKUP($U158, Constants!$A$160:$A$190, Constants!$D$160:$D$190, 0),0))) )</f>
        <v/>
      </c>
    </row>
    <row r="159">
      <c r="M159">
        <f>IF($A159="","", IFERROR(XLOOKUP($A159, INPUT_Rooms!$B:$B, INPUT_Rooms!$S:$S, 0),0) + $W159)</f>
        <v/>
      </c>
      <c r="N159">
        <f>IF($A159="","",IF($D159="", "", CEILING( ($D159*$H159) / IFERROR(XLOOKUP(XLOOKUP('Job Control'!$B$3, INPUT_JobSettings!$A:$A, INPUT_JobSettings!$C:$C, ""), Constants!$A:$A, Constants!$E:$E, ""),""), 0.25))))</f>
        <v/>
      </c>
      <c r="O159">
        <f>IF($A159="","",IF($G159="None",0,IF($D159="", "", CEILING( ($D159*IF($G159="Full",1, XLOOKUP("PrimerSpotFactor",Constants!$F$20:$F$40,Constants!$G$20:$G$40))) / IFERROR(XLOOKUP(XLOOKUP('Job Control'!$B$3, INPUT_JobSettings!$A:$A, INPUT_JobSettings!$E:$E, ""), Constants!$A:$A, Constants!$E:$E, ""),""), 0.25)))))</f>
        <v/>
      </c>
      <c r="P159">
        <f>IF($A159="","",IF($D159="", "", $N159*IFERROR(XLOOKUP(XLOOKUP('Job Control'!$B$3, INPUT_JobSettings!$A:$A, INPUT_JobSettings!$C:$C, ""), Constants!$A:$A, Constants!$D:$D, 0),0) + $O159*IFERROR(XLOOKUP(XLOOKUP('Job Control'!$B$3, INPUT_JobSettings!$A:$A, INPUT_JobSettings!$E:$E, ""), Constants!$A:$A, Constants!$D:$D, 0),0))))</f>
        <v/>
      </c>
      <c r="Q159">
        <f>IF($A159="","", ($J159+$K159+$L159)*$V159 )</f>
        <v/>
      </c>
      <c r="R159">
        <f>IF($A159="","", $Q159/60)</f>
        <v/>
      </c>
      <c r="S159">
        <f>IF($A159="","", $R159*IFERROR(IF(XLOOKUP('Job Control'!$B$3, INPUT_JobSettings!$A:$A, INPUT_JobSettings!$F:$F, "")&lt;&gt;"", XLOOKUP('Job Control'!$B$3, INPUT_JobSettings!$A:$A, INPUT_JobSettings!$F:$F, ""), $B$6), $B$6) + $M159)</f>
        <v/>
      </c>
      <c r="T159">
        <f>IF($A159="","", ($S159+$P159)*IFERROR(IF(XLOOKUP('Job Control'!$B$3, INPUT_JobSettings!$A:$A, INPUT_JobSettings!$G:$G, "")&lt;&gt;"", XLOOKUP('Job Control'!$B$3, INPUT_JobSettings!$A:$A, INPUT_JobSettings!$G:$G, ""), $B$7), $B$7))</f>
        <v/>
      </c>
      <c r="U159">
        <f>IF($A159="","", IFERROR(XLOOKUP($A159, INPUT_Rooms!$B:$B, INPUT_Rooms!$AI:$AI, ""), ""))</f>
        <v/>
      </c>
      <c r="V159">
        <f>IF($A159="","", IF($U159="", 1, IFERROR(XLOOKUP($U159, Constants!$A$160:$A$190, Constants!$C$160:$C$190, 1), 1)))</f>
        <v/>
      </c>
      <c r="W159">
        <f>IF($A159="","", ($D159*IF($U159="",0,IFERROR(XLOOKUP($U159, Constants!$A$160:$A$190, Constants!$D$160:$D$190, 0),0))) )</f>
        <v/>
      </c>
    </row>
    <row r="160">
      <c r="M160">
        <f>IF($A160="","", IFERROR(XLOOKUP($A160, INPUT_Rooms!$B:$B, INPUT_Rooms!$S:$S, 0),0) + $W160)</f>
        <v/>
      </c>
      <c r="N160">
        <f>IF($A160="","",IF($D160="", "", CEILING( ($D160*$H160) / IFERROR(XLOOKUP(XLOOKUP('Job Control'!$B$3, INPUT_JobSettings!$A:$A, INPUT_JobSettings!$C:$C, ""), Constants!$A:$A, Constants!$E:$E, ""),""), 0.25))))</f>
        <v/>
      </c>
      <c r="O160">
        <f>IF($A160="","",IF($G160="None",0,IF($D160="", "", CEILING( ($D160*IF($G160="Full",1, XLOOKUP("PrimerSpotFactor",Constants!$F$20:$F$40,Constants!$G$20:$G$40))) / IFERROR(XLOOKUP(XLOOKUP('Job Control'!$B$3, INPUT_JobSettings!$A:$A, INPUT_JobSettings!$E:$E, ""), Constants!$A:$A, Constants!$E:$E, ""),""), 0.25)))))</f>
        <v/>
      </c>
      <c r="P160">
        <f>IF($A160="","",IF($D160="", "", $N160*IFERROR(XLOOKUP(XLOOKUP('Job Control'!$B$3, INPUT_JobSettings!$A:$A, INPUT_JobSettings!$C:$C, ""), Constants!$A:$A, Constants!$D:$D, 0),0) + $O160*IFERROR(XLOOKUP(XLOOKUP('Job Control'!$B$3, INPUT_JobSettings!$A:$A, INPUT_JobSettings!$E:$E, ""), Constants!$A:$A, Constants!$D:$D, 0),0))))</f>
        <v/>
      </c>
      <c r="Q160">
        <f>IF($A160="","", ($J160+$K160+$L160)*$V160 )</f>
        <v/>
      </c>
      <c r="R160">
        <f>IF($A160="","", $Q160/60)</f>
        <v/>
      </c>
      <c r="S160">
        <f>IF($A160="","", $R160*IFERROR(IF(XLOOKUP('Job Control'!$B$3, INPUT_JobSettings!$A:$A, INPUT_JobSettings!$F:$F, "")&lt;&gt;"", XLOOKUP('Job Control'!$B$3, INPUT_JobSettings!$A:$A, INPUT_JobSettings!$F:$F, ""), $B$6), $B$6) + $M160)</f>
        <v/>
      </c>
      <c r="T160">
        <f>IF($A160="","", ($S160+$P160)*IFERROR(IF(XLOOKUP('Job Control'!$B$3, INPUT_JobSettings!$A:$A, INPUT_JobSettings!$G:$G, "")&lt;&gt;"", XLOOKUP('Job Control'!$B$3, INPUT_JobSettings!$A:$A, INPUT_JobSettings!$G:$G, ""), $B$7), $B$7))</f>
        <v/>
      </c>
      <c r="U160">
        <f>IF($A160="","", IFERROR(XLOOKUP($A160, INPUT_Rooms!$B:$B, INPUT_Rooms!$AI:$AI, ""), ""))</f>
        <v/>
      </c>
      <c r="V160">
        <f>IF($A160="","", IF($U160="", 1, IFERROR(XLOOKUP($U160, Constants!$A$160:$A$190, Constants!$C$160:$C$190, 1), 1)))</f>
        <v/>
      </c>
      <c r="W160">
        <f>IF($A160="","", ($D160*IF($U160="",0,IFERROR(XLOOKUP($U160, Constants!$A$160:$A$190, Constants!$D$160:$D$190, 0),0))) )</f>
        <v/>
      </c>
    </row>
    <row r="161">
      <c r="M161">
        <f>IF($A161="","", IFERROR(XLOOKUP($A161, INPUT_Rooms!$B:$B, INPUT_Rooms!$S:$S, 0),0) + $W161)</f>
        <v/>
      </c>
      <c r="N161">
        <f>IF($A161="","",IF($D161="", "", CEILING( ($D161*$H161) / IFERROR(XLOOKUP(XLOOKUP('Job Control'!$B$3, INPUT_JobSettings!$A:$A, INPUT_JobSettings!$C:$C, ""), Constants!$A:$A, Constants!$E:$E, ""),""), 0.25))))</f>
        <v/>
      </c>
      <c r="O161">
        <f>IF($A161="","",IF($G161="None",0,IF($D161="", "", CEILING( ($D161*IF($G161="Full",1, XLOOKUP("PrimerSpotFactor",Constants!$F$20:$F$40,Constants!$G$20:$G$40))) / IFERROR(XLOOKUP(XLOOKUP('Job Control'!$B$3, INPUT_JobSettings!$A:$A, INPUT_JobSettings!$E:$E, ""), Constants!$A:$A, Constants!$E:$E, ""),""), 0.25)))))</f>
        <v/>
      </c>
      <c r="P161">
        <f>IF($A161="","",IF($D161="", "", $N161*IFERROR(XLOOKUP(XLOOKUP('Job Control'!$B$3, INPUT_JobSettings!$A:$A, INPUT_JobSettings!$C:$C, ""), Constants!$A:$A, Constants!$D:$D, 0),0) + $O161*IFERROR(XLOOKUP(XLOOKUP('Job Control'!$B$3, INPUT_JobSettings!$A:$A, INPUT_JobSettings!$E:$E, ""), Constants!$A:$A, Constants!$D:$D, 0),0))))</f>
        <v/>
      </c>
      <c r="Q161">
        <f>IF($A161="","", ($J161+$K161+$L161)*$V161 )</f>
        <v/>
      </c>
      <c r="R161">
        <f>IF($A161="","", $Q161/60)</f>
        <v/>
      </c>
      <c r="S161">
        <f>IF($A161="","", $R161*IFERROR(IF(XLOOKUP('Job Control'!$B$3, INPUT_JobSettings!$A:$A, INPUT_JobSettings!$F:$F, "")&lt;&gt;"", XLOOKUP('Job Control'!$B$3, INPUT_JobSettings!$A:$A, INPUT_JobSettings!$F:$F, ""), $B$6), $B$6) + $M161)</f>
        <v/>
      </c>
      <c r="T161">
        <f>IF($A161="","", ($S161+$P161)*IFERROR(IF(XLOOKUP('Job Control'!$B$3, INPUT_JobSettings!$A:$A, INPUT_JobSettings!$G:$G, "")&lt;&gt;"", XLOOKUP('Job Control'!$B$3, INPUT_JobSettings!$A:$A, INPUT_JobSettings!$G:$G, ""), $B$7), $B$7))</f>
        <v/>
      </c>
      <c r="U161">
        <f>IF($A161="","", IFERROR(XLOOKUP($A161, INPUT_Rooms!$B:$B, INPUT_Rooms!$AI:$AI, ""), ""))</f>
        <v/>
      </c>
      <c r="V161">
        <f>IF($A161="","", IF($U161="", 1, IFERROR(XLOOKUP($U161, Constants!$A$160:$A$190, Constants!$C$160:$C$190, 1), 1)))</f>
        <v/>
      </c>
      <c r="W161">
        <f>IF($A161="","", ($D161*IF($U161="",0,IFERROR(XLOOKUP($U161, Constants!$A$160:$A$190, Constants!$D$160:$D$190, 0),0))) )</f>
        <v/>
      </c>
    </row>
    <row r="162">
      <c r="M162">
        <f>IF($A162="","", IFERROR(XLOOKUP($A162, INPUT_Rooms!$B:$B, INPUT_Rooms!$S:$S, 0),0) + $W162)</f>
        <v/>
      </c>
      <c r="N162">
        <f>IF($A162="","",IF($D162="", "", CEILING( ($D162*$H162) / IFERROR(XLOOKUP(XLOOKUP('Job Control'!$B$3, INPUT_JobSettings!$A:$A, INPUT_JobSettings!$C:$C, ""), Constants!$A:$A, Constants!$E:$E, ""),""), 0.25))))</f>
        <v/>
      </c>
      <c r="O162">
        <f>IF($A162="","",IF($G162="None",0,IF($D162="", "", CEILING( ($D162*IF($G162="Full",1, XLOOKUP("PrimerSpotFactor",Constants!$F$20:$F$40,Constants!$G$20:$G$40))) / IFERROR(XLOOKUP(XLOOKUP('Job Control'!$B$3, INPUT_JobSettings!$A:$A, INPUT_JobSettings!$E:$E, ""), Constants!$A:$A, Constants!$E:$E, ""),""), 0.25)))))</f>
        <v/>
      </c>
      <c r="P162">
        <f>IF($A162="","",IF($D162="", "", $N162*IFERROR(XLOOKUP(XLOOKUP('Job Control'!$B$3, INPUT_JobSettings!$A:$A, INPUT_JobSettings!$C:$C, ""), Constants!$A:$A, Constants!$D:$D, 0),0) + $O162*IFERROR(XLOOKUP(XLOOKUP('Job Control'!$B$3, INPUT_JobSettings!$A:$A, INPUT_JobSettings!$E:$E, ""), Constants!$A:$A, Constants!$D:$D, 0),0))))</f>
        <v/>
      </c>
      <c r="Q162">
        <f>IF($A162="","", ($J162+$K162+$L162)*$V162 )</f>
        <v/>
      </c>
      <c r="R162">
        <f>IF($A162="","", $Q162/60)</f>
        <v/>
      </c>
      <c r="S162">
        <f>IF($A162="","", $R162*IFERROR(IF(XLOOKUP('Job Control'!$B$3, INPUT_JobSettings!$A:$A, INPUT_JobSettings!$F:$F, "")&lt;&gt;"", XLOOKUP('Job Control'!$B$3, INPUT_JobSettings!$A:$A, INPUT_JobSettings!$F:$F, ""), $B$6), $B$6) + $M162)</f>
        <v/>
      </c>
      <c r="T162">
        <f>IF($A162="","", ($S162+$P162)*IFERROR(IF(XLOOKUP('Job Control'!$B$3, INPUT_JobSettings!$A:$A, INPUT_JobSettings!$G:$G, "")&lt;&gt;"", XLOOKUP('Job Control'!$B$3, INPUT_JobSettings!$A:$A, INPUT_JobSettings!$G:$G, ""), $B$7), $B$7))</f>
        <v/>
      </c>
      <c r="U162">
        <f>IF($A162="","", IFERROR(XLOOKUP($A162, INPUT_Rooms!$B:$B, INPUT_Rooms!$AI:$AI, ""), ""))</f>
        <v/>
      </c>
      <c r="V162">
        <f>IF($A162="","", IF($U162="", 1, IFERROR(XLOOKUP($U162, Constants!$A$160:$A$190, Constants!$C$160:$C$190, 1), 1)))</f>
        <v/>
      </c>
      <c r="W162">
        <f>IF($A162="","", ($D162*IF($U162="",0,IFERROR(XLOOKUP($U162, Constants!$A$160:$A$190, Constants!$D$160:$D$190, 0),0))) )</f>
        <v/>
      </c>
    </row>
    <row r="163">
      <c r="M163">
        <f>IF($A163="","", IFERROR(XLOOKUP($A163, INPUT_Rooms!$B:$B, INPUT_Rooms!$S:$S, 0),0) + $W163)</f>
        <v/>
      </c>
      <c r="N163">
        <f>IF($A163="","",IF($D163="", "", CEILING( ($D163*$H163) / IFERROR(XLOOKUP(XLOOKUP('Job Control'!$B$3, INPUT_JobSettings!$A:$A, INPUT_JobSettings!$C:$C, ""), Constants!$A:$A, Constants!$E:$E, ""),""), 0.25))))</f>
        <v/>
      </c>
      <c r="O163">
        <f>IF($A163="","",IF($G163="None",0,IF($D163="", "", CEILING( ($D163*IF($G163="Full",1, XLOOKUP("PrimerSpotFactor",Constants!$F$20:$F$40,Constants!$G$20:$G$40))) / IFERROR(XLOOKUP(XLOOKUP('Job Control'!$B$3, INPUT_JobSettings!$A:$A, INPUT_JobSettings!$E:$E, ""), Constants!$A:$A, Constants!$E:$E, ""),""), 0.25)))))</f>
        <v/>
      </c>
      <c r="P163">
        <f>IF($A163="","",IF($D163="", "", $N163*IFERROR(XLOOKUP(XLOOKUP('Job Control'!$B$3, INPUT_JobSettings!$A:$A, INPUT_JobSettings!$C:$C, ""), Constants!$A:$A, Constants!$D:$D, 0),0) + $O163*IFERROR(XLOOKUP(XLOOKUP('Job Control'!$B$3, INPUT_JobSettings!$A:$A, INPUT_JobSettings!$E:$E, ""), Constants!$A:$A, Constants!$D:$D, 0),0))))</f>
        <v/>
      </c>
      <c r="Q163">
        <f>IF($A163="","", ($J163+$K163+$L163)*$V163 )</f>
        <v/>
      </c>
      <c r="R163">
        <f>IF($A163="","", $Q163/60)</f>
        <v/>
      </c>
      <c r="S163">
        <f>IF($A163="","", $R163*IFERROR(IF(XLOOKUP('Job Control'!$B$3, INPUT_JobSettings!$A:$A, INPUT_JobSettings!$F:$F, "")&lt;&gt;"", XLOOKUP('Job Control'!$B$3, INPUT_JobSettings!$A:$A, INPUT_JobSettings!$F:$F, ""), $B$6), $B$6) + $M163)</f>
        <v/>
      </c>
      <c r="T163">
        <f>IF($A163="","", ($S163+$P163)*IFERROR(IF(XLOOKUP('Job Control'!$B$3, INPUT_JobSettings!$A:$A, INPUT_JobSettings!$G:$G, "")&lt;&gt;"", XLOOKUP('Job Control'!$B$3, INPUT_JobSettings!$A:$A, INPUT_JobSettings!$G:$G, ""), $B$7), $B$7))</f>
        <v/>
      </c>
      <c r="U163">
        <f>IF($A163="","", IFERROR(XLOOKUP($A163, INPUT_Rooms!$B:$B, INPUT_Rooms!$AI:$AI, ""), ""))</f>
        <v/>
      </c>
      <c r="V163">
        <f>IF($A163="","", IF($U163="", 1, IFERROR(XLOOKUP($U163, Constants!$A$160:$A$190, Constants!$C$160:$C$190, 1), 1)))</f>
        <v/>
      </c>
      <c r="W163">
        <f>IF($A163="","", ($D163*IF($U163="",0,IFERROR(XLOOKUP($U163, Constants!$A$160:$A$190, Constants!$D$160:$D$190, 0),0))) )</f>
        <v/>
      </c>
    </row>
    <row r="164">
      <c r="M164">
        <f>IF($A164="","", IFERROR(XLOOKUP($A164, INPUT_Rooms!$B:$B, INPUT_Rooms!$S:$S, 0),0) + $W164)</f>
        <v/>
      </c>
      <c r="N164">
        <f>IF($A164="","",IF($D164="", "", CEILING( ($D164*$H164) / IFERROR(XLOOKUP(XLOOKUP('Job Control'!$B$3, INPUT_JobSettings!$A:$A, INPUT_JobSettings!$C:$C, ""), Constants!$A:$A, Constants!$E:$E, ""),""), 0.25))))</f>
        <v/>
      </c>
      <c r="O164">
        <f>IF($A164="","",IF($G164="None",0,IF($D164="", "", CEILING( ($D164*IF($G164="Full",1, XLOOKUP("PrimerSpotFactor",Constants!$F$20:$F$40,Constants!$G$20:$G$40))) / IFERROR(XLOOKUP(XLOOKUP('Job Control'!$B$3, INPUT_JobSettings!$A:$A, INPUT_JobSettings!$E:$E, ""), Constants!$A:$A, Constants!$E:$E, ""),""), 0.25)))))</f>
        <v/>
      </c>
      <c r="P164">
        <f>IF($A164="","",IF($D164="", "", $N164*IFERROR(XLOOKUP(XLOOKUP('Job Control'!$B$3, INPUT_JobSettings!$A:$A, INPUT_JobSettings!$C:$C, ""), Constants!$A:$A, Constants!$D:$D, 0),0) + $O164*IFERROR(XLOOKUP(XLOOKUP('Job Control'!$B$3, INPUT_JobSettings!$A:$A, INPUT_JobSettings!$E:$E, ""), Constants!$A:$A, Constants!$D:$D, 0),0))))</f>
        <v/>
      </c>
      <c r="Q164">
        <f>IF($A164="","", ($J164+$K164+$L164)*$V164 )</f>
        <v/>
      </c>
      <c r="R164">
        <f>IF($A164="","", $Q164/60)</f>
        <v/>
      </c>
      <c r="S164">
        <f>IF($A164="","", $R164*IFERROR(IF(XLOOKUP('Job Control'!$B$3, INPUT_JobSettings!$A:$A, INPUT_JobSettings!$F:$F, "")&lt;&gt;"", XLOOKUP('Job Control'!$B$3, INPUT_JobSettings!$A:$A, INPUT_JobSettings!$F:$F, ""), $B$6), $B$6) + $M164)</f>
        <v/>
      </c>
      <c r="T164">
        <f>IF($A164="","", ($S164+$P164)*IFERROR(IF(XLOOKUP('Job Control'!$B$3, INPUT_JobSettings!$A:$A, INPUT_JobSettings!$G:$G, "")&lt;&gt;"", XLOOKUP('Job Control'!$B$3, INPUT_JobSettings!$A:$A, INPUT_JobSettings!$G:$G, ""), $B$7), $B$7))</f>
        <v/>
      </c>
      <c r="U164">
        <f>IF($A164="","", IFERROR(XLOOKUP($A164, INPUT_Rooms!$B:$B, INPUT_Rooms!$AI:$AI, ""), ""))</f>
        <v/>
      </c>
      <c r="V164">
        <f>IF($A164="","", IF($U164="", 1, IFERROR(XLOOKUP($U164, Constants!$A$160:$A$190, Constants!$C$160:$C$190, 1), 1)))</f>
        <v/>
      </c>
      <c r="W164">
        <f>IF($A164="","", ($D164*IF($U164="",0,IFERROR(XLOOKUP($U164, Constants!$A$160:$A$190, Constants!$D$160:$D$190, 0),0))) )</f>
        <v/>
      </c>
    </row>
    <row r="165">
      <c r="M165">
        <f>IF($A165="","", IFERROR(XLOOKUP($A165, INPUT_Rooms!$B:$B, INPUT_Rooms!$S:$S, 0),0) + $W165)</f>
        <v/>
      </c>
      <c r="N165">
        <f>IF($A165="","",IF($D165="", "", CEILING( ($D165*$H165) / IFERROR(XLOOKUP(XLOOKUP('Job Control'!$B$3, INPUT_JobSettings!$A:$A, INPUT_JobSettings!$C:$C, ""), Constants!$A:$A, Constants!$E:$E, ""),""), 0.25))))</f>
        <v/>
      </c>
      <c r="O165">
        <f>IF($A165="","",IF($G165="None",0,IF($D165="", "", CEILING( ($D165*IF($G165="Full",1, XLOOKUP("PrimerSpotFactor",Constants!$F$20:$F$40,Constants!$G$20:$G$40))) / IFERROR(XLOOKUP(XLOOKUP('Job Control'!$B$3, INPUT_JobSettings!$A:$A, INPUT_JobSettings!$E:$E, ""), Constants!$A:$A, Constants!$E:$E, ""),""), 0.25)))))</f>
        <v/>
      </c>
      <c r="P165">
        <f>IF($A165="","",IF($D165="", "", $N165*IFERROR(XLOOKUP(XLOOKUP('Job Control'!$B$3, INPUT_JobSettings!$A:$A, INPUT_JobSettings!$C:$C, ""), Constants!$A:$A, Constants!$D:$D, 0),0) + $O165*IFERROR(XLOOKUP(XLOOKUP('Job Control'!$B$3, INPUT_JobSettings!$A:$A, INPUT_JobSettings!$E:$E, ""), Constants!$A:$A, Constants!$D:$D, 0),0))))</f>
        <v/>
      </c>
      <c r="Q165">
        <f>IF($A165="","", ($J165+$K165+$L165)*$V165 )</f>
        <v/>
      </c>
      <c r="R165">
        <f>IF($A165="","", $Q165/60)</f>
        <v/>
      </c>
      <c r="S165">
        <f>IF($A165="","", $R165*IFERROR(IF(XLOOKUP('Job Control'!$B$3, INPUT_JobSettings!$A:$A, INPUT_JobSettings!$F:$F, "")&lt;&gt;"", XLOOKUP('Job Control'!$B$3, INPUT_JobSettings!$A:$A, INPUT_JobSettings!$F:$F, ""), $B$6), $B$6) + $M165)</f>
        <v/>
      </c>
      <c r="T165">
        <f>IF($A165="","", ($S165+$P165)*IFERROR(IF(XLOOKUP('Job Control'!$B$3, INPUT_JobSettings!$A:$A, INPUT_JobSettings!$G:$G, "")&lt;&gt;"", XLOOKUP('Job Control'!$B$3, INPUT_JobSettings!$A:$A, INPUT_JobSettings!$G:$G, ""), $B$7), $B$7))</f>
        <v/>
      </c>
      <c r="U165">
        <f>IF($A165="","", IFERROR(XLOOKUP($A165, INPUT_Rooms!$B:$B, INPUT_Rooms!$AI:$AI, ""), ""))</f>
        <v/>
      </c>
      <c r="V165">
        <f>IF($A165="","", IF($U165="", 1, IFERROR(XLOOKUP($U165, Constants!$A$160:$A$190, Constants!$C$160:$C$190, 1), 1)))</f>
        <v/>
      </c>
      <c r="W165">
        <f>IF($A165="","", ($D165*IF($U165="",0,IFERROR(XLOOKUP($U165, Constants!$A$160:$A$190, Constants!$D$160:$D$190, 0),0))) )</f>
        <v/>
      </c>
    </row>
    <row r="166">
      <c r="M166">
        <f>IF($A166="","", IFERROR(XLOOKUP($A166, INPUT_Rooms!$B:$B, INPUT_Rooms!$S:$S, 0),0) + $W166)</f>
        <v/>
      </c>
      <c r="N166">
        <f>IF($A166="","",IF($D166="", "", CEILING( ($D166*$H166) / IFERROR(XLOOKUP(XLOOKUP('Job Control'!$B$3, INPUT_JobSettings!$A:$A, INPUT_JobSettings!$C:$C, ""), Constants!$A:$A, Constants!$E:$E, ""),""), 0.25))))</f>
        <v/>
      </c>
      <c r="O166">
        <f>IF($A166="","",IF($G166="None",0,IF($D166="", "", CEILING( ($D166*IF($G166="Full",1, XLOOKUP("PrimerSpotFactor",Constants!$F$20:$F$40,Constants!$G$20:$G$40))) / IFERROR(XLOOKUP(XLOOKUP('Job Control'!$B$3, INPUT_JobSettings!$A:$A, INPUT_JobSettings!$E:$E, ""), Constants!$A:$A, Constants!$E:$E, ""),""), 0.25)))))</f>
        <v/>
      </c>
      <c r="P166">
        <f>IF($A166="","",IF($D166="", "", $N166*IFERROR(XLOOKUP(XLOOKUP('Job Control'!$B$3, INPUT_JobSettings!$A:$A, INPUT_JobSettings!$C:$C, ""), Constants!$A:$A, Constants!$D:$D, 0),0) + $O166*IFERROR(XLOOKUP(XLOOKUP('Job Control'!$B$3, INPUT_JobSettings!$A:$A, INPUT_JobSettings!$E:$E, ""), Constants!$A:$A, Constants!$D:$D, 0),0))))</f>
        <v/>
      </c>
      <c r="Q166">
        <f>IF($A166="","", ($J166+$K166+$L166)*$V166 )</f>
        <v/>
      </c>
      <c r="R166">
        <f>IF($A166="","", $Q166/60)</f>
        <v/>
      </c>
      <c r="S166">
        <f>IF($A166="","", $R166*IFERROR(IF(XLOOKUP('Job Control'!$B$3, INPUT_JobSettings!$A:$A, INPUT_JobSettings!$F:$F, "")&lt;&gt;"", XLOOKUP('Job Control'!$B$3, INPUT_JobSettings!$A:$A, INPUT_JobSettings!$F:$F, ""), $B$6), $B$6) + $M166)</f>
        <v/>
      </c>
      <c r="T166">
        <f>IF($A166="","", ($S166+$P166)*IFERROR(IF(XLOOKUP('Job Control'!$B$3, INPUT_JobSettings!$A:$A, INPUT_JobSettings!$G:$G, "")&lt;&gt;"", XLOOKUP('Job Control'!$B$3, INPUT_JobSettings!$A:$A, INPUT_JobSettings!$G:$G, ""), $B$7), $B$7))</f>
        <v/>
      </c>
      <c r="U166">
        <f>IF($A166="","", IFERROR(XLOOKUP($A166, INPUT_Rooms!$B:$B, INPUT_Rooms!$AI:$AI, ""), ""))</f>
        <v/>
      </c>
      <c r="V166">
        <f>IF($A166="","", IF($U166="", 1, IFERROR(XLOOKUP($U166, Constants!$A$160:$A$190, Constants!$C$160:$C$190, 1), 1)))</f>
        <v/>
      </c>
      <c r="W166">
        <f>IF($A166="","", ($D166*IF($U166="",0,IFERROR(XLOOKUP($U166, Constants!$A$160:$A$190, Constants!$D$160:$D$190, 0),0))) )</f>
        <v/>
      </c>
    </row>
    <row r="167">
      <c r="M167">
        <f>IF($A167="","", IFERROR(XLOOKUP($A167, INPUT_Rooms!$B:$B, INPUT_Rooms!$S:$S, 0),0) + $W167)</f>
        <v/>
      </c>
      <c r="N167">
        <f>IF($A167="","",IF($D167="", "", CEILING( ($D167*$H167) / IFERROR(XLOOKUP(XLOOKUP('Job Control'!$B$3, INPUT_JobSettings!$A:$A, INPUT_JobSettings!$C:$C, ""), Constants!$A:$A, Constants!$E:$E, ""),""), 0.25))))</f>
        <v/>
      </c>
      <c r="O167">
        <f>IF($A167="","",IF($G167="None",0,IF($D167="", "", CEILING( ($D167*IF($G167="Full",1, XLOOKUP("PrimerSpotFactor",Constants!$F$20:$F$40,Constants!$G$20:$G$40))) / IFERROR(XLOOKUP(XLOOKUP('Job Control'!$B$3, INPUT_JobSettings!$A:$A, INPUT_JobSettings!$E:$E, ""), Constants!$A:$A, Constants!$E:$E, ""),""), 0.25)))))</f>
        <v/>
      </c>
      <c r="P167">
        <f>IF($A167="","",IF($D167="", "", $N167*IFERROR(XLOOKUP(XLOOKUP('Job Control'!$B$3, INPUT_JobSettings!$A:$A, INPUT_JobSettings!$C:$C, ""), Constants!$A:$A, Constants!$D:$D, 0),0) + $O167*IFERROR(XLOOKUP(XLOOKUP('Job Control'!$B$3, INPUT_JobSettings!$A:$A, INPUT_JobSettings!$E:$E, ""), Constants!$A:$A, Constants!$D:$D, 0),0))))</f>
        <v/>
      </c>
      <c r="Q167">
        <f>IF($A167="","", ($J167+$K167+$L167)*$V167 )</f>
        <v/>
      </c>
      <c r="R167">
        <f>IF($A167="","", $Q167/60)</f>
        <v/>
      </c>
      <c r="S167">
        <f>IF($A167="","", $R167*IFERROR(IF(XLOOKUP('Job Control'!$B$3, INPUT_JobSettings!$A:$A, INPUT_JobSettings!$F:$F, "")&lt;&gt;"", XLOOKUP('Job Control'!$B$3, INPUT_JobSettings!$A:$A, INPUT_JobSettings!$F:$F, ""), $B$6), $B$6) + $M167)</f>
        <v/>
      </c>
      <c r="T167">
        <f>IF($A167="","", ($S167+$P167)*IFERROR(IF(XLOOKUP('Job Control'!$B$3, INPUT_JobSettings!$A:$A, INPUT_JobSettings!$G:$G, "")&lt;&gt;"", XLOOKUP('Job Control'!$B$3, INPUT_JobSettings!$A:$A, INPUT_JobSettings!$G:$G, ""), $B$7), $B$7))</f>
        <v/>
      </c>
      <c r="U167">
        <f>IF($A167="","", IFERROR(XLOOKUP($A167, INPUT_Rooms!$B:$B, INPUT_Rooms!$AI:$AI, ""), ""))</f>
        <v/>
      </c>
      <c r="V167">
        <f>IF($A167="","", IF($U167="", 1, IFERROR(XLOOKUP($U167, Constants!$A$160:$A$190, Constants!$C$160:$C$190, 1), 1)))</f>
        <v/>
      </c>
      <c r="W167">
        <f>IF($A167="","", ($D167*IF($U167="",0,IFERROR(XLOOKUP($U167, Constants!$A$160:$A$190, Constants!$D$160:$D$190, 0),0))) )</f>
        <v/>
      </c>
    </row>
    <row r="168">
      <c r="M168">
        <f>IF($A168="","", IFERROR(XLOOKUP($A168, INPUT_Rooms!$B:$B, INPUT_Rooms!$S:$S, 0),0) + $W168)</f>
        <v/>
      </c>
      <c r="N168">
        <f>IF($A168="","",IF($D168="", "", CEILING( ($D168*$H168) / IFERROR(XLOOKUP(XLOOKUP('Job Control'!$B$3, INPUT_JobSettings!$A:$A, INPUT_JobSettings!$C:$C, ""), Constants!$A:$A, Constants!$E:$E, ""),""), 0.25))))</f>
        <v/>
      </c>
      <c r="O168">
        <f>IF($A168="","",IF($G168="None",0,IF($D168="", "", CEILING( ($D168*IF($G168="Full",1, XLOOKUP("PrimerSpotFactor",Constants!$F$20:$F$40,Constants!$G$20:$G$40))) / IFERROR(XLOOKUP(XLOOKUP('Job Control'!$B$3, INPUT_JobSettings!$A:$A, INPUT_JobSettings!$E:$E, ""), Constants!$A:$A, Constants!$E:$E, ""),""), 0.25)))))</f>
        <v/>
      </c>
      <c r="P168">
        <f>IF($A168="","",IF($D168="", "", $N168*IFERROR(XLOOKUP(XLOOKUP('Job Control'!$B$3, INPUT_JobSettings!$A:$A, INPUT_JobSettings!$C:$C, ""), Constants!$A:$A, Constants!$D:$D, 0),0) + $O168*IFERROR(XLOOKUP(XLOOKUP('Job Control'!$B$3, INPUT_JobSettings!$A:$A, INPUT_JobSettings!$E:$E, ""), Constants!$A:$A, Constants!$D:$D, 0),0))))</f>
        <v/>
      </c>
      <c r="Q168">
        <f>IF($A168="","", ($J168+$K168+$L168)*$V168 )</f>
        <v/>
      </c>
      <c r="R168">
        <f>IF($A168="","", $Q168/60)</f>
        <v/>
      </c>
      <c r="S168">
        <f>IF($A168="","", $R168*IFERROR(IF(XLOOKUP('Job Control'!$B$3, INPUT_JobSettings!$A:$A, INPUT_JobSettings!$F:$F, "")&lt;&gt;"", XLOOKUP('Job Control'!$B$3, INPUT_JobSettings!$A:$A, INPUT_JobSettings!$F:$F, ""), $B$6), $B$6) + $M168)</f>
        <v/>
      </c>
      <c r="T168">
        <f>IF($A168="","", ($S168+$P168)*IFERROR(IF(XLOOKUP('Job Control'!$B$3, INPUT_JobSettings!$A:$A, INPUT_JobSettings!$G:$G, "")&lt;&gt;"", XLOOKUP('Job Control'!$B$3, INPUT_JobSettings!$A:$A, INPUT_JobSettings!$G:$G, ""), $B$7), $B$7))</f>
        <v/>
      </c>
      <c r="U168">
        <f>IF($A168="","", IFERROR(XLOOKUP($A168, INPUT_Rooms!$B:$B, INPUT_Rooms!$AI:$AI, ""), ""))</f>
        <v/>
      </c>
      <c r="V168">
        <f>IF($A168="","", IF($U168="", 1, IFERROR(XLOOKUP($U168, Constants!$A$160:$A$190, Constants!$C$160:$C$190, 1), 1)))</f>
        <v/>
      </c>
      <c r="W168">
        <f>IF($A168="","", ($D168*IF($U168="",0,IFERROR(XLOOKUP($U168, Constants!$A$160:$A$190, Constants!$D$160:$D$190, 0),0))) )</f>
        <v/>
      </c>
    </row>
    <row r="169">
      <c r="M169">
        <f>IF($A169="","", IFERROR(XLOOKUP($A169, INPUT_Rooms!$B:$B, INPUT_Rooms!$S:$S, 0),0) + $W169)</f>
        <v/>
      </c>
      <c r="N169">
        <f>IF($A169="","",IF($D169="", "", CEILING( ($D169*$H169) / IFERROR(XLOOKUP(XLOOKUP('Job Control'!$B$3, INPUT_JobSettings!$A:$A, INPUT_JobSettings!$C:$C, ""), Constants!$A:$A, Constants!$E:$E, ""),""), 0.25))))</f>
        <v/>
      </c>
      <c r="O169">
        <f>IF($A169="","",IF($G169="None",0,IF($D169="", "", CEILING( ($D169*IF($G169="Full",1, XLOOKUP("PrimerSpotFactor",Constants!$F$20:$F$40,Constants!$G$20:$G$40))) / IFERROR(XLOOKUP(XLOOKUP('Job Control'!$B$3, INPUT_JobSettings!$A:$A, INPUT_JobSettings!$E:$E, ""), Constants!$A:$A, Constants!$E:$E, ""),""), 0.25)))))</f>
        <v/>
      </c>
      <c r="P169">
        <f>IF($A169="","",IF($D169="", "", $N169*IFERROR(XLOOKUP(XLOOKUP('Job Control'!$B$3, INPUT_JobSettings!$A:$A, INPUT_JobSettings!$C:$C, ""), Constants!$A:$A, Constants!$D:$D, 0),0) + $O169*IFERROR(XLOOKUP(XLOOKUP('Job Control'!$B$3, INPUT_JobSettings!$A:$A, INPUT_JobSettings!$E:$E, ""), Constants!$A:$A, Constants!$D:$D, 0),0))))</f>
        <v/>
      </c>
      <c r="Q169">
        <f>IF($A169="","", ($J169+$K169+$L169)*$V169 )</f>
        <v/>
      </c>
      <c r="R169">
        <f>IF($A169="","", $Q169/60)</f>
        <v/>
      </c>
      <c r="S169">
        <f>IF($A169="","", $R169*IFERROR(IF(XLOOKUP('Job Control'!$B$3, INPUT_JobSettings!$A:$A, INPUT_JobSettings!$F:$F, "")&lt;&gt;"", XLOOKUP('Job Control'!$B$3, INPUT_JobSettings!$A:$A, INPUT_JobSettings!$F:$F, ""), $B$6), $B$6) + $M169)</f>
        <v/>
      </c>
      <c r="T169">
        <f>IF($A169="","", ($S169+$P169)*IFERROR(IF(XLOOKUP('Job Control'!$B$3, INPUT_JobSettings!$A:$A, INPUT_JobSettings!$G:$G, "")&lt;&gt;"", XLOOKUP('Job Control'!$B$3, INPUT_JobSettings!$A:$A, INPUT_JobSettings!$G:$G, ""), $B$7), $B$7))</f>
        <v/>
      </c>
      <c r="U169">
        <f>IF($A169="","", IFERROR(XLOOKUP($A169, INPUT_Rooms!$B:$B, INPUT_Rooms!$AI:$AI, ""), ""))</f>
        <v/>
      </c>
      <c r="V169">
        <f>IF($A169="","", IF($U169="", 1, IFERROR(XLOOKUP($U169, Constants!$A$160:$A$190, Constants!$C$160:$C$190, 1), 1)))</f>
        <v/>
      </c>
      <c r="W169">
        <f>IF($A169="","", ($D169*IF($U169="",0,IFERROR(XLOOKUP($U169, Constants!$A$160:$A$190, Constants!$D$160:$D$190, 0),0))) )</f>
        <v/>
      </c>
    </row>
    <row r="170">
      <c r="M170">
        <f>IF($A170="","", IFERROR(XLOOKUP($A170, INPUT_Rooms!$B:$B, INPUT_Rooms!$S:$S, 0),0) + $W170)</f>
        <v/>
      </c>
      <c r="N170">
        <f>IF($A170="","",IF($D170="", "", CEILING( ($D170*$H170) / IFERROR(XLOOKUP(XLOOKUP('Job Control'!$B$3, INPUT_JobSettings!$A:$A, INPUT_JobSettings!$C:$C, ""), Constants!$A:$A, Constants!$E:$E, ""),""), 0.25))))</f>
        <v/>
      </c>
      <c r="O170">
        <f>IF($A170="","",IF($G170="None",0,IF($D170="", "", CEILING( ($D170*IF($G170="Full",1, XLOOKUP("PrimerSpotFactor",Constants!$F$20:$F$40,Constants!$G$20:$G$40))) / IFERROR(XLOOKUP(XLOOKUP('Job Control'!$B$3, INPUT_JobSettings!$A:$A, INPUT_JobSettings!$E:$E, ""), Constants!$A:$A, Constants!$E:$E, ""),""), 0.25)))))</f>
        <v/>
      </c>
      <c r="P170">
        <f>IF($A170="","",IF($D170="", "", $N170*IFERROR(XLOOKUP(XLOOKUP('Job Control'!$B$3, INPUT_JobSettings!$A:$A, INPUT_JobSettings!$C:$C, ""), Constants!$A:$A, Constants!$D:$D, 0),0) + $O170*IFERROR(XLOOKUP(XLOOKUP('Job Control'!$B$3, INPUT_JobSettings!$A:$A, INPUT_JobSettings!$E:$E, ""), Constants!$A:$A, Constants!$D:$D, 0),0))))</f>
        <v/>
      </c>
      <c r="Q170">
        <f>IF($A170="","", ($J170+$K170+$L170)*$V170 )</f>
        <v/>
      </c>
      <c r="R170">
        <f>IF($A170="","", $Q170/60)</f>
        <v/>
      </c>
      <c r="S170">
        <f>IF($A170="","", $R170*IFERROR(IF(XLOOKUP('Job Control'!$B$3, INPUT_JobSettings!$A:$A, INPUT_JobSettings!$F:$F, "")&lt;&gt;"", XLOOKUP('Job Control'!$B$3, INPUT_JobSettings!$A:$A, INPUT_JobSettings!$F:$F, ""), $B$6), $B$6) + $M170)</f>
        <v/>
      </c>
      <c r="T170">
        <f>IF($A170="","", ($S170+$P170)*IFERROR(IF(XLOOKUP('Job Control'!$B$3, INPUT_JobSettings!$A:$A, INPUT_JobSettings!$G:$G, "")&lt;&gt;"", XLOOKUP('Job Control'!$B$3, INPUT_JobSettings!$A:$A, INPUT_JobSettings!$G:$G, ""), $B$7), $B$7))</f>
        <v/>
      </c>
      <c r="U170">
        <f>IF($A170="","", IFERROR(XLOOKUP($A170, INPUT_Rooms!$B:$B, INPUT_Rooms!$AI:$AI, ""), ""))</f>
        <v/>
      </c>
      <c r="V170">
        <f>IF($A170="","", IF($U170="", 1, IFERROR(XLOOKUP($U170, Constants!$A$160:$A$190, Constants!$C$160:$C$190, 1), 1)))</f>
        <v/>
      </c>
      <c r="W170">
        <f>IF($A170="","", ($D170*IF($U170="",0,IFERROR(XLOOKUP($U170, Constants!$A$160:$A$190, Constants!$D$160:$D$190, 0),0))) )</f>
        <v/>
      </c>
    </row>
    <row r="171">
      <c r="M171">
        <f>IF($A171="","", IFERROR(XLOOKUP($A171, INPUT_Rooms!$B:$B, INPUT_Rooms!$S:$S, 0),0) + $W171)</f>
        <v/>
      </c>
      <c r="N171">
        <f>IF($A171="","",IF($D171="", "", CEILING( ($D171*$H171) / IFERROR(XLOOKUP(XLOOKUP('Job Control'!$B$3, INPUT_JobSettings!$A:$A, INPUT_JobSettings!$C:$C, ""), Constants!$A:$A, Constants!$E:$E, ""),""), 0.25))))</f>
        <v/>
      </c>
      <c r="O171">
        <f>IF($A171="","",IF($G171="None",0,IF($D171="", "", CEILING( ($D171*IF($G171="Full",1, XLOOKUP("PrimerSpotFactor",Constants!$F$20:$F$40,Constants!$G$20:$G$40))) / IFERROR(XLOOKUP(XLOOKUP('Job Control'!$B$3, INPUT_JobSettings!$A:$A, INPUT_JobSettings!$E:$E, ""), Constants!$A:$A, Constants!$E:$E, ""),""), 0.25)))))</f>
        <v/>
      </c>
      <c r="P171">
        <f>IF($A171="","",IF($D171="", "", $N171*IFERROR(XLOOKUP(XLOOKUP('Job Control'!$B$3, INPUT_JobSettings!$A:$A, INPUT_JobSettings!$C:$C, ""), Constants!$A:$A, Constants!$D:$D, 0),0) + $O171*IFERROR(XLOOKUP(XLOOKUP('Job Control'!$B$3, INPUT_JobSettings!$A:$A, INPUT_JobSettings!$E:$E, ""), Constants!$A:$A, Constants!$D:$D, 0),0))))</f>
        <v/>
      </c>
      <c r="Q171">
        <f>IF($A171="","", ($J171+$K171+$L171)*$V171 )</f>
        <v/>
      </c>
      <c r="R171">
        <f>IF($A171="","", $Q171/60)</f>
        <v/>
      </c>
      <c r="S171">
        <f>IF($A171="","", $R171*IFERROR(IF(XLOOKUP('Job Control'!$B$3, INPUT_JobSettings!$A:$A, INPUT_JobSettings!$F:$F, "")&lt;&gt;"", XLOOKUP('Job Control'!$B$3, INPUT_JobSettings!$A:$A, INPUT_JobSettings!$F:$F, ""), $B$6), $B$6) + $M171)</f>
        <v/>
      </c>
      <c r="T171">
        <f>IF($A171="","", ($S171+$P171)*IFERROR(IF(XLOOKUP('Job Control'!$B$3, INPUT_JobSettings!$A:$A, INPUT_JobSettings!$G:$G, "")&lt;&gt;"", XLOOKUP('Job Control'!$B$3, INPUT_JobSettings!$A:$A, INPUT_JobSettings!$G:$G, ""), $B$7), $B$7))</f>
        <v/>
      </c>
      <c r="U171">
        <f>IF($A171="","", IFERROR(XLOOKUP($A171, INPUT_Rooms!$B:$B, INPUT_Rooms!$AI:$AI, ""), ""))</f>
        <v/>
      </c>
      <c r="V171">
        <f>IF($A171="","", IF($U171="", 1, IFERROR(XLOOKUP($U171, Constants!$A$160:$A$190, Constants!$C$160:$C$190, 1), 1)))</f>
        <v/>
      </c>
      <c r="W171">
        <f>IF($A171="","", ($D171*IF($U171="",0,IFERROR(XLOOKUP($U171, Constants!$A$160:$A$190, Constants!$D$160:$D$190, 0),0))) )</f>
        <v/>
      </c>
    </row>
    <row r="172">
      <c r="M172">
        <f>IF($A172="","", IFERROR(XLOOKUP($A172, INPUT_Rooms!$B:$B, INPUT_Rooms!$S:$S, 0),0) + $W172)</f>
        <v/>
      </c>
      <c r="N172">
        <f>IF($A172="","",IF($D172="", "", CEILING( ($D172*$H172) / IFERROR(XLOOKUP(XLOOKUP('Job Control'!$B$3, INPUT_JobSettings!$A:$A, INPUT_JobSettings!$C:$C, ""), Constants!$A:$A, Constants!$E:$E, ""),""), 0.25))))</f>
        <v/>
      </c>
      <c r="O172">
        <f>IF($A172="","",IF($G172="None",0,IF($D172="", "", CEILING( ($D172*IF($G172="Full",1, XLOOKUP("PrimerSpotFactor",Constants!$F$20:$F$40,Constants!$G$20:$G$40))) / IFERROR(XLOOKUP(XLOOKUP('Job Control'!$B$3, INPUT_JobSettings!$A:$A, INPUT_JobSettings!$E:$E, ""), Constants!$A:$A, Constants!$E:$E, ""),""), 0.25)))))</f>
        <v/>
      </c>
      <c r="P172">
        <f>IF($A172="","",IF($D172="", "", $N172*IFERROR(XLOOKUP(XLOOKUP('Job Control'!$B$3, INPUT_JobSettings!$A:$A, INPUT_JobSettings!$C:$C, ""), Constants!$A:$A, Constants!$D:$D, 0),0) + $O172*IFERROR(XLOOKUP(XLOOKUP('Job Control'!$B$3, INPUT_JobSettings!$A:$A, INPUT_JobSettings!$E:$E, ""), Constants!$A:$A, Constants!$D:$D, 0),0))))</f>
        <v/>
      </c>
      <c r="Q172">
        <f>IF($A172="","", ($J172+$K172+$L172)*$V172 )</f>
        <v/>
      </c>
      <c r="R172">
        <f>IF($A172="","", $Q172/60)</f>
        <v/>
      </c>
      <c r="S172">
        <f>IF($A172="","", $R172*IFERROR(IF(XLOOKUP('Job Control'!$B$3, INPUT_JobSettings!$A:$A, INPUT_JobSettings!$F:$F, "")&lt;&gt;"", XLOOKUP('Job Control'!$B$3, INPUT_JobSettings!$A:$A, INPUT_JobSettings!$F:$F, ""), $B$6), $B$6) + $M172)</f>
        <v/>
      </c>
      <c r="T172">
        <f>IF($A172="","", ($S172+$P172)*IFERROR(IF(XLOOKUP('Job Control'!$B$3, INPUT_JobSettings!$A:$A, INPUT_JobSettings!$G:$G, "")&lt;&gt;"", XLOOKUP('Job Control'!$B$3, INPUT_JobSettings!$A:$A, INPUT_JobSettings!$G:$G, ""), $B$7), $B$7))</f>
        <v/>
      </c>
      <c r="U172">
        <f>IF($A172="","", IFERROR(XLOOKUP($A172, INPUT_Rooms!$B:$B, INPUT_Rooms!$AI:$AI, ""), ""))</f>
        <v/>
      </c>
      <c r="V172">
        <f>IF($A172="","", IF($U172="", 1, IFERROR(XLOOKUP($U172, Constants!$A$160:$A$190, Constants!$C$160:$C$190, 1), 1)))</f>
        <v/>
      </c>
      <c r="W172">
        <f>IF($A172="","", ($D172*IF($U172="",0,IFERROR(XLOOKUP($U172, Constants!$A$160:$A$190, Constants!$D$160:$D$190, 0),0))) )</f>
        <v/>
      </c>
    </row>
    <row r="173">
      <c r="M173">
        <f>IF($A173="","", IFERROR(XLOOKUP($A173, INPUT_Rooms!$B:$B, INPUT_Rooms!$S:$S, 0),0) + $W173)</f>
        <v/>
      </c>
      <c r="N173">
        <f>IF($A173="","",IF($D173="", "", CEILING( ($D173*$H173) / IFERROR(XLOOKUP(XLOOKUP('Job Control'!$B$3, INPUT_JobSettings!$A:$A, INPUT_JobSettings!$C:$C, ""), Constants!$A:$A, Constants!$E:$E, ""),""), 0.25))))</f>
        <v/>
      </c>
      <c r="O173">
        <f>IF($A173="","",IF($G173="None",0,IF($D173="", "", CEILING( ($D173*IF($G173="Full",1, XLOOKUP("PrimerSpotFactor",Constants!$F$20:$F$40,Constants!$G$20:$G$40))) / IFERROR(XLOOKUP(XLOOKUP('Job Control'!$B$3, INPUT_JobSettings!$A:$A, INPUT_JobSettings!$E:$E, ""), Constants!$A:$A, Constants!$E:$E, ""),""), 0.25)))))</f>
        <v/>
      </c>
      <c r="P173">
        <f>IF($A173="","",IF($D173="", "", $N173*IFERROR(XLOOKUP(XLOOKUP('Job Control'!$B$3, INPUT_JobSettings!$A:$A, INPUT_JobSettings!$C:$C, ""), Constants!$A:$A, Constants!$D:$D, 0),0) + $O173*IFERROR(XLOOKUP(XLOOKUP('Job Control'!$B$3, INPUT_JobSettings!$A:$A, INPUT_JobSettings!$E:$E, ""), Constants!$A:$A, Constants!$D:$D, 0),0))))</f>
        <v/>
      </c>
      <c r="Q173">
        <f>IF($A173="","", ($J173+$K173+$L173)*$V173 )</f>
        <v/>
      </c>
      <c r="R173">
        <f>IF($A173="","", $Q173/60)</f>
        <v/>
      </c>
      <c r="S173">
        <f>IF($A173="","", $R173*IFERROR(IF(XLOOKUP('Job Control'!$B$3, INPUT_JobSettings!$A:$A, INPUT_JobSettings!$F:$F, "")&lt;&gt;"", XLOOKUP('Job Control'!$B$3, INPUT_JobSettings!$A:$A, INPUT_JobSettings!$F:$F, ""), $B$6), $B$6) + $M173)</f>
        <v/>
      </c>
      <c r="T173">
        <f>IF($A173="","", ($S173+$P173)*IFERROR(IF(XLOOKUP('Job Control'!$B$3, INPUT_JobSettings!$A:$A, INPUT_JobSettings!$G:$G, "")&lt;&gt;"", XLOOKUP('Job Control'!$B$3, INPUT_JobSettings!$A:$A, INPUT_JobSettings!$G:$G, ""), $B$7), $B$7))</f>
        <v/>
      </c>
      <c r="U173">
        <f>IF($A173="","", IFERROR(XLOOKUP($A173, INPUT_Rooms!$B:$B, INPUT_Rooms!$AI:$AI, ""), ""))</f>
        <v/>
      </c>
      <c r="V173">
        <f>IF($A173="","", IF($U173="", 1, IFERROR(XLOOKUP($U173, Constants!$A$160:$A$190, Constants!$C$160:$C$190, 1), 1)))</f>
        <v/>
      </c>
      <c r="W173">
        <f>IF($A173="","", ($D173*IF($U173="",0,IFERROR(XLOOKUP($U173, Constants!$A$160:$A$190, Constants!$D$160:$D$190, 0),0))) )</f>
        <v/>
      </c>
    </row>
    <row r="174">
      <c r="M174">
        <f>IF($A174="","", IFERROR(XLOOKUP($A174, INPUT_Rooms!$B:$B, INPUT_Rooms!$S:$S, 0),0) + $W174)</f>
        <v/>
      </c>
      <c r="N174">
        <f>IF($A174="","",IF($D174="", "", CEILING( ($D174*$H174) / IFERROR(XLOOKUP(XLOOKUP('Job Control'!$B$3, INPUT_JobSettings!$A:$A, INPUT_JobSettings!$C:$C, ""), Constants!$A:$A, Constants!$E:$E, ""),""), 0.25))))</f>
        <v/>
      </c>
      <c r="O174">
        <f>IF($A174="","",IF($G174="None",0,IF($D174="", "", CEILING( ($D174*IF($G174="Full",1, XLOOKUP("PrimerSpotFactor",Constants!$F$20:$F$40,Constants!$G$20:$G$40))) / IFERROR(XLOOKUP(XLOOKUP('Job Control'!$B$3, INPUT_JobSettings!$A:$A, INPUT_JobSettings!$E:$E, ""), Constants!$A:$A, Constants!$E:$E, ""),""), 0.25)))))</f>
        <v/>
      </c>
      <c r="P174">
        <f>IF($A174="","",IF($D174="", "", $N174*IFERROR(XLOOKUP(XLOOKUP('Job Control'!$B$3, INPUT_JobSettings!$A:$A, INPUT_JobSettings!$C:$C, ""), Constants!$A:$A, Constants!$D:$D, 0),0) + $O174*IFERROR(XLOOKUP(XLOOKUP('Job Control'!$B$3, INPUT_JobSettings!$A:$A, INPUT_JobSettings!$E:$E, ""), Constants!$A:$A, Constants!$D:$D, 0),0))))</f>
        <v/>
      </c>
      <c r="Q174">
        <f>IF($A174="","", ($J174+$K174+$L174)*$V174 )</f>
        <v/>
      </c>
      <c r="R174">
        <f>IF($A174="","", $Q174/60)</f>
        <v/>
      </c>
      <c r="S174">
        <f>IF($A174="","", $R174*IFERROR(IF(XLOOKUP('Job Control'!$B$3, INPUT_JobSettings!$A:$A, INPUT_JobSettings!$F:$F, "")&lt;&gt;"", XLOOKUP('Job Control'!$B$3, INPUT_JobSettings!$A:$A, INPUT_JobSettings!$F:$F, ""), $B$6), $B$6) + $M174)</f>
        <v/>
      </c>
      <c r="T174">
        <f>IF($A174="","", ($S174+$P174)*IFERROR(IF(XLOOKUP('Job Control'!$B$3, INPUT_JobSettings!$A:$A, INPUT_JobSettings!$G:$G, "")&lt;&gt;"", XLOOKUP('Job Control'!$B$3, INPUT_JobSettings!$A:$A, INPUT_JobSettings!$G:$G, ""), $B$7), $B$7))</f>
        <v/>
      </c>
      <c r="U174">
        <f>IF($A174="","", IFERROR(XLOOKUP($A174, INPUT_Rooms!$B:$B, INPUT_Rooms!$AI:$AI, ""), ""))</f>
        <v/>
      </c>
      <c r="V174">
        <f>IF($A174="","", IF($U174="", 1, IFERROR(XLOOKUP($U174, Constants!$A$160:$A$190, Constants!$C$160:$C$190, 1), 1)))</f>
        <v/>
      </c>
      <c r="W174">
        <f>IF($A174="","", ($D174*IF($U174="",0,IFERROR(XLOOKUP($U174, Constants!$A$160:$A$190, Constants!$D$160:$D$190, 0),0))) )</f>
        <v/>
      </c>
    </row>
    <row r="175">
      <c r="M175">
        <f>IF($A175="","", IFERROR(XLOOKUP($A175, INPUT_Rooms!$B:$B, INPUT_Rooms!$S:$S, 0),0) + $W175)</f>
        <v/>
      </c>
      <c r="N175">
        <f>IF($A175="","",IF($D175="", "", CEILING( ($D175*$H175) / IFERROR(XLOOKUP(XLOOKUP('Job Control'!$B$3, INPUT_JobSettings!$A:$A, INPUT_JobSettings!$C:$C, ""), Constants!$A:$A, Constants!$E:$E, ""),""), 0.25))))</f>
        <v/>
      </c>
      <c r="O175">
        <f>IF($A175="","",IF($G175="None",0,IF($D175="", "", CEILING( ($D175*IF($G175="Full",1, XLOOKUP("PrimerSpotFactor",Constants!$F$20:$F$40,Constants!$G$20:$G$40))) / IFERROR(XLOOKUP(XLOOKUP('Job Control'!$B$3, INPUT_JobSettings!$A:$A, INPUT_JobSettings!$E:$E, ""), Constants!$A:$A, Constants!$E:$E, ""),""), 0.25)))))</f>
        <v/>
      </c>
      <c r="P175">
        <f>IF($A175="","",IF($D175="", "", $N175*IFERROR(XLOOKUP(XLOOKUP('Job Control'!$B$3, INPUT_JobSettings!$A:$A, INPUT_JobSettings!$C:$C, ""), Constants!$A:$A, Constants!$D:$D, 0),0) + $O175*IFERROR(XLOOKUP(XLOOKUP('Job Control'!$B$3, INPUT_JobSettings!$A:$A, INPUT_JobSettings!$E:$E, ""), Constants!$A:$A, Constants!$D:$D, 0),0))))</f>
        <v/>
      </c>
      <c r="Q175">
        <f>IF($A175="","", ($J175+$K175+$L175)*$V175 )</f>
        <v/>
      </c>
      <c r="R175">
        <f>IF($A175="","", $Q175/60)</f>
        <v/>
      </c>
      <c r="S175">
        <f>IF($A175="","", $R175*IFERROR(IF(XLOOKUP('Job Control'!$B$3, INPUT_JobSettings!$A:$A, INPUT_JobSettings!$F:$F, "")&lt;&gt;"", XLOOKUP('Job Control'!$B$3, INPUT_JobSettings!$A:$A, INPUT_JobSettings!$F:$F, ""), $B$6), $B$6) + $M175)</f>
        <v/>
      </c>
      <c r="T175">
        <f>IF($A175="","", ($S175+$P175)*IFERROR(IF(XLOOKUP('Job Control'!$B$3, INPUT_JobSettings!$A:$A, INPUT_JobSettings!$G:$G, "")&lt;&gt;"", XLOOKUP('Job Control'!$B$3, INPUT_JobSettings!$A:$A, INPUT_JobSettings!$G:$G, ""), $B$7), $B$7))</f>
        <v/>
      </c>
      <c r="U175">
        <f>IF($A175="","", IFERROR(XLOOKUP($A175, INPUT_Rooms!$B:$B, INPUT_Rooms!$AI:$AI, ""), ""))</f>
        <v/>
      </c>
      <c r="V175">
        <f>IF($A175="","", IF($U175="", 1, IFERROR(XLOOKUP($U175, Constants!$A$160:$A$190, Constants!$C$160:$C$190, 1), 1)))</f>
        <v/>
      </c>
      <c r="W175">
        <f>IF($A175="","", ($D175*IF($U175="",0,IFERROR(XLOOKUP($U175, Constants!$A$160:$A$190, Constants!$D$160:$D$190, 0),0))) )</f>
        <v/>
      </c>
    </row>
    <row r="176">
      <c r="M176">
        <f>IF($A176="","", IFERROR(XLOOKUP($A176, INPUT_Rooms!$B:$B, INPUT_Rooms!$S:$S, 0),0) + $W176)</f>
        <v/>
      </c>
      <c r="N176">
        <f>IF($A176="","",IF($D176="", "", CEILING( ($D176*$H176) / IFERROR(XLOOKUP(XLOOKUP('Job Control'!$B$3, INPUT_JobSettings!$A:$A, INPUT_JobSettings!$C:$C, ""), Constants!$A:$A, Constants!$E:$E, ""),""), 0.25))))</f>
        <v/>
      </c>
      <c r="O176">
        <f>IF($A176="","",IF($G176="None",0,IF($D176="", "", CEILING( ($D176*IF($G176="Full",1, XLOOKUP("PrimerSpotFactor",Constants!$F$20:$F$40,Constants!$G$20:$G$40))) / IFERROR(XLOOKUP(XLOOKUP('Job Control'!$B$3, INPUT_JobSettings!$A:$A, INPUT_JobSettings!$E:$E, ""), Constants!$A:$A, Constants!$E:$E, ""),""), 0.25)))))</f>
        <v/>
      </c>
      <c r="P176">
        <f>IF($A176="","",IF($D176="", "", $N176*IFERROR(XLOOKUP(XLOOKUP('Job Control'!$B$3, INPUT_JobSettings!$A:$A, INPUT_JobSettings!$C:$C, ""), Constants!$A:$A, Constants!$D:$D, 0),0) + $O176*IFERROR(XLOOKUP(XLOOKUP('Job Control'!$B$3, INPUT_JobSettings!$A:$A, INPUT_JobSettings!$E:$E, ""), Constants!$A:$A, Constants!$D:$D, 0),0))))</f>
        <v/>
      </c>
      <c r="Q176">
        <f>IF($A176="","", ($J176+$K176+$L176)*$V176 )</f>
        <v/>
      </c>
      <c r="R176">
        <f>IF($A176="","", $Q176/60)</f>
        <v/>
      </c>
      <c r="S176">
        <f>IF($A176="","", $R176*IFERROR(IF(XLOOKUP('Job Control'!$B$3, INPUT_JobSettings!$A:$A, INPUT_JobSettings!$F:$F, "")&lt;&gt;"", XLOOKUP('Job Control'!$B$3, INPUT_JobSettings!$A:$A, INPUT_JobSettings!$F:$F, ""), $B$6), $B$6) + $M176)</f>
        <v/>
      </c>
      <c r="T176">
        <f>IF($A176="","", ($S176+$P176)*IFERROR(IF(XLOOKUP('Job Control'!$B$3, INPUT_JobSettings!$A:$A, INPUT_JobSettings!$G:$G, "")&lt;&gt;"", XLOOKUP('Job Control'!$B$3, INPUT_JobSettings!$A:$A, INPUT_JobSettings!$G:$G, ""), $B$7), $B$7))</f>
        <v/>
      </c>
      <c r="U176">
        <f>IF($A176="","", IFERROR(XLOOKUP($A176, INPUT_Rooms!$B:$B, INPUT_Rooms!$AI:$AI, ""), ""))</f>
        <v/>
      </c>
      <c r="V176">
        <f>IF($A176="","", IF($U176="", 1, IFERROR(XLOOKUP($U176, Constants!$A$160:$A$190, Constants!$C$160:$C$190, 1), 1)))</f>
        <v/>
      </c>
      <c r="W176">
        <f>IF($A176="","", ($D176*IF($U176="",0,IFERROR(XLOOKUP($U176, Constants!$A$160:$A$190, Constants!$D$160:$D$190, 0),0))) )</f>
        <v/>
      </c>
    </row>
    <row r="177">
      <c r="M177">
        <f>IF($A177="","", IFERROR(XLOOKUP($A177, INPUT_Rooms!$B:$B, INPUT_Rooms!$S:$S, 0),0) + $W177)</f>
        <v/>
      </c>
      <c r="N177">
        <f>IF($A177="","",IF($D177="", "", CEILING( ($D177*$H177) / IFERROR(XLOOKUP(XLOOKUP('Job Control'!$B$3, INPUT_JobSettings!$A:$A, INPUT_JobSettings!$C:$C, ""), Constants!$A:$A, Constants!$E:$E, ""),""), 0.25))))</f>
        <v/>
      </c>
      <c r="O177">
        <f>IF($A177="","",IF($G177="None",0,IF($D177="", "", CEILING( ($D177*IF($G177="Full",1, XLOOKUP("PrimerSpotFactor",Constants!$F$20:$F$40,Constants!$G$20:$G$40))) / IFERROR(XLOOKUP(XLOOKUP('Job Control'!$B$3, INPUT_JobSettings!$A:$A, INPUT_JobSettings!$E:$E, ""), Constants!$A:$A, Constants!$E:$E, ""),""), 0.25)))))</f>
        <v/>
      </c>
      <c r="P177">
        <f>IF($A177="","",IF($D177="", "", $N177*IFERROR(XLOOKUP(XLOOKUP('Job Control'!$B$3, INPUT_JobSettings!$A:$A, INPUT_JobSettings!$C:$C, ""), Constants!$A:$A, Constants!$D:$D, 0),0) + $O177*IFERROR(XLOOKUP(XLOOKUP('Job Control'!$B$3, INPUT_JobSettings!$A:$A, INPUT_JobSettings!$E:$E, ""), Constants!$A:$A, Constants!$D:$D, 0),0))))</f>
        <v/>
      </c>
      <c r="Q177">
        <f>IF($A177="","", ($J177+$K177+$L177)*$V177 )</f>
        <v/>
      </c>
      <c r="R177">
        <f>IF($A177="","", $Q177/60)</f>
        <v/>
      </c>
      <c r="S177">
        <f>IF($A177="","", $R177*IFERROR(IF(XLOOKUP('Job Control'!$B$3, INPUT_JobSettings!$A:$A, INPUT_JobSettings!$F:$F, "")&lt;&gt;"", XLOOKUP('Job Control'!$B$3, INPUT_JobSettings!$A:$A, INPUT_JobSettings!$F:$F, ""), $B$6), $B$6) + $M177)</f>
        <v/>
      </c>
      <c r="T177">
        <f>IF($A177="","", ($S177+$P177)*IFERROR(IF(XLOOKUP('Job Control'!$B$3, INPUT_JobSettings!$A:$A, INPUT_JobSettings!$G:$G, "")&lt;&gt;"", XLOOKUP('Job Control'!$B$3, INPUT_JobSettings!$A:$A, INPUT_JobSettings!$G:$G, ""), $B$7), $B$7))</f>
        <v/>
      </c>
      <c r="U177">
        <f>IF($A177="","", IFERROR(XLOOKUP($A177, INPUT_Rooms!$B:$B, INPUT_Rooms!$AI:$AI, ""), ""))</f>
        <v/>
      </c>
      <c r="V177">
        <f>IF($A177="","", IF($U177="", 1, IFERROR(XLOOKUP($U177, Constants!$A$160:$A$190, Constants!$C$160:$C$190, 1), 1)))</f>
        <v/>
      </c>
      <c r="W177">
        <f>IF($A177="","", ($D177*IF($U177="",0,IFERROR(XLOOKUP($U177, Constants!$A$160:$A$190, Constants!$D$160:$D$190, 0),0))) )</f>
        <v/>
      </c>
    </row>
    <row r="178">
      <c r="M178">
        <f>IF($A178="","", IFERROR(XLOOKUP($A178, INPUT_Rooms!$B:$B, INPUT_Rooms!$S:$S, 0),0) + $W178)</f>
        <v/>
      </c>
      <c r="N178">
        <f>IF($A178="","",IF($D178="", "", CEILING( ($D178*$H178) / IFERROR(XLOOKUP(XLOOKUP('Job Control'!$B$3, INPUT_JobSettings!$A:$A, INPUT_JobSettings!$C:$C, ""), Constants!$A:$A, Constants!$E:$E, ""),""), 0.25))))</f>
        <v/>
      </c>
      <c r="O178">
        <f>IF($A178="","",IF($G178="None",0,IF($D178="", "", CEILING( ($D178*IF($G178="Full",1, XLOOKUP("PrimerSpotFactor",Constants!$F$20:$F$40,Constants!$G$20:$G$40))) / IFERROR(XLOOKUP(XLOOKUP('Job Control'!$B$3, INPUT_JobSettings!$A:$A, INPUT_JobSettings!$E:$E, ""), Constants!$A:$A, Constants!$E:$E, ""),""), 0.25)))))</f>
        <v/>
      </c>
      <c r="P178">
        <f>IF($A178="","",IF($D178="", "", $N178*IFERROR(XLOOKUP(XLOOKUP('Job Control'!$B$3, INPUT_JobSettings!$A:$A, INPUT_JobSettings!$C:$C, ""), Constants!$A:$A, Constants!$D:$D, 0),0) + $O178*IFERROR(XLOOKUP(XLOOKUP('Job Control'!$B$3, INPUT_JobSettings!$A:$A, INPUT_JobSettings!$E:$E, ""), Constants!$A:$A, Constants!$D:$D, 0),0))))</f>
        <v/>
      </c>
      <c r="Q178">
        <f>IF($A178="","", ($J178+$K178+$L178)*$V178 )</f>
        <v/>
      </c>
      <c r="R178">
        <f>IF($A178="","", $Q178/60)</f>
        <v/>
      </c>
      <c r="S178">
        <f>IF($A178="","", $R178*IFERROR(IF(XLOOKUP('Job Control'!$B$3, INPUT_JobSettings!$A:$A, INPUT_JobSettings!$F:$F, "")&lt;&gt;"", XLOOKUP('Job Control'!$B$3, INPUT_JobSettings!$A:$A, INPUT_JobSettings!$F:$F, ""), $B$6), $B$6) + $M178)</f>
        <v/>
      </c>
      <c r="T178">
        <f>IF($A178="","", ($S178+$P178)*IFERROR(IF(XLOOKUP('Job Control'!$B$3, INPUT_JobSettings!$A:$A, INPUT_JobSettings!$G:$G, "")&lt;&gt;"", XLOOKUP('Job Control'!$B$3, INPUT_JobSettings!$A:$A, INPUT_JobSettings!$G:$G, ""), $B$7), $B$7))</f>
        <v/>
      </c>
      <c r="U178">
        <f>IF($A178="","", IFERROR(XLOOKUP($A178, INPUT_Rooms!$B:$B, INPUT_Rooms!$AI:$AI, ""), ""))</f>
        <v/>
      </c>
      <c r="V178">
        <f>IF($A178="","", IF($U178="", 1, IFERROR(XLOOKUP($U178, Constants!$A$160:$A$190, Constants!$C$160:$C$190, 1), 1)))</f>
        <v/>
      </c>
      <c r="W178">
        <f>IF($A178="","", ($D178*IF($U178="",0,IFERROR(XLOOKUP($U178, Constants!$A$160:$A$190, Constants!$D$160:$D$190, 0),0))) )</f>
        <v/>
      </c>
    </row>
    <row r="179">
      <c r="M179">
        <f>IF($A179="","", IFERROR(XLOOKUP($A179, INPUT_Rooms!$B:$B, INPUT_Rooms!$S:$S, 0),0) + $W179)</f>
        <v/>
      </c>
      <c r="N179">
        <f>IF($A179="","",IF($D179="", "", CEILING( ($D179*$H179) / IFERROR(XLOOKUP(XLOOKUP('Job Control'!$B$3, INPUT_JobSettings!$A:$A, INPUT_JobSettings!$C:$C, ""), Constants!$A:$A, Constants!$E:$E, ""),""), 0.25))))</f>
        <v/>
      </c>
      <c r="O179">
        <f>IF($A179="","",IF($G179="None",0,IF($D179="", "", CEILING( ($D179*IF($G179="Full",1, XLOOKUP("PrimerSpotFactor",Constants!$F$20:$F$40,Constants!$G$20:$G$40))) / IFERROR(XLOOKUP(XLOOKUP('Job Control'!$B$3, INPUT_JobSettings!$A:$A, INPUT_JobSettings!$E:$E, ""), Constants!$A:$A, Constants!$E:$E, ""),""), 0.25)))))</f>
        <v/>
      </c>
      <c r="P179">
        <f>IF($A179="","",IF($D179="", "", $N179*IFERROR(XLOOKUP(XLOOKUP('Job Control'!$B$3, INPUT_JobSettings!$A:$A, INPUT_JobSettings!$C:$C, ""), Constants!$A:$A, Constants!$D:$D, 0),0) + $O179*IFERROR(XLOOKUP(XLOOKUP('Job Control'!$B$3, INPUT_JobSettings!$A:$A, INPUT_JobSettings!$E:$E, ""), Constants!$A:$A, Constants!$D:$D, 0),0))))</f>
        <v/>
      </c>
      <c r="Q179">
        <f>IF($A179="","", ($J179+$K179+$L179)*$V179 )</f>
        <v/>
      </c>
      <c r="R179">
        <f>IF($A179="","", $Q179/60)</f>
        <v/>
      </c>
      <c r="S179">
        <f>IF($A179="","", $R179*IFERROR(IF(XLOOKUP('Job Control'!$B$3, INPUT_JobSettings!$A:$A, INPUT_JobSettings!$F:$F, "")&lt;&gt;"", XLOOKUP('Job Control'!$B$3, INPUT_JobSettings!$A:$A, INPUT_JobSettings!$F:$F, ""), $B$6), $B$6) + $M179)</f>
        <v/>
      </c>
      <c r="T179">
        <f>IF($A179="","", ($S179+$P179)*IFERROR(IF(XLOOKUP('Job Control'!$B$3, INPUT_JobSettings!$A:$A, INPUT_JobSettings!$G:$G, "")&lt;&gt;"", XLOOKUP('Job Control'!$B$3, INPUT_JobSettings!$A:$A, INPUT_JobSettings!$G:$G, ""), $B$7), $B$7))</f>
        <v/>
      </c>
      <c r="U179">
        <f>IF($A179="","", IFERROR(XLOOKUP($A179, INPUT_Rooms!$B:$B, INPUT_Rooms!$AI:$AI, ""), ""))</f>
        <v/>
      </c>
      <c r="V179">
        <f>IF($A179="","", IF($U179="", 1, IFERROR(XLOOKUP($U179, Constants!$A$160:$A$190, Constants!$C$160:$C$190, 1), 1)))</f>
        <v/>
      </c>
      <c r="W179">
        <f>IF($A179="","", ($D179*IF($U179="",0,IFERROR(XLOOKUP($U179, Constants!$A$160:$A$190, Constants!$D$160:$D$190, 0),0))) )</f>
        <v/>
      </c>
    </row>
    <row r="180">
      <c r="M180">
        <f>IF($A180="","", IFERROR(XLOOKUP($A180, INPUT_Rooms!$B:$B, INPUT_Rooms!$S:$S, 0),0) + $W180)</f>
        <v/>
      </c>
      <c r="N180">
        <f>IF($A180="","",IF($D180="", "", CEILING( ($D180*$H180) / IFERROR(XLOOKUP(XLOOKUP('Job Control'!$B$3, INPUT_JobSettings!$A:$A, INPUT_JobSettings!$C:$C, ""), Constants!$A:$A, Constants!$E:$E, ""),""), 0.25))))</f>
        <v/>
      </c>
      <c r="O180">
        <f>IF($A180="","",IF($G180="None",0,IF($D180="", "", CEILING( ($D180*IF($G180="Full",1, XLOOKUP("PrimerSpotFactor",Constants!$F$20:$F$40,Constants!$G$20:$G$40))) / IFERROR(XLOOKUP(XLOOKUP('Job Control'!$B$3, INPUT_JobSettings!$A:$A, INPUT_JobSettings!$E:$E, ""), Constants!$A:$A, Constants!$E:$E, ""),""), 0.25)))))</f>
        <v/>
      </c>
      <c r="P180">
        <f>IF($A180="","",IF($D180="", "", $N180*IFERROR(XLOOKUP(XLOOKUP('Job Control'!$B$3, INPUT_JobSettings!$A:$A, INPUT_JobSettings!$C:$C, ""), Constants!$A:$A, Constants!$D:$D, 0),0) + $O180*IFERROR(XLOOKUP(XLOOKUP('Job Control'!$B$3, INPUT_JobSettings!$A:$A, INPUT_JobSettings!$E:$E, ""), Constants!$A:$A, Constants!$D:$D, 0),0))))</f>
        <v/>
      </c>
      <c r="Q180">
        <f>IF($A180="","", ($J180+$K180+$L180)*$V180 )</f>
        <v/>
      </c>
      <c r="R180">
        <f>IF($A180="","", $Q180/60)</f>
        <v/>
      </c>
      <c r="S180">
        <f>IF($A180="","", $R180*IFERROR(IF(XLOOKUP('Job Control'!$B$3, INPUT_JobSettings!$A:$A, INPUT_JobSettings!$F:$F, "")&lt;&gt;"", XLOOKUP('Job Control'!$B$3, INPUT_JobSettings!$A:$A, INPUT_JobSettings!$F:$F, ""), $B$6), $B$6) + $M180)</f>
        <v/>
      </c>
      <c r="T180">
        <f>IF($A180="","", ($S180+$P180)*IFERROR(IF(XLOOKUP('Job Control'!$B$3, INPUT_JobSettings!$A:$A, INPUT_JobSettings!$G:$G, "")&lt;&gt;"", XLOOKUP('Job Control'!$B$3, INPUT_JobSettings!$A:$A, INPUT_JobSettings!$G:$G, ""), $B$7), $B$7))</f>
        <v/>
      </c>
      <c r="U180">
        <f>IF($A180="","", IFERROR(XLOOKUP($A180, INPUT_Rooms!$B:$B, INPUT_Rooms!$AI:$AI, ""), ""))</f>
        <v/>
      </c>
      <c r="V180">
        <f>IF($A180="","", IF($U180="", 1, IFERROR(XLOOKUP($U180, Constants!$A$160:$A$190, Constants!$C$160:$C$190, 1), 1)))</f>
        <v/>
      </c>
      <c r="W180">
        <f>IF($A180="","", ($D180*IF($U180="",0,IFERROR(XLOOKUP($U180, Constants!$A$160:$A$190, Constants!$D$160:$D$190, 0),0))) )</f>
        <v/>
      </c>
    </row>
    <row r="181">
      <c r="M181">
        <f>IF($A181="","", IFERROR(XLOOKUP($A181, INPUT_Rooms!$B:$B, INPUT_Rooms!$S:$S, 0),0) + $W181)</f>
        <v/>
      </c>
      <c r="N181">
        <f>IF($A181="","",IF($D181="", "", CEILING( ($D181*$H181) / IFERROR(XLOOKUP(XLOOKUP('Job Control'!$B$3, INPUT_JobSettings!$A:$A, INPUT_JobSettings!$C:$C, ""), Constants!$A:$A, Constants!$E:$E, ""),""), 0.25))))</f>
        <v/>
      </c>
      <c r="O181">
        <f>IF($A181="","",IF($G181="None",0,IF($D181="", "", CEILING( ($D181*IF($G181="Full",1, XLOOKUP("PrimerSpotFactor",Constants!$F$20:$F$40,Constants!$G$20:$G$40))) / IFERROR(XLOOKUP(XLOOKUP('Job Control'!$B$3, INPUT_JobSettings!$A:$A, INPUT_JobSettings!$E:$E, ""), Constants!$A:$A, Constants!$E:$E, ""),""), 0.25)))))</f>
        <v/>
      </c>
      <c r="P181">
        <f>IF($A181="","",IF($D181="", "", $N181*IFERROR(XLOOKUP(XLOOKUP('Job Control'!$B$3, INPUT_JobSettings!$A:$A, INPUT_JobSettings!$C:$C, ""), Constants!$A:$A, Constants!$D:$D, 0),0) + $O181*IFERROR(XLOOKUP(XLOOKUP('Job Control'!$B$3, INPUT_JobSettings!$A:$A, INPUT_JobSettings!$E:$E, ""), Constants!$A:$A, Constants!$D:$D, 0),0))))</f>
        <v/>
      </c>
      <c r="Q181">
        <f>IF($A181="","", ($J181+$K181+$L181)*$V181 )</f>
        <v/>
      </c>
      <c r="R181">
        <f>IF($A181="","", $Q181/60)</f>
        <v/>
      </c>
      <c r="S181">
        <f>IF($A181="","", $R181*IFERROR(IF(XLOOKUP('Job Control'!$B$3, INPUT_JobSettings!$A:$A, INPUT_JobSettings!$F:$F, "")&lt;&gt;"", XLOOKUP('Job Control'!$B$3, INPUT_JobSettings!$A:$A, INPUT_JobSettings!$F:$F, ""), $B$6), $B$6) + $M181)</f>
        <v/>
      </c>
      <c r="T181">
        <f>IF($A181="","", ($S181+$P181)*IFERROR(IF(XLOOKUP('Job Control'!$B$3, INPUT_JobSettings!$A:$A, INPUT_JobSettings!$G:$G, "")&lt;&gt;"", XLOOKUP('Job Control'!$B$3, INPUT_JobSettings!$A:$A, INPUT_JobSettings!$G:$G, ""), $B$7), $B$7))</f>
        <v/>
      </c>
      <c r="U181">
        <f>IF($A181="","", IFERROR(XLOOKUP($A181, INPUT_Rooms!$B:$B, INPUT_Rooms!$AI:$AI, ""), ""))</f>
        <v/>
      </c>
      <c r="V181">
        <f>IF($A181="","", IF($U181="", 1, IFERROR(XLOOKUP($U181, Constants!$A$160:$A$190, Constants!$C$160:$C$190, 1), 1)))</f>
        <v/>
      </c>
      <c r="W181">
        <f>IF($A181="","", ($D181*IF($U181="",0,IFERROR(XLOOKUP($U181, Constants!$A$160:$A$190, Constants!$D$160:$D$190, 0),0))) )</f>
        <v/>
      </c>
    </row>
    <row r="182">
      <c r="M182">
        <f>IF($A182="","", IFERROR(XLOOKUP($A182, INPUT_Rooms!$B:$B, INPUT_Rooms!$S:$S, 0),0) + $W182)</f>
        <v/>
      </c>
      <c r="N182">
        <f>IF($A182="","",IF($D182="", "", CEILING( ($D182*$H182) / IFERROR(XLOOKUP(XLOOKUP('Job Control'!$B$3, INPUT_JobSettings!$A:$A, INPUT_JobSettings!$C:$C, ""), Constants!$A:$A, Constants!$E:$E, ""),""), 0.25))))</f>
        <v/>
      </c>
      <c r="O182">
        <f>IF($A182="","",IF($G182="None",0,IF($D182="", "", CEILING( ($D182*IF($G182="Full",1, XLOOKUP("PrimerSpotFactor",Constants!$F$20:$F$40,Constants!$G$20:$G$40))) / IFERROR(XLOOKUP(XLOOKUP('Job Control'!$B$3, INPUT_JobSettings!$A:$A, INPUT_JobSettings!$E:$E, ""), Constants!$A:$A, Constants!$E:$E, ""),""), 0.25)))))</f>
        <v/>
      </c>
      <c r="P182">
        <f>IF($A182="","",IF($D182="", "", $N182*IFERROR(XLOOKUP(XLOOKUP('Job Control'!$B$3, INPUT_JobSettings!$A:$A, INPUT_JobSettings!$C:$C, ""), Constants!$A:$A, Constants!$D:$D, 0),0) + $O182*IFERROR(XLOOKUP(XLOOKUP('Job Control'!$B$3, INPUT_JobSettings!$A:$A, INPUT_JobSettings!$E:$E, ""), Constants!$A:$A, Constants!$D:$D, 0),0))))</f>
        <v/>
      </c>
      <c r="Q182">
        <f>IF($A182="","", ($J182+$K182+$L182)*$V182 )</f>
        <v/>
      </c>
      <c r="R182">
        <f>IF($A182="","", $Q182/60)</f>
        <v/>
      </c>
      <c r="S182">
        <f>IF($A182="","", $R182*IFERROR(IF(XLOOKUP('Job Control'!$B$3, INPUT_JobSettings!$A:$A, INPUT_JobSettings!$F:$F, "")&lt;&gt;"", XLOOKUP('Job Control'!$B$3, INPUT_JobSettings!$A:$A, INPUT_JobSettings!$F:$F, ""), $B$6), $B$6) + $M182)</f>
        <v/>
      </c>
      <c r="T182">
        <f>IF($A182="","", ($S182+$P182)*IFERROR(IF(XLOOKUP('Job Control'!$B$3, INPUT_JobSettings!$A:$A, INPUT_JobSettings!$G:$G, "")&lt;&gt;"", XLOOKUP('Job Control'!$B$3, INPUT_JobSettings!$A:$A, INPUT_JobSettings!$G:$G, ""), $B$7), $B$7))</f>
        <v/>
      </c>
      <c r="U182">
        <f>IF($A182="","", IFERROR(XLOOKUP($A182, INPUT_Rooms!$B:$B, INPUT_Rooms!$AI:$AI, ""), ""))</f>
        <v/>
      </c>
      <c r="V182">
        <f>IF($A182="","", IF($U182="", 1, IFERROR(XLOOKUP($U182, Constants!$A$160:$A$190, Constants!$C$160:$C$190, 1), 1)))</f>
        <v/>
      </c>
      <c r="W182">
        <f>IF($A182="","", ($D182*IF($U182="",0,IFERROR(XLOOKUP($U182, Constants!$A$160:$A$190, Constants!$D$160:$D$190, 0),0))) )</f>
        <v/>
      </c>
    </row>
    <row r="183">
      <c r="M183">
        <f>IF($A183="","", IFERROR(XLOOKUP($A183, INPUT_Rooms!$B:$B, INPUT_Rooms!$S:$S, 0),0) + $W183)</f>
        <v/>
      </c>
      <c r="N183">
        <f>IF($A183="","",IF($D183="", "", CEILING( ($D183*$H183) / IFERROR(XLOOKUP(XLOOKUP('Job Control'!$B$3, INPUT_JobSettings!$A:$A, INPUT_JobSettings!$C:$C, ""), Constants!$A:$A, Constants!$E:$E, ""),""), 0.25))))</f>
        <v/>
      </c>
      <c r="O183">
        <f>IF($A183="","",IF($G183="None",0,IF($D183="", "", CEILING( ($D183*IF($G183="Full",1, XLOOKUP("PrimerSpotFactor",Constants!$F$20:$F$40,Constants!$G$20:$G$40))) / IFERROR(XLOOKUP(XLOOKUP('Job Control'!$B$3, INPUT_JobSettings!$A:$A, INPUT_JobSettings!$E:$E, ""), Constants!$A:$A, Constants!$E:$E, ""),""), 0.25)))))</f>
        <v/>
      </c>
      <c r="P183">
        <f>IF($A183="","",IF($D183="", "", $N183*IFERROR(XLOOKUP(XLOOKUP('Job Control'!$B$3, INPUT_JobSettings!$A:$A, INPUT_JobSettings!$C:$C, ""), Constants!$A:$A, Constants!$D:$D, 0),0) + $O183*IFERROR(XLOOKUP(XLOOKUP('Job Control'!$B$3, INPUT_JobSettings!$A:$A, INPUT_JobSettings!$E:$E, ""), Constants!$A:$A, Constants!$D:$D, 0),0))))</f>
        <v/>
      </c>
      <c r="Q183">
        <f>IF($A183="","", ($J183+$K183+$L183)*$V183 )</f>
        <v/>
      </c>
      <c r="R183">
        <f>IF($A183="","", $Q183/60)</f>
        <v/>
      </c>
      <c r="S183">
        <f>IF($A183="","", $R183*IFERROR(IF(XLOOKUP('Job Control'!$B$3, INPUT_JobSettings!$A:$A, INPUT_JobSettings!$F:$F, "")&lt;&gt;"", XLOOKUP('Job Control'!$B$3, INPUT_JobSettings!$A:$A, INPUT_JobSettings!$F:$F, ""), $B$6), $B$6) + $M183)</f>
        <v/>
      </c>
      <c r="T183">
        <f>IF($A183="","", ($S183+$P183)*IFERROR(IF(XLOOKUP('Job Control'!$B$3, INPUT_JobSettings!$A:$A, INPUT_JobSettings!$G:$G, "")&lt;&gt;"", XLOOKUP('Job Control'!$B$3, INPUT_JobSettings!$A:$A, INPUT_JobSettings!$G:$G, ""), $B$7), $B$7))</f>
        <v/>
      </c>
      <c r="U183">
        <f>IF($A183="","", IFERROR(XLOOKUP($A183, INPUT_Rooms!$B:$B, INPUT_Rooms!$AI:$AI, ""), ""))</f>
        <v/>
      </c>
      <c r="V183">
        <f>IF($A183="","", IF($U183="", 1, IFERROR(XLOOKUP($U183, Constants!$A$160:$A$190, Constants!$C$160:$C$190, 1), 1)))</f>
        <v/>
      </c>
      <c r="W183">
        <f>IF($A183="","", ($D183*IF($U183="",0,IFERROR(XLOOKUP($U183, Constants!$A$160:$A$190, Constants!$D$160:$D$190, 0),0))) )</f>
        <v/>
      </c>
    </row>
    <row r="184">
      <c r="M184">
        <f>IF($A184="","", IFERROR(XLOOKUP($A184, INPUT_Rooms!$B:$B, INPUT_Rooms!$S:$S, 0),0) + $W184)</f>
        <v/>
      </c>
      <c r="N184">
        <f>IF($A184="","",IF($D184="", "", CEILING( ($D184*$H184) / IFERROR(XLOOKUP(XLOOKUP('Job Control'!$B$3, INPUT_JobSettings!$A:$A, INPUT_JobSettings!$C:$C, ""), Constants!$A:$A, Constants!$E:$E, ""),""), 0.25))))</f>
        <v/>
      </c>
      <c r="O184">
        <f>IF($A184="","",IF($G184="None",0,IF($D184="", "", CEILING( ($D184*IF($G184="Full",1, XLOOKUP("PrimerSpotFactor",Constants!$F$20:$F$40,Constants!$G$20:$G$40))) / IFERROR(XLOOKUP(XLOOKUP('Job Control'!$B$3, INPUT_JobSettings!$A:$A, INPUT_JobSettings!$E:$E, ""), Constants!$A:$A, Constants!$E:$E, ""),""), 0.25)))))</f>
        <v/>
      </c>
      <c r="P184">
        <f>IF($A184="","",IF($D184="", "", $N184*IFERROR(XLOOKUP(XLOOKUP('Job Control'!$B$3, INPUT_JobSettings!$A:$A, INPUT_JobSettings!$C:$C, ""), Constants!$A:$A, Constants!$D:$D, 0),0) + $O184*IFERROR(XLOOKUP(XLOOKUP('Job Control'!$B$3, INPUT_JobSettings!$A:$A, INPUT_JobSettings!$E:$E, ""), Constants!$A:$A, Constants!$D:$D, 0),0))))</f>
        <v/>
      </c>
      <c r="Q184">
        <f>IF($A184="","", ($J184+$K184+$L184)*$V184 )</f>
        <v/>
      </c>
      <c r="R184">
        <f>IF($A184="","", $Q184/60)</f>
        <v/>
      </c>
      <c r="S184">
        <f>IF($A184="","", $R184*IFERROR(IF(XLOOKUP('Job Control'!$B$3, INPUT_JobSettings!$A:$A, INPUT_JobSettings!$F:$F, "")&lt;&gt;"", XLOOKUP('Job Control'!$B$3, INPUT_JobSettings!$A:$A, INPUT_JobSettings!$F:$F, ""), $B$6), $B$6) + $M184)</f>
        <v/>
      </c>
      <c r="T184">
        <f>IF($A184="","", ($S184+$P184)*IFERROR(IF(XLOOKUP('Job Control'!$B$3, INPUT_JobSettings!$A:$A, INPUT_JobSettings!$G:$G, "")&lt;&gt;"", XLOOKUP('Job Control'!$B$3, INPUT_JobSettings!$A:$A, INPUT_JobSettings!$G:$G, ""), $B$7), $B$7))</f>
        <v/>
      </c>
      <c r="U184">
        <f>IF($A184="","", IFERROR(XLOOKUP($A184, INPUT_Rooms!$B:$B, INPUT_Rooms!$AI:$AI, ""), ""))</f>
        <v/>
      </c>
      <c r="V184">
        <f>IF($A184="","", IF($U184="", 1, IFERROR(XLOOKUP($U184, Constants!$A$160:$A$190, Constants!$C$160:$C$190, 1), 1)))</f>
        <v/>
      </c>
      <c r="W184">
        <f>IF($A184="","", ($D184*IF($U184="",0,IFERROR(XLOOKUP($U184, Constants!$A$160:$A$190, Constants!$D$160:$D$190, 0),0))) )</f>
        <v/>
      </c>
    </row>
    <row r="185">
      <c r="M185">
        <f>IF($A185="","", IFERROR(XLOOKUP($A185, INPUT_Rooms!$B:$B, INPUT_Rooms!$S:$S, 0),0) + $W185)</f>
        <v/>
      </c>
      <c r="N185">
        <f>IF($A185="","",IF($D185="", "", CEILING( ($D185*$H185) / IFERROR(XLOOKUP(XLOOKUP('Job Control'!$B$3, INPUT_JobSettings!$A:$A, INPUT_JobSettings!$C:$C, ""), Constants!$A:$A, Constants!$E:$E, ""),""), 0.25))))</f>
        <v/>
      </c>
      <c r="O185">
        <f>IF($A185="","",IF($G185="None",0,IF($D185="", "", CEILING( ($D185*IF($G185="Full",1, XLOOKUP("PrimerSpotFactor",Constants!$F$20:$F$40,Constants!$G$20:$G$40))) / IFERROR(XLOOKUP(XLOOKUP('Job Control'!$B$3, INPUT_JobSettings!$A:$A, INPUT_JobSettings!$E:$E, ""), Constants!$A:$A, Constants!$E:$E, ""),""), 0.25)))))</f>
        <v/>
      </c>
      <c r="P185">
        <f>IF($A185="","",IF($D185="", "", $N185*IFERROR(XLOOKUP(XLOOKUP('Job Control'!$B$3, INPUT_JobSettings!$A:$A, INPUT_JobSettings!$C:$C, ""), Constants!$A:$A, Constants!$D:$D, 0),0) + $O185*IFERROR(XLOOKUP(XLOOKUP('Job Control'!$B$3, INPUT_JobSettings!$A:$A, INPUT_JobSettings!$E:$E, ""), Constants!$A:$A, Constants!$D:$D, 0),0))))</f>
        <v/>
      </c>
      <c r="Q185">
        <f>IF($A185="","", ($J185+$K185+$L185)*$V185 )</f>
        <v/>
      </c>
      <c r="R185">
        <f>IF($A185="","", $Q185/60)</f>
        <v/>
      </c>
      <c r="S185">
        <f>IF($A185="","", $R185*IFERROR(IF(XLOOKUP('Job Control'!$B$3, INPUT_JobSettings!$A:$A, INPUT_JobSettings!$F:$F, "")&lt;&gt;"", XLOOKUP('Job Control'!$B$3, INPUT_JobSettings!$A:$A, INPUT_JobSettings!$F:$F, ""), $B$6), $B$6) + $M185)</f>
        <v/>
      </c>
      <c r="T185">
        <f>IF($A185="","", ($S185+$P185)*IFERROR(IF(XLOOKUP('Job Control'!$B$3, INPUT_JobSettings!$A:$A, INPUT_JobSettings!$G:$G, "")&lt;&gt;"", XLOOKUP('Job Control'!$B$3, INPUT_JobSettings!$A:$A, INPUT_JobSettings!$G:$G, ""), $B$7), $B$7))</f>
        <v/>
      </c>
      <c r="U185">
        <f>IF($A185="","", IFERROR(XLOOKUP($A185, INPUT_Rooms!$B:$B, INPUT_Rooms!$AI:$AI, ""), ""))</f>
        <v/>
      </c>
      <c r="V185">
        <f>IF($A185="","", IF($U185="", 1, IFERROR(XLOOKUP($U185, Constants!$A$160:$A$190, Constants!$C$160:$C$190, 1), 1)))</f>
        <v/>
      </c>
      <c r="W185">
        <f>IF($A185="","", ($D185*IF($U185="",0,IFERROR(XLOOKUP($U185, Constants!$A$160:$A$190, Constants!$D$160:$D$190, 0),0))) )</f>
        <v/>
      </c>
    </row>
    <row r="186">
      <c r="M186">
        <f>IF($A186="","", IFERROR(XLOOKUP($A186, INPUT_Rooms!$B:$B, INPUT_Rooms!$S:$S, 0),0) + $W186)</f>
        <v/>
      </c>
      <c r="N186">
        <f>IF($A186="","",IF($D186="", "", CEILING( ($D186*$H186) / IFERROR(XLOOKUP(XLOOKUP('Job Control'!$B$3, INPUT_JobSettings!$A:$A, INPUT_JobSettings!$C:$C, ""), Constants!$A:$A, Constants!$E:$E, ""),""), 0.25))))</f>
        <v/>
      </c>
      <c r="O186">
        <f>IF($A186="","",IF($G186="None",0,IF($D186="", "", CEILING( ($D186*IF($G186="Full",1, XLOOKUP("PrimerSpotFactor",Constants!$F$20:$F$40,Constants!$G$20:$G$40))) / IFERROR(XLOOKUP(XLOOKUP('Job Control'!$B$3, INPUT_JobSettings!$A:$A, INPUT_JobSettings!$E:$E, ""), Constants!$A:$A, Constants!$E:$E, ""),""), 0.25)))))</f>
        <v/>
      </c>
      <c r="P186">
        <f>IF($A186="","",IF($D186="", "", $N186*IFERROR(XLOOKUP(XLOOKUP('Job Control'!$B$3, INPUT_JobSettings!$A:$A, INPUT_JobSettings!$C:$C, ""), Constants!$A:$A, Constants!$D:$D, 0),0) + $O186*IFERROR(XLOOKUP(XLOOKUP('Job Control'!$B$3, INPUT_JobSettings!$A:$A, INPUT_JobSettings!$E:$E, ""), Constants!$A:$A, Constants!$D:$D, 0),0))))</f>
        <v/>
      </c>
      <c r="Q186">
        <f>IF($A186="","", ($J186+$K186+$L186)*$V186 )</f>
        <v/>
      </c>
      <c r="R186">
        <f>IF($A186="","", $Q186/60)</f>
        <v/>
      </c>
      <c r="S186">
        <f>IF($A186="","", $R186*IFERROR(IF(XLOOKUP('Job Control'!$B$3, INPUT_JobSettings!$A:$A, INPUT_JobSettings!$F:$F, "")&lt;&gt;"", XLOOKUP('Job Control'!$B$3, INPUT_JobSettings!$A:$A, INPUT_JobSettings!$F:$F, ""), $B$6), $B$6) + $M186)</f>
        <v/>
      </c>
      <c r="T186">
        <f>IF($A186="","", ($S186+$P186)*IFERROR(IF(XLOOKUP('Job Control'!$B$3, INPUT_JobSettings!$A:$A, INPUT_JobSettings!$G:$G, "")&lt;&gt;"", XLOOKUP('Job Control'!$B$3, INPUT_JobSettings!$A:$A, INPUT_JobSettings!$G:$G, ""), $B$7), $B$7))</f>
        <v/>
      </c>
      <c r="U186">
        <f>IF($A186="","", IFERROR(XLOOKUP($A186, INPUT_Rooms!$B:$B, INPUT_Rooms!$AI:$AI, ""), ""))</f>
        <v/>
      </c>
      <c r="V186">
        <f>IF($A186="","", IF($U186="", 1, IFERROR(XLOOKUP($U186, Constants!$A$160:$A$190, Constants!$C$160:$C$190, 1), 1)))</f>
        <v/>
      </c>
      <c r="W186">
        <f>IF($A186="","", ($D186*IF($U186="",0,IFERROR(XLOOKUP($U186, Constants!$A$160:$A$190, Constants!$D$160:$D$190, 0),0))) )</f>
        <v/>
      </c>
    </row>
    <row r="187">
      <c r="M187">
        <f>IF($A187="","", IFERROR(XLOOKUP($A187, INPUT_Rooms!$B:$B, INPUT_Rooms!$S:$S, 0),0) + $W187)</f>
        <v/>
      </c>
      <c r="N187">
        <f>IF($A187="","",IF($D187="", "", CEILING( ($D187*$H187) / IFERROR(XLOOKUP(XLOOKUP('Job Control'!$B$3, INPUT_JobSettings!$A:$A, INPUT_JobSettings!$C:$C, ""), Constants!$A:$A, Constants!$E:$E, ""),""), 0.25))))</f>
        <v/>
      </c>
      <c r="O187">
        <f>IF($A187="","",IF($G187="None",0,IF($D187="", "", CEILING( ($D187*IF($G187="Full",1, XLOOKUP("PrimerSpotFactor",Constants!$F$20:$F$40,Constants!$G$20:$G$40))) / IFERROR(XLOOKUP(XLOOKUP('Job Control'!$B$3, INPUT_JobSettings!$A:$A, INPUT_JobSettings!$E:$E, ""), Constants!$A:$A, Constants!$E:$E, ""),""), 0.25)))))</f>
        <v/>
      </c>
      <c r="P187">
        <f>IF($A187="","",IF($D187="", "", $N187*IFERROR(XLOOKUP(XLOOKUP('Job Control'!$B$3, INPUT_JobSettings!$A:$A, INPUT_JobSettings!$C:$C, ""), Constants!$A:$A, Constants!$D:$D, 0),0) + $O187*IFERROR(XLOOKUP(XLOOKUP('Job Control'!$B$3, INPUT_JobSettings!$A:$A, INPUT_JobSettings!$E:$E, ""), Constants!$A:$A, Constants!$D:$D, 0),0))))</f>
        <v/>
      </c>
      <c r="Q187">
        <f>IF($A187="","", ($J187+$K187+$L187)*$V187 )</f>
        <v/>
      </c>
      <c r="R187">
        <f>IF($A187="","", $Q187/60)</f>
        <v/>
      </c>
      <c r="S187">
        <f>IF($A187="","", $R187*IFERROR(IF(XLOOKUP('Job Control'!$B$3, INPUT_JobSettings!$A:$A, INPUT_JobSettings!$F:$F, "")&lt;&gt;"", XLOOKUP('Job Control'!$B$3, INPUT_JobSettings!$A:$A, INPUT_JobSettings!$F:$F, ""), $B$6), $B$6) + $M187)</f>
        <v/>
      </c>
      <c r="T187">
        <f>IF($A187="","", ($S187+$P187)*IFERROR(IF(XLOOKUP('Job Control'!$B$3, INPUT_JobSettings!$A:$A, INPUT_JobSettings!$G:$G, "")&lt;&gt;"", XLOOKUP('Job Control'!$B$3, INPUT_JobSettings!$A:$A, INPUT_JobSettings!$G:$G, ""), $B$7), $B$7))</f>
        <v/>
      </c>
      <c r="U187">
        <f>IF($A187="","", IFERROR(XLOOKUP($A187, INPUT_Rooms!$B:$B, INPUT_Rooms!$AI:$AI, ""), ""))</f>
        <v/>
      </c>
      <c r="V187">
        <f>IF($A187="","", IF($U187="", 1, IFERROR(XLOOKUP($U187, Constants!$A$160:$A$190, Constants!$C$160:$C$190, 1), 1)))</f>
        <v/>
      </c>
      <c r="W187">
        <f>IF($A187="","", ($D187*IF($U187="",0,IFERROR(XLOOKUP($U187, Constants!$A$160:$A$190, Constants!$D$160:$D$190, 0),0))) )</f>
        <v/>
      </c>
    </row>
    <row r="188">
      <c r="M188">
        <f>IF($A188="","", IFERROR(XLOOKUP($A188, INPUT_Rooms!$B:$B, INPUT_Rooms!$S:$S, 0),0) + $W188)</f>
        <v/>
      </c>
      <c r="N188">
        <f>IF($A188="","",IF($D188="", "", CEILING( ($D188*$H188) / IFERROR(XLOOKUP(XLOOKUP('Job Control'!$B$3, INPUT_JobSettings!$A:$A, INPUT_JobSettings!$C:$C, ""), Constants!$A:$A, Constants!$E:$E, ""),""), 0.25))))</f>
        <v/>
      </c>
      <c r="O188">
        <f>IF($A188="","",IF($G188="None",0,IF($D188="", "", CEILING( ($D188*IF($G188="Full",1, XLOOKUP("PrimerSpotFactor",Constants!$F$20:$F$40,Constants!$G$20:$G$40))) / IFERROR(XLOOKUP(XLOOKUP('Job Control'!$B$3, INPUT_JobSettings!$A:$A, INPUT_JobSettings!$E:$E, ""), Constants!$A:$A, Constants!$E:$E, ""),""), 0.25)))))</f>
        <v/>
      </c>
      <c r="P188">
        <f>IF($A188="","",IF($D188="", "", $N188*IFERROR(XLOOKUP(XLOOKUP('Job Control'!$B$3, INPUT_JobSettings!$A:$A, INPUT_JobSettings!$C:$C, ""), Constants!$A:$A, Constants!$D:$D, 0),0) + $O188*IFERROR(XLOOKUP(XLOOKUP('Job Control'!$B$3, INPUT_JobSettings!$A:$A, INPUT_JobSettings!$E:$E, ""), Constants!$A:$A, Constants!$D:$D, 0),0))))</f>
        <v/>
      </c>
      <c r="Q188">
        <f>IF($A188="","", ($J188+$K188+$L188)*$V188 )</f>
        <v/>
      </c>
      <c r="R188">
        <f>IF($A188="","", $Q188/60)</f>
        <v/>
      </c>
      <c r="S188">
        <f>IF($A188="","", $R188*IFERROR(IF(XLOOKUP('Job Control'!$B$3, INPUT_JobSettings!$A:$A, INPUT_JobSettings!$F:$F, "")&lt;&gt;"", XLOOKUP('Job Control'!$B$3, INPUT_JobSettings!$A:$A, INPUT_JobSettings!$F:$F, ""), $B$6), $B$6) + $M188)</f>
        <v/>
      </c>
      <c r="T188">
        <f>IF($A188="","", ($S188+$P188)*IFERROR(IF(XLOOKUP('Job Control'!$B$3, INPUT_JobSettings!$A:$A, INPUT_JobSettings!$G:$G, "")&lt;&gt;"", XLOOKUP('Job Control'!$B$3, INPUT_JobSettings!$A:$A, INPUT_JobSettings!$G:$G, ""), $B$7), $B$7))</f>
        <v/>
      </c>
      <c r="U188">
        <f>IF($A188="","", IFERROR(XLOOKUP($A188, INPUT_Rooms!$B:$B, INPUT_Rooms!$AI:$AI, ""), ""))</f>
        <v/>
      </c>
      <c r="V188">
        <f>IF($A188="","", IF($U188="", 1, IFERROR(XLOOKUP($U188, Constants!$A$160:$A$190, Constants!$C$160:$C$190, 1), 1)))</f>
        <v/>
      </c>
      <c r="W188">
        <f>IF($A188="","", ($D188*IF($U188="",0,IFERROR(XLOOKUP($U188, Constants!$A$160:$A$190, Constants!$D$160:$D$190, 0),0))) )</f>
        <v/>
      </c>
    </row>
    <row r="189">
      <c r="M189">
        <f>IF($A189="","", IFERROR(XLOOKUP($A189, INPUT_Rooms!$B:$B, INPUT_Rooms!$S:$S, 0),0) + $W189)</f>
        <v/>
      </c>
      <c r="N189">
        <f>IF($A189="","",IF($D189="", "", CEILING( ($D189*$H189) / IFERROR(XLOOKUP(XLOOKUP('Job Control'!$B$3, INPUT_JobSettings!$A:$A, INPUT_JobSettings!$C:$C, ""), Constants!$A:$A, Constants!$E:$E, ""),""), 0.25))))</f>
        <v/>
      </c>
      <c r="O189">
        <f>IF($A189="","",IF($G189="None",0,IF($D189="", "", CEILING( ($D189*IF($G189="Full",1, XLOOKUP("PrimerSpotFactor",Constants!$F$20:$F$40,Constants!$G$20:$G$40))) / IFERROR(XLOOKUP(XLOOKUP('Job Control'!$B$3, INPUT_JobSettings!$A:$A, INPUT_JobSettings!$E:$E, ""), Constants!$A:$A, Constants!$E:$E, ""),""), 0.25)))))</f>
        <v/>
      </c>
      <c r="P189">
        <f>IF($A189="","",IF($D189="", "", $N189*IFERROR(XLOOKUP(XLOOKUP('Job Control'!$B$3, INPUT_JobSettings!$A:$A, INPUT_JobSettings!$C:$C, ""), Constants!$A:$A, Constants!$D:$D, 0),0) + $O189*IFERROR(XLOOKUP(XLOOKUP('Job Control'!$B$3, INPUT_JobSettings!$A:$A, INPUT_JobSettings!$E:$E, ""), Constants!$A:$A, Constants!$D:$D, 0),0))))</f>
        <v/>
      </c>
      <c r="Q189">
        <f>IF($A189="","", ($J189+$K189+$L189)*$V189 )</f>
        <v/>
      </c>
      <c r="R189">
        <f>IF($A189="","", $Q189/60)</f>
        <v/>
      </c>
      <c r="S189">
        <f>IF($A189="","", $R189*IFERROR(IF(XLOOKUP('Job Control'!$B$3, INPUT_JobSettings!$A:$A, INPUT_JobSettings!$F:$F, "")&lt;&gt;"", XLOOKUP('Job Control'!$B$3, INPUT_JobSettings!$A:$A, INPUT_JobSettings!$F:$F, ""), $B$6), $B$6) + $M189)</f>
        <v/>
      </c>
      <c r="T189">
        <f>IF($A189="","", ($S189+$P189)*IFERROR(IF(XLOOKUP('Job Control'!$B$3, INPUT_JobSettings!$A:$A, INPUT_JobSettings!$G:$G, "")&lt;&gt;"", XLOOKUP('Job Control'!$B$3, INPUT_JobSettings!$A:$A, INPUT_JobSettings!$G:$G, ""), $B$7), $B$7))</f>
        <v/>
      </c>
      <c r="U189">
        <f>IF($A189="","", IFERROR(XLOOKUP($A189, INPUT_Rooms!$B:$B, INPUT_Rooms!$AI:$AI, ""), ""))</f>
        <v/>
      </c>
      <c r="V189">
        <f>IF($A189="","", IF($U189="", 1, IFERROR(XLOOKUP($U189, Constants!$A$160:$A$190, Constants!$C$160:$C$190, 1), 1)))</f>
        <v/>
      </c>
      <c r="W189">
        <f>IF($A189="","", ($D189*IF($U189="",0,IFERROR(XLOOKUP($U189, Constants!$A$160:$A$190, Constants!$D$160:$D$190, 0),0))) )</f>
        <v/>
      </c>
    </row>
    <row r="190">
      <c r="M190">
        <f>IF($A190="","", IFERROR(XLOOKUP($A190, INPUT_Rooms!$B:$B, INPUT_Rooms!$S:$S, 0),0) + $W190)</f>
        <v/>
      </c>
      <c r="N190">
        <f>IF($A190="","",IF($D190="", "", CEILING( ($D190*$H190) / IFERROR(XLOOKUP(XLOOKUP('Job Control'!$B$3, INPUT_JobSettings!$A:$A, INPUT_JobSettings!$C:$C, ""), Constants!$A:$A, Constants!$E:$E, ""),""), 0.25))))</f>
        <v/>
      </c>
      <c r="O190">
        <f>IF($A190="","",IF($G190="None",0,IF($D190="", "", CEILING( ($D190*IF($G190="Full",1, XLOOKUP("PrimerSpotFactor",Constants!$F$20:$F$40,Constants!$G$20:$G$40))) / IFERROR(XLOOKUP(XLOOKUP('Job Control'!$B$3, INPUT_JobSettings!$A:$A, INPUT_JobSettings!$E:$E, ""), Constants!$A:$A, Constants!$E:$E, ""),""), 0.25)))))</f>
        <v/>
      </c>
      <c r="P190">
        <f>IF($A190="","",IF($D190="", "", $N190*IFERROR(XLOOKUP(XLOOKUP('Job Control'!$B$3, INPUT_JobSettings!$A:$A, INPUT_JobSettings!$C:$C, ""), Constants!$A:$A, Constants!$D:$D, 0),0) + $O190*IFERROR(XLOOKUP(XLOOKUP('Job Control'!$B$3, INPUT_JobSettings!$A:$A, INPUT_JobSettings!$E:$E, ""), Constants!$A:$A, Constants!$D:$D, 0),0))))</f>
        <v/>
      </c>
      <c r="Q190">
        <f>IF($A190="","", ($J190+$K190+$L190)*$V190 )</f>
        <v/>
      </c>
      <c r="R190">
        <f>IF($A190="","", $Q190/60)</f>
        <v/>
      </c>
      <c r="S190">
        <f>IF($A190="","", $R190*IFERROR(IF(XLOOKUP('Job Control'!$B$3, INPUT_JobSettings!$A:$A, INPUT_JobSettings!$F:$F, "")&lt;&gt;"", XLOOKUP('Job Control'!$B$3, INPUT_JobSettings!$A:$A, INPUT_JobSettings!$F:$F, ""), $B$6), $B$6) + $M190)</f>
        <v/>
      </c>
      <c r="T190">
        <f>IF($A190="","", ($S190+$P190)*IFERROR(IF(XLOOKUP('Job Control'!$B$3, INPUT_JobSettings!$A:$A, INPUT_JobSettings!$G:$G, "")&lt;&gt;"", XLOOKUP('Job Control'!$B$3, INPUT_JobSettings!$A:$A, INPUT_JobSettings!$G:$G, ""), $B$7), $B$7))</f>
        <v/>
      </c>
      <c r="U190">
        <f>IF($A190="","", IFERROR(XLOOKUP($A190, INPUT_Rooms!$B:$B, INPUT_Rooms!$AI:$AI, ""), ""))</f>
        <v/>
      </c>
      <c r="V190">
        <f>IF($A190="","", IF($U190="", 1, IFERROR(XLOOKUP($U190, Constants!$A$160:$A$190, Constants!$C$160:$C$190, 1), 1)))</f>
        <v/>
      </c>
      <c r="W190">
        <f>IF($A190="","", ($D190*IF($U190="",0,IFERROR(XLOOKUP($U190, Constants!$A$160:$A$190, Constants!$D$160:$D$190, 0),0))) )</f>
        <v/>
      </c>
    </row>
    <row r="191">
      <c r="M191">
        <f>IF($A191="","", IFERROR(XLOOKUP($A191, INPUT_Rooms!$B:$B, INPUT_Rooms!$S:$S, 0),0) + $W191)</f>
        <v/>
      </c>
      <c r="N191">
        <f>IF($A191="","",IF($D191="", "", CEILING( ($D191*$H191) / IFERROR(XLOOKUP(XLOOKUP('Job Control'!$B$3, INPUT_JobSettings!$A:$A, INPUT_JobSettings!$C:$C, ""), Constants!$A:$A, Constants!$E:$E, ""),""), 0.25))))</f>
        <v/>
      </c>
      <c r="O191">
        <f>IF($A191="","",IF($G191="None",0,IF($D191="", "", CEILING( ($D191*IF($G191="Full",1, XLOOKUP("PrimerSpotFactor",Constants!$F$20:$F$40,Constants!$G$20:$G$40))) / IFERROR(XLOOKUP(XLOOKUP('Job Control'!$B$3, INPUT_JobSettings!$A:$A, INPUT_JobSettings!$E:$E, ""), Constants!$A:$A, Constants!$E:$E, ""),""), 0.25)))))</f>
        <v/>
      </c>
      <c r="P191">
        <f>IF($A191="","",IF($D191="", "", $N191*IFERROR(XLOOKUP(XLOOKUP('Job Control'!$B$3, INPUT_JobSettings!$A:$A, INPUT_JobSettings!$C:$C, ""), Constants!$A:$A, Constants!$D:$D, 0),0) + $O191*IFERROR(XLOOKUP(XLOOKUP('Job Control'!$B$3, INPUT_JobSettings!$A:$A, INPUT_JobSettings!$E:$E, ""), Constants!$A:$A, Constants!$D:$D, 0),0))))</f>
        <v/>
      </c>
      <c r="Q191">
        <f>IF($A191="","", ($J191+$K191+$L191)*$V191 )</f>
        <v/>
      </c>
      <c r="R191">
        <f>IF($A191="","", $Q191/60)</f>
        <v/>
      </c>
      <c r="S191">
        <f>IF($A191="","", $R191*IFERROR(IF(XLOOKUP('Job Control'!$B$3, INPUT_JobSettings!$A:$A, INPUT_JobSettings!$F:$F, "")&lt;&gt;"", XLOOKUP('Job Control'!$B$3, INPUT_JobSettings!$A:$A, INPUT_JobSettings!$F:$F, ""), $B$6), $B$6) + $M191)</f>
        <v/>
      </c>
      <c r="T191">
        <f>IF($A191="","", ($S191+$P191)*IFERROR(IF(XLOOKUP('Job Control'!$B$3, INPUT_JobSettings!$A:$A, INPUT_JobSettings!$G:$G, "")&lt;&gt;"", XLOOKUP('Job Control'!$B$3, INPUT_JobSettings!$A:$A, INPUT_JobSettings!$G:$G, ""), $B$7), $B$7))</f>
        <v/>
      </c>
      <c r="U191">
        <f>IF($A191="","", IFERROR(XLOOKUP($A191, INPUT_Rooms!$B:$B, INPUT_Rooms!$AI:$AI, ""), ""))</f>
        <v/>
      </c>
      <c r="V191">
        <f>IF($A191="","", IF($U191="", 1, IFERROR(XLOOKUP($U191, Constants!$A$160:$A$190, Constants!$C$160:$C$190, 1), 1)))</f>
        <v/>
      </c>
      <c r="W191">
        <f>IF($A191="","", ($D191*IF($U191="",0,IFERROR(XLOOKUP($U191, Constants!$A$160:$A$190, Constants!$D$160:$D$190, 0),0))) )</f>
        <v/>
      </c>
    </row>
    <row r="192">
      <c r="M192">
        <f>IF($A192="","", IFERROR(XLOOKUP($A192, INPUT_Rooms!$B:$B, INPUT_Rooms!$S:$S, 0),0) + $W192)</f>
        <v/>
      </c>
      <c r="N192">
        <f>IF($A192="","",IF($D192="", "", CEILING( ($D192*$H192) / IFERROR(XLOOKUP(XLOOKUP('Job Control'!$B$3, INPUT_JobSettings!$A:$A, INPUT_JobSettings!$C:$C, ""), Constants!$A:$A, Constants!$E:$E, ""),""), 0.25))))</f>
        <v/>
      </c>
      <c r="O192">
        <f>IF($A192="","",IF($G192="None",0,IF($D192="", "", CEILING( ($D192*IF($G192="Full",1, XLOOKUP("PrimerSpotFactor",Constants!$F$20:$F$40,Constants!$G$20:$G$40))) / IFERROR(XLOOKUP(XLOOKUP('Job Control'!$B$3, INPUT_JobSettings!$A:$A, INPUT_JobSettings!$E:$E, ""), Constants!$A:$A, Constants!$E:$E, ""),""), 0.25)))))</f>
        <v/>
      </c>
      <c r="P192">
        <f>IF($A192="","",IF($D192="", "", $N192*IFERROR(XLOOKUP(XLOOKUP('Job Control'!$B$3, INPUT_JobSettings!$A:$A, INPUT_JobSettings!$C:$C, ""), Constants!$A:$A, Constants!$D:$D, 0),0) + $O192*IFERROR(XLOOKUP(XLOOKUP('Job Control'!$B$3, INPUT_JobSettings!$A:$A, INPUT_JobSettings!$E:$E, ""), Constants!$A:$A, Constants!$D:$D, 0),0))))</f>
        <v/>
      </c>
      <c r="Q192">
        <f>IF($A192="","", ($J192+$K192+$L192)*$V192 )</f>
        <v/>
      </c>
      <c r="R192">
        <f>IF($A192="","", $Q192/60)</f>
        <v/>
      </c>
      <c r="S192">
        <f>IF($A192="","", $R192*IFERROR(IF(XLOOKUP('Job Control'!$B$3, INPUT_JobSettings!$A:$A, INPUT_JobSettings!$F:$F, "")&lt;&gt;"", XLOOKUP('Job Control'!$B$3, INPUT_JobSettings!$A:$A, INPUT_JobSettings!$F:$F, ""), $B$6), $B$6) + $M192)</f>
        <v/>
      </c>
      <c r="T192">
        <f>IF($A192="","", ($S192+$P192)*IFERROR(IF(XLOOKUP('Job Control'!$B$3, INPUT_JobSettings!$A:$A, INPUT_JobSettings!$G:$G, "")&lt;&gt;"", XLOOKUP('Job Control'!$B$3, INPUT_JobSettings!$A:$A, INPUT_JobSettings!$G:$G, ""), $B$7), $B$7))</f>
        <v/>
      </c>
      <c r="U192">
        <f>IF($A192="","", IFERROR(XLOOKUP($A192, INPUT_Rooms!$B:$B, INPUT_Rooms!$AI:$AI, ""), ""))</f>
        <v/>
      </c>
      <c r="V192">
        <f>IF($A192="","", IF($U192="", 1, IFERROR(XLOOKUP($U192, Constants!$A$160:$A$190, Constants!$C$160:$C$190, 1), 1)))</f>
        <v/>
      </c>
      <c r="W192">
        <f>IF($A192="","", ($D192*IF($U192="",0,IFERROR(XLOOKUP($U192, Constants!$A$160:$A$190, Constants!$D$160:$D$190, 0),0))) )</f>
        <v/>
      </c>
    </row>
    <row r="193">
      <c r="M193">
        <f>IF($A193="","", IFERROR(XLOOKUP($A193, INPUT_Rooms!$B:$B, INPUT_Rooms!$S:$S, 0),0) + $W193)</f>
        <v/>
      </c>
      <c r="N193">
        <f>IF($A193="","",IF($D193="", "", CEILING( ($D193*$H193) / IFERROR(XLOOKUP(XLOOKUP('Job Control'!$B$3, INPUT_JobSettings!$A:$A, INPUT_JobSettings!$C:$C, ""), Constants!$A:$A, Constants!$E:$E, ""),""), 0.25))))</f>
        <v/>
      </c>
      <c r="O193">
        <f>IF($A193="","",IF($G193="None",0,IF($D193="", "", CEILING( ($D193*IF($G193="Full",1, XLOOKUP("PrimerSpotFactor",Constants!$F$20:$F$40,Constants!$G$20:$G$40))) / IFERROR(XLOOKUP(XLOOKUP('Job Control'!$B$3, INPUT_JobSettings!$A:$A, INPUT_JobSettings!$E:$E, ""), Constants!$A:$A, Constants!$E:$E, ""),""), 0.25)))))</f>
        <v/>
      </c>
      <c r="P193">
        <f>IF($A193="","",IF($D193="", "", $N193*IFERROR(XLOOKUP(XLOOKUP('Job Control'!$B$3, INPUT_JobSettings!$A:$A, INPUT_JobSettings!$C:$C, ""), Constants!$A:$A, Constants!$D:$D, 0),0) + $O193*IFERROR(XLOOKUP(XLOOKUP('Job Control'!$B$3, INPUT_JobSettings!$A:$A, INPUT_JobSettings!$E:$E, ""), Constants!$A:$A, Constants!$D:$D, 0),0))))</f>
        <v/>
      </c>
      <c r="Q193">
        <f>IF($A193="","", ($J193+$K193+$L193)*$V193 )</f>
        <v/>
      </c>
      <c r="R193">
        <f>IF($A193="","", $Q193/60)</f>
        <v/>
      </c>
      <c r="S193">
        <f>IF($A193="","", $R193*IFERROR(IF(XLOOKUP('Job Control'!$B$3, INPUT_JobSettings!$A:$A, INPUT_JobSettings!$F:$F, "")&lt;&gt;"", XLOOKUP('Job Control'!$B$3, INPUT_JobSettings!$A:$A, INPUT_JobSettings!$F:$F, ""), $B$6), $B$6) + $M193)</f>
        <v/>
      </c>
      <c r="T193">
        <f>IF($A193="","", ($S193+$P193)*IFERROR(IF(XLOOKUP('Job Control'!$B$3, INPUT_JobSettings!$A:$A, INPUT_JobSettings!$G:$G, "")&lt;&gt;"", XLOOKUP('Job Control'!$B$3, INPUT_JobSettings!$A:$A, INPUT_JobSettings!$G:$G, ""), $B$7), $B$7))</f>
        <v/>
      </c>
      <c r="U193">
        <f>IF($A193="","", IFERROR(XLOOKUP($A193, INPUT_Rooms!$B:$B, INPUT_Rooms!$AI:$AI, ""), ""))</f>
        <v/>
      </c>
      <c r="V193">
        <f>IF($A193="","", IF($U193="", 1, IFERROR(XLOOKUP($U193, Constants!$A$160:$A$190, Constants!$C$160:$C$190, 1), 1)))</f>
        <v/>
      </c>
      <c r="W193">
        <f>IF($A193="","", ($D193*IF($U193="",0,IFERROR(XLOOKUP($U193, Constants!$A$160:$A$190, Constants!$D$160:$D$190, 0),0))) )</f>
        <v/>
      </c>
    </row>
    <row r="194">
      <c r="M194">
        <f>IF($A194="","", IFERROR(XLOOKUP($A194, INPUT_Rooms!$B:$B, INPUT_Rooms!$S:$S, 0),0) + $W194)</f>
        <v/>
      </c>
      <c r="N194">
        <f>IF($A194="","",IF($D194="", "", CEILING( ($D194*$H194) / IFERROR(XLOOKUP(XLOOKUP('Job Control'!$B$3, INPUT_JobSettings!$A:$A, INPUT_JobSettings!$C:$C, ""), Constants!$A:$A, Constants!$E:$E, ""),""), 0.25))))</f>
        <v/>
      </c>
      <c r="O194">
        <f>IF($A194="","",IF($G194="None",0,IF($D194="", "", CEILING( ($D194*IF($G194="Full",1, XLOOKUP("PrimerSpotFactor",Constants!$F$20:$F$40,Constants!$G$20:$G$40))) / IFERROR(XLOOKUP(XLOOKUP('Job Control'!$B$3, INPUT_JobSettings!$A:$A, INPUT_JobSettings!$E:$E, ""), Constants!$A:$A, Constants!$E:$E, ""),""), 0.25)))))</f>
        <v/>
      </c>
      <c r="P194">
        <f>IF($A194="","",IF($D194="", "", $N194*IFERROR(XLOOKUP(XLOOKUP('Job Control'!$B$3, INPUT_JobSettings!$A:$A, INPUT_JobSettings!$C:$C, ""), Constants!$A:$A, Constants!$D:$D, 0),0) + $O194*IFERROR(XLOOKUP(XLOOKUP('Job Control'!$B$3, INPUT_JobSettings!$A:$A, INPUT_JobSettings!$E:$E, ""), Constants!$A:$A, Constants!$D:$D, 0),0))))</f>
        <v/>
      </c>
      <c r="Q194">
        <f>IF($A194="","", ($J194+$K194+$L194)*$V194 )</f>
        <v/>
      </c>
      <c r="R194">
        <f>IF($A194="","", $Q194/60)</f>
        <v/>
      </c>
      <c r="S194">
        <f>IF($A194="","", $R194*IFERROR(IF(XLOOKUP('Job Control'!$B$3, INPUT_JobSettings!$A:$A, INPUT_JobSettings!$F:$F, "")&lt;&gt;"", XLOOKUP('Job Control'!$B$3, INPUT_JobSettings!$A:$A, INPUT_JobSettings!$F:$F, ""), $B$6), $B$6) + $M194)</f>
        <v/>
      </c>
      <c r="T194">
        <f>IF($A194="","", ($S194+$P194)*IFERROR(IF(XLOOKUP('Job Control'!$B$3, INPUT_JobSettings!$A:$A, INPUT_JobSettings!$G:$G, "")&lt;&gt;"", XLOOKUP('Job Control'!$B$3, INPUT_JobSettings!$A:$A, INPUT_JobSettings!$G:$G, ""), $B$7), $B$7))</f>
        <v/>
      </c>
      <c r="U194">
        <f>IF($A194="","", IFERROR(XLOOKUP($A194, INPUT_Rooms!$B:$B, INPUT_Rooms!$AI:$AI, ""), ""))</f>
        <v/>
      </c>
      <c r="V194">
        <f>IF($A194="","", IF($U194="", 1, IFERROR(XLOOKUP($U194, Constants!$A$160:$A$190, Constants!$C$160:$C$190, 1), 1)))</f>
        <v/>
      </c>
      <c r="W194">
        <f>IF($A194="","", ($D194*IF($U194="",0,IFERROR(XLOOKUP($U194, Constants!$A$160:$A$190, Constants!$D$160:$D$190, 0),0))) )</f>
        <v/>
      </c>
    </row>
    <row r="195">
      <c r="M195">
        <f>IF($A195="","", IFERROR(XLOOKUP($A195, INPUT_Rooms!$B:$B, INPUT_Rooms!$S:$S, 0),0) + $W195)</f>
        <v/>
      </c>
      <c r="N195">
        <f>IF($A195="","",IF($D195="", "", CEILING( ($D195*$H195) / IFERROR(XLOOKUP(XLOOKUP('Job Control'!$B$3, INPUT_JobSettings!$A:$A, INPUT_JobSettings!$C:$C, ""), Constants!$A:$A, Constants!$E:$E, ""),""), 0.25))))</f>
        <v/>
      </c>
      <c r="O195">
        <f>IF($A195="","",IF($G195="None",0,IF($D195="", "", CEILING( ($D195*IF($G195="Full",1, XLOOKUP("PrimerSpotFactor",Constants!$F$20:$F$40,Constants!$G$20:$G$40))) / IFERROR(XLOOKUP(XLOOKUP('Job Control'!$B$3, INPUT_JobSettings!$A:$A, INPUT_JobSettings!$E:$E, ""), Constants!$A:$A, Constants!$E:$E, ""),""), 0.25)))))</f>
        <v/>
      </c>
      <c r="P195">
        <f>IF($A195="","",IF($D195="", "", $N195*IFERROR(XLOOKUP(XLOOKUP('Job Control'!$B$3, INPUT_JobSettings!$A:$A, INPUT_JobSettings!$C:$C, ""), Constants!$A:$A, Constants!$D:$D, 0),0) + $O195*IFERROR(XLOOKUP(XLOOKUP('Job Control'!$B$3, INPUT_JobSettings!$A:$A, INPUT_JobSettings!$E:$E, ""), Constants!$A:$A, Constants!$D:$D, 0),0))))</f>
        <v/>
      </c>
      <c r="Q195">
        <f>IF($A195="","", ($J195+$K195+$L195)*$V195 )</f>
        <v/>
      </c>
      <c r="R195">
        <f>IF($A195="","", $Q195/60)</f>
        <v/>
      </c>
      <c r="S195">
        <f>IF($A195="","", $R195*IFERROR(IF(XLOOKUP('Job Control'!$B$3, INPUT_JobSettings!$A:$A, INPUT_JobSettings!$F:$F, "")&lt;&gt;"", XLOOKUP('Job Control'!$B$3, INPUT_JobSettings!$A:$A, INPUT_JobSettings!$F:$F, ""), $B$6), $B$6) + $M195)</f>
        <v/>
      </c>
      <c r="T195">
        <f>IF($A195="","", ($S195+$P195)*IFERROR(IF(XLOOKUP('Job Control'!$B$3, INPUT_JobSettings!$A:$A, INPUT_JobSettings!$G:$G, "")&lt;&gt;"", XLOOKUP('Job Control'!$B$3, INPUT_JobSettings!$A:$A, INPUT_JobSettings!$G:$G, ""), $B$7), $B$7))</f>
        <v/>
      </c>
      <c r="U195">
        <f>IF($A195="","", IFERROR(XLOOKUP($A195, INPUT_Rooms!$B:$B, INPUT_Rooms!$AI:$AI, ""), ""))</f>
        <v/>
      </c>
      <c r="V195">
        <f>IF($A195="","", IF($U195="", 1, IFERROR(XLOOKUP($U195, Constants!$A$160:$A$190, Constants!$C$160:$C$190, 1), 1)))</f>
        <v/>
      </c>
      <c r="W195">
        <f>IF($A195="","", ($D195*IF($U195="",0,IFERROR(XLOOKUP($U195, Constants!$A$160:$A$190, Constants!$D$160:$D$190, 0),0))) )</f>
        <v/>
      </c>
    </row>
    <row r="196">
      <c r="M196">
        <f>IF($A196="","", IFERROR(XLOOKUP($A196, INPUT_Rooms!$B:$B, INPUT_Rooms!$S:$S, 0),0) + $W196)</f>
        <v/>
      </c>
      <c r="N196">
        <f>IF($A196="","",IF($D196="", "", CEILING( ($D196*$H196) / IFERROR(XLOOKUP(XLOOKUP('Job Control'!$B$3, INPUT_JobSettings!$A:$A, INPUT_JobSettings!$C:$C, ""), Constants!$A:$A, Constants!$E:$E, ""),""), 0.25))))</f>
        <v/>
      </c>
      <c r="O196">
        <f>IF($A196="","",IF($G196="None",0,IF($D196="", "", CEILING( ($D196*IF($G196="Full",1, XLOOKUP("PrimerSpotFactor",Constants!$F$20:$F$40,Constants!$G$20:$G$40))) / IFERROR(XLOOKUP(XLOOKUP('Job Control'!$B$3, INPUT_JobSettings!$A:$A, INPUT_JobSettings!$E:$E, ""), Constants!$A:$A, Constants!$E:$E, ""),""), 0.25)))))</f>
        <v/>
      </c>
      <c r="P196">
        <f>IF($A196="","",IF($D196="", "", $N196*IFERROR(XLOOKUP(XLOOKUP('Job Control'!$B$3, INPUT_JobSettings!$A:$A, INPUT_JobSettings!$C:$C, ""), Constants!$A:$A, Constants!$D:$D, 0),0) + $O196*IFERROR(XLOOKUP(XLOOKUP('Job Control'!$B$3, INPUT_JobSettings!$A:$A, INPUT_JobSettings!$E:$E, ""), Constants!$A:$A, Constants!$D:$D, 0),0))))</f>
        <v/>
      </c>
      <c r="Q196">
        <f>IF($A196="","", ($J196+$K196+$L196)*$V196 )</f>
        <v/>
      </c>
      <c r="R196">
        <f>IF($A196="","", $Q196/60)</f>
        <v/>
      </c>
      <c r="S196">
        <f>IF($A196="","", $R196*IFERROR(IF(XLOOKUP('Job Control'!$B$3, INPUT_JobSettings!$A:$A, INPUT_JobSettings!$F:$F, "")&lt;&gt;"", XLOOKUP('Job Control'!$B$3, INPUT_JobSettings!$A:$A, INPUT_JobSettings!$F:$F, ""), $B$6), $B$6) + $M196)</f>
        <v/>
      </c>
      <c r="T196">
        <f>IF($A196="","", ($S196+$P196)*IFERROR(IF(XLOOKUP('Job Control'!$B$3, INPUT_JobSettings!$A:$A, INPUT_JobSettings!$G:$G, "")&lt;&gt;"", XLOOKUP('Job Control'!$B$3, INPUT_JobSettings!$A:$A, INPUT_JobSettings!$G:$G, ""), $B$7), $B$7))</f>
        <v/>
      </c>
      <c r="U196">
        <f>IF($A196="","", IFERROR(XLOOKUP($A196, INPUT_Rooms!$B:$B, INPUT_Rooms!$AI:$AI, ""), ""))</f>
        <v/>
      </c>
      <c r="V196">
        <f>IF($A196="","", IF($U196="", 1, IFERROR(XLOOKUP($U196, Constants!$A$160:$A$190, Constants!$C$160:$C$190, 1), 1)))</f>
        <v/>
      </c>
      <c r="W196">
        <f>IF($A196="","", ($D196*IF($U196="",0,IFERROR(XLOOKUP($U196, Constants!$A$160:$A$190, Constants!$D$160:$D$190, 0),0))) )</f>
        <v/>
      </c>
    </row>
    <row r="197">
      <c r="M197">
        <f>IF($A197="","", IFERROR(XLOOKUP($A197, INPUT_Rooms!$B:$B, INPUT_Rooms!$S:$S, 0),0) + $W197)</f>
        <v/>
      </c>
      <c r="N197">
        <f>IF($A197="","",IF($D197="", "", CEILING( ($D197*$H197) / IFERROR(XLOOKUP(XLOOKUP('Job Control'!$B$3, INPUT_JobSettings!$A:$A, INPUT_JobSettings!$C:$C, ""), Constants!$A:$A, Constants!$E:$E, ""),""), 0.25))))</f>
        <v/>
      </c>
      <c r="O197">
        <f>IF($A197="","",IF($G197="None",0,IF($D197="", "", CEILING( ($D197*IF($G197="Full",1, XLOOKUP("PrimerSpotFactor",Constants!$F$20:$F$40,Constants!$G$20:$G$40))) / IFERROR(XLOOKUP(XLOOKUP('Job Control'!$B$3, INPUT_JobSettings!$A:$A, INPUT_JobSettings!$E:$E, ""), Constants!$A:$A, Constants!$E:$E, ""),""), 0.25)))))</f>
        <v/>
      </c>
      <c r="P197">
        <f>IF($A197="","",IF($D197="", "", $N197*IFERROR(XLOOKUP(XLOOKUP('Job Control'!$B$3, INPUT_JobSettings!$A:$A, INPUT_JobSettings!$C:$C, ""), Constants!$A:$A, Constants!$D:$D, 0),0) + $O197*IFERROR(XLOOKUP(XLOOKUP('Job Control'!$B$3, INPUT_JobSettings!$A:$A, INPUT_JobSettings!$E:$E, ""), Constants!$A:$A, Constants!$D:$D, 0),0))))</f>
        <v/>
      </c>
      <c r="Q197">
        <f>IF($A197="","", ($J197+$K197+$L197)*$V197 )</f>
        <v/>
      </c>
      <c r="R197">
        <f>IF($A197="","", $Q197/60)</f>
        <v/>
      </c>
      <c r="S197">
        <f>IF($A197="","", $R197*IFERROR(IF(XLOOKUP('Job Control'!$B$3, INPUT_JobSettings!$A:$A, INPUT_JobSettings!$F:$F, "")&lt;&gt;"", XLOOKUP('Job Control'!$B$3, INPUT_JobSettings!$A:$A, INPUT_JobSettings!$F:$F, ""), $B$6), $B$6) + $M197)</f>
        <v/>
      </c>
      <c r="T197">
        <f>IF($A197="","", ($S197+$P197)*IFERROR(IF(XLOOKUP('Job Control'!$B$3, INPUT_JobSettings!$A:$A, INPUT_JobSettings!$G:$G, "")&lt;&gt;"", XLOOKUP('Job Control'!$B$3, INPUT_JobSettings!$A:$A, INPUT_JobSettings!$G:$G, ""), $B$7), $B$7))</f>
        <v/>
      </c>
      <c r="U197">
        <f>IF($A197="","", IFERROR(XLOOKUP($A197, INPUT_Rooms!$B:$B, INPUT_Rooms!$AI:$AI, ""), ""))</f>
        <v/>
      </c>
      <c r="V197">
        <f>IF($A197="","", IF($U197="", 1, IFERROR(XLOOKUP($U197, Constants!$A$160:$A$190, Constants!$C$160:$C$190, 1), 1)))</f>
        <v/>
      </c>
      <c r="W197">
        <f>IF($A197="","", ($D197*IF($U197="",0,IFERROR(XLOOKUP($U197, Constants!$A$160:$A$190, Constants!$D$160:$D$190, 0),0))) )</f>
        <v/>
      </c>
    </row>
    <row r="198">
      <c r="M198">
        <f>IF($A198="","", IFERROR(XLOOKUP($A198, INPUT_Rooms!$B:$B, INPUT_Rooms!$S:$S, 0),0) + $W198)</f>
        <v/>
      </c>
      <c r="N198">
        <f>IF($A198="","",IF($D198="", "", CEILING( ($D198*$H198) / IFERROR(XLOOKUP(XLOOKUP('Job Control'!$B$3, INPUT_JobSettings!$A:$A, INPUT_JobSettings!$C:$C, ""), Constants!$A:$A, Constants!$E:$E, ""),""), 0.25))))</f>
        <v/>
      </c>
      <c r="O198">
        <f>IF($A198="","",IF($G198="None",0,IF($D198="", "", CEILING( ($D198*IF($G198="Full",1, XLOOKUP("PrimerSpotFactor",Constants!$F$20:$F$40,Constants!$G$20:$G$40))) / IFERROR(XLOOKUP(XLOOKUP('Job Control'!$B$3, INPUT_JobSettings!$A:$A, INPUT_JobSettings!$E:$E, ""), Constants!$A:$A, Constants!$E:$E, ""),""), 0.25)))))</f>
        <v/>
      </c>
      <c r="P198">
        <f>IF($A198="","",IF($D198="", "", $N198*IFERROR(XLOOKUP(XLOOKUP('Job Control'!$B$3, INPUT_JobSettings!$A:$A, INPUT_JobSettings!$C:$C, ""), Constants!$A:$A, Constants!$D:$D, 0),0) + $O198*IFERROR(XLOOKUP(XLOOKUP('Job Control'!$B$3, INPUT_JobSettings!$A:$A, INPUT_JobSettings!$E:$E, ""), Constants!$A:$A, Constants!$D:$D, 0),0))))</f>
        <v/>
      </c>
      <c r="Q198">
        <f>IF($A198="","", ($J198+$K198+$L198)*$V198 )</f>
        <v/>
      </c>
      <c r="R198">
        <f>IF($A198="","", $Q198/60)</f>
        <v/>
      </c>
      <c r="S198">
        <f>IF($A198="","", $R198*IFERROR(IF(XLOOKUP('Job Control'!$B$3, INPUT_JobSettings!$A:$A, INPUT_JobSettings!$F:$F, "")&lt;&gt;"", XLOOKUP('Job Control'!$B$3, INPUT_JobSettings!$A:$A, INPUT_JobSettings!$F:$F, ""), $B$6), $B$6) + $M198)</f>
        <v/>
      </c>
      <c r="T198">
        <f>IF($A198="","", ($S198+$P198)*IFERROR(IF(XLOOKUP('Job Control'!$B$3, INPUT_JobSettings!$A:$A, INPUT_JobSettings!$G:$G, "")&lt;&gt;"", XLOOKUP('Job Control'!$B$3, INPUT_JobSettings!$A:$A, INPUT_JobSettings!$G:$G, ""), $B$7), $B$7))</f>
        <v/>
      </c>
      <c r="U198">
        <f>IF($A198="","", IFERROR(XLOOKUP($A198, INPUT_Rooms!$B:$B, INPUT_Rooms!$AI:$AI, ""), ""))</f>
        <v/>
      </c>
      <c r="V198">
        <f>IF($A198="","", IF($U198="", 1, IFERROR(XLOOKUP($U198, Constants!$A$160:$A$190, Constants!$C$160:$C$190, 1), 1)))</f>
        <v/>
      </c>
      <c r="W198">
        <f>IF($A198="","", ($D198*IF($U198="",0,IFERROR(XLOOKUP($U198, Constants!$A$160:$A$190, Constants!$D$160:$D$190, 0),0))) )</f>
        <v/>
      </c>
    </row>
    <row r="199">
      <c r="M199">
        <f>IF($A199="","", IFERROR(XLOOKUP($A199, INPUT_Rooms!$B:$B, INPUT_Rooms!$S:$S, 0),0) + $W199)</f>
        <v/>
      </c>
      <c r="N199">
        <f>IF($A199="","",IF($D199="", "", CEILING( ($D199*$H199) / IFERROR(XLOOKUP(XLOOKUP('Job Control'!$B$3, INPUT_JobSettings!$A:$A, INPUT_JobSettings!$C:$C, ""), Constants!$A:$A, Constants!$E:$E, ""),""), 0.25))))</f>
        <v/>
      </c>
      <c r="O199">
        <f>IF($A199="","",IF($G199="None",0,IF($D199="", "", CEILING( ($D199*IF($G199="Full",1, XLOOKUP("PrimerSpotFactor",Constants!$F$20:$F$40,Constants!$G$20:$G$40))) / IFERROR(XLOOKUP(XLOOKUP('Job Control'!$B$3, INPUT_JobSettings!$A:$A, INPUT_JobSettings!$E:$E, ""), Constants!$A:$A, Constants!$E:$E, ""),""), 0.25)))))</f>
        <v/>
      </c>
      <c r="P199">
        <f>IF($A199="","",IF($D199="", "", $N199*IFERROR(XLOOKUP(XLOOKUP('Job Control'!$B$3, INPUT_JobSettings!$A:$A, INPUT_JobSettings!$C:$C, ""), Constants!$A:$A, Constants!$D:$D, 0),0) + $O199*IFERROR(XLOOKUP(XLOOKUP('Job Control'!$B$3, INPUT_JobSettings!$A:$A, INPUT_JobSettings!$E:$E, ""), Constants!$A:$A, Constants!$D:$D, 0),0))))</f>
        <v/>
      </c>
      <c r="Q199">
        <f>IF($A199="","", ($J199+$K199+$L199)*$V199 )</f>
        <v/>
      </c>
      <c r="R199">
        <f>IF($A199="","", $Q199/60)</f>
        <v/>
      </c>
      <c r="S199">
        <f>IF($A199="","", $R199*IFERROR(IF(XLOOKUP('Job Control'!$B$3, INPUT_JobSettings!$A:$A, INPUT_JobSettings!$F:$F, "")&lt;&gt;"", XLOOKUP('Job Control'!$B$3, INPUT_JobSettings!$A:$A, INPUT_JobSettings!$F:$F, ""), $B$6), $B$6) + $M199)</f>
        <v/>
      </c>
      <c r="T199">
        <f>IF($A199="","", ($S199+$P199)*IFERROR(IF(XLOOKUP('Job Control'!$B$3, INPUT_JobSettings!$A:$A, INPUT_JobSettings!$G:$G, "")&lt;&gt;"", XLOOKUP('Job Control'!$B$3, INPUT_JobSettings!$A:$A, INPUT_JobSettings!$G:$G, ""), $B$7), $B$7))</f>
        <v/>
      </c>
      <c r="U199">
        <f>IF($A199="","", IFERROR(XLOOKUP($A199, INPUT_Rooms!$B:$B, INPUT_Rooms!$AI:$AI, ""), ""))</f>
        <v/>
      </c>
      <c r="V199">
        <f>IF($A199="","", IF($U199="", 1, IFERROR(XLOOKUP($U199, Constants!$A$160:$A$190, Constants!$C$160:$C$190, 1), 1)))</f>
        <v/>
      </c>
      <c r="W199">
        <f>IF($A199="","", ($D199*IF($U199="",0,IFERROR(XLOOKUP($U199, Constants!$A$160:$A$190, Constants!$D$160:$D$190, 0),0))) )</f>
        <v/>
      </c>
    </row>
    <row r="200">
      <c r="N200">
        <f>IF($A200="","",IF($D200="", "", CEILING( ($D200*$H200) / IFERROR(XLOOKUP(XLOOKUP('Job Control'!$B$3, INPUT_JobSettings!$A:$A, INPUT_JobSettings!$C:$C, ""), Constants!$A:$A, Constants!$E:$E, ""),""), 0.25))))</f>
        <v/>
      </c>
      <c r="O200">
        <f>IF($A200="","",IF($G200="None",0,IF($D200="", "", CEILING( ($D200*IF($G200="Full",1, XLOOKUP("PrimerSpotFactor",Constants!$F$20:$F$40,Constants!$G$20:$G$40))) / IFERROR(XLOOKUP(XLOOKUP('Job Control'!$B$3, INPUT_JobSettings!$A:$A, INPUT_JobSettings!$E:$E, ""), Constants!$A:$A, Constants!$E:$E, ""),""), 0.25)))))</f>
        <v/>
      </c>
      <c r="P200">
        <f>IF($A200="","",IF($D200="", "", $N200*IFERROR(XLOOKUP(XLOOKUP('Job Control'!$B$3, INPUT_JobSettings!$A:$A, INPUT_JobSettings!$C:$C, ""), Constants!$A:$A, Constants!$D:$D, 0),0) + $O200*IFERROR(XLOOKUP(XLOOKUP('Job Control'!$B$3, INPUT_JobSettings!$A:$A, INPUT_JobSettings!$E:$E, ""), Constants!$A:$A, Constants!$D:$D, 0),0))))</f>
        <v/>
      </c>
      <c r="R200">
        <f>IF($A200="","", $Q200/60)</f>
        <v/>
      </c>
      <c r="S200">
        <f>IF($A200="","", $R200*IFERROR(IF(XLOOKUP('Job Control'!$B$3, INPUT_JobSettings!$A:$A, INPUT_JobSettings!$F:$F, "")&lt;&gt;"", XLOOKUP('Job Control'!$B$3, INPUT_JobSettings!$A:$A, INPUT_JobSettings!$F:$F, ""), $B$6), $B$6) + $M200)</f>
        <v/>
      </c>
      <c r="T200">
        <f>IF($A200="","", ($S200+$P200)*IFERROR(IF(XLOOKUP('Job Control'!$B$3, INPUT_JobSettings!$A:$A, INPUT_JobSettings!$G:$G, "")&lt;&gt;"", XLOOKUP('Job Control'!$B$3, INPUT_JobSettings!$A:$A, INPUT_JobSettings!$G:$G, ""), $B$7), $B$7))</f>
        <v/>
      </c>
    </row>
  </sheetData>
  <mergeCells count="1">
    <mergeCell ref="A1:P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8" customWidth="1" min="1" max="1"/>
    <col width="16" customWidth="1" min="2" max="2"/>
    <col width="22" customWidth="1" min="3" max="3"/>
    <col width="20" customWidth="1" min="4" max="4"/>
    <col width="22" customWidth="1" min="5" max="5"/>
    <col width="18" customWidth="1" min="7" max="7"/>
    <col width="12" customWidth="1" min="8" max="8"/>
    <col width="14" customWidth="1" min="9" max="9"/>
  </cols>
  <sheetData>
    <row r="1">
      <c r="A1" t="inlineStr">
        <is>
          <t>ENGINE_COLORLIST (app-friendly: wall colors used + sqft + roller selections)</t>
        </is>
      </c>
    </row>
    <row r="3">
      <c r="A3" t="inlineStr">
        <is>
          <t>JobID</t>
        </is>
      </c>
      <c r="B3">
        <f>'Job Control'!$B$3</f>
        <v/>
      </c>
      <c r="G3" t="inlineStr">
        <is>
          <t>Ceiling Roller (selected)</t>
        </is>
      </c>
    </row>
    <row r="5">
      <c r="A5" t="inlineStr">
        <is>
          <t>WallColorID</t>
        </is>
      </c>
      <c r="B5" t="inlineStr">
        <is>
          <t>WallSqft (calc)</t>
        </is>
      </c>
      <c r="C5" t="inlineStr">
        <is>
          <t>RollerSize_in (selected)</t>
        </is>
      </c>
      <c r="D5" t="inlineStr">
        <is>
          <t>CoversQty (selected)</t>
        </is>
      </c>
      <c r="E5" t="inlineStr">
        <is>
          <t>RollerCost$ (selected)</t>
        </is>
      </c>
      <c r="G5" t="inlineStr">
        <is>
          <t>RollerSize_in</t>
        </is>
      </c>
      <c r="H5" t="inlineStr">
        <is>
          <t>CoversQty</t>
        </is>
      </c>
      <c r="I5" t="inlineStr">
        <is>
          <t>RollerCost$</t>
        </is>
      </c>
    </row>
    <row r="6">
      <c r="A6">
        <f>IFERROR(UNIQUE(FILTER({INPUT_Rooms!$AH$4:$AH$304;INPUT_Segments!$H$4:$H$304},{INPUT_Rooms!$A$4:$A$304;INPUT_Segments!$A$4:$A$304}=$B$3,{INPUT_Rooms!$AH$4:$AH$304;INPUT_Segments!$H$4:$H$304}&lt;&gt;"")),"")</f>
        <v/>
      </c>
      <c r="B6">
        <f>IF($A6="","", SUMIF(ENGINE_Walls!$S$11:$S$90, $A6, ENGINE_Walls!$D$11:$D$90))</f>
        <v/>
      </c>
      <c r="C6">
        <f>IF($A6="","",IFERROR(INDEX(FILTER(INPUT_Rollers!$D$4:$D$304, INPUT_Rollers!$A$4:$A$304=$B$3, INPUT_Rollers!$B$4:$B$304="Wall", INPUT_Rollers!$C$4:$C$304=$A6, INPUT_Rollers!$I$4:$I$304&lt;&gt;"N"),1),""))</f>
        <v/>
      </c>
      <c r="D6">
        <f>IF($A6="","",IFERROR(INDEX(FILTER(INPUT_Rollers!$E$4:$E$304, INPUT_Rollers!$A$4:$A$304=$B$3, INPUT_Rollers!$B$4:$B$304="Wall", INPUT_Rollers!$C$4:$C$304=$A6, INPUT_Rollers!$I$4:$I$304&lt;&gt;"N"),1),""))</f>
        <v/>
      </c>
      <c r="E6">
        <f>IF($A6="","",IFERROR(INDEX(FILTER(INPUT_Rollers!$G$4:$G$304, INPUT_Rollers!$A$4:$A$304=$B$3, INPUT_Rollers!$B$4:$B$304="Wall", INPUT_Rollers!$C$4:$C$304=$A6, INPUT_Rollers!$I$4:$I$304&lt;&gt;"N"),1),""))</f>
        <v/>
      </c>
      <c r="G6">
        <f>IFERROR(INDEX(FILTER(INPUT_Rollers!$D$4:$D$304, INPUT_Rollers!$A$4:$A$304=$B$3, INPUT_Rollers!$B$4:$B$304="Ceiling", INPUT_Rollers!$I$4:$I$304&lt;&gt;"N"),1),"")</f>
        <v/>
      </c>
      <c r="H6">
        <f>IFERROR(INDEX(FILTER(INPUT_Rollers!$E$4:$E$304, INPUT_Rollers!$A$4:$A$304=$B$3, INPUT_Rollers!$B$4:$B$304="Ceiling", INPUT_Rollers!$I$4:$I$304&lt;&gt;"N"),1),"")</f>
        <v/>
      </c>
      <c r="I6">
        <f>IFERROR(INDEX(FILTER(INPUT_Rollers!$G$4:$G$304, INPUT_Rollers!$A$4:$A$304=$B$3, INPUT_Rollers!$B$4:$B$304="Ceiling", INPUT_Rollers!$I$4:$I$304&lt;&gt;"N"),1),"")</f>
        <v/>
      </c>
    </row>
    <row r="7">
      <c r="B7">
        <f>IF($A7="","", SUMIF(ENGINE_Walls!$S$11:$S$90, $A7, ENGINE_Walls!$D$11:$D$90))</f>
        <v/>
      </c>
      <c r="C7">
        <f>IF($A7="","",IFERROR(INDEX(FILTER(INPUT_Rollers!$D$4:$D$304, INPUT_Rollers!$A$4:$A$304=$B$3, INPUT_Rollers!$B$4:$B$304="Wall", INPUT_Rollers!$C$4:$C$304=$A7, INPUT_Rollers!$I$4:$I$304&lt;&gt;"N"),1),""))</f>
        <v/>
      </c>
      <c r="D7">
        <f>IF($A7="","",IFERROR(INDEX(FILTER(INPUT_Rollers!$E$4:$E$304, INPUT_Rollers!$A$4:$A$304=$B$3, INPUT_Rollers!$B$4:$B$304="Wall", INPUT_Rollers!$C$4:$C$304=$A7, INPUT_Rollers!$I$4:$I$304&lt;&gt;"N"),1),""))</f>
        <v/>
      </c>
      <c r="E7">
        <f>IF($A7="","",IFERROR(INDEX(FILTER(INPUT_Rollers!$G$4:$G$304, INPUT_Rollers!$A$4:$A$304=$B$3, INPUT_Rollers!$B$4:$B$304="Wall", INPUT_Rollers!$C$4:$C$304=$A7, INPUT_Rollers!$I$4:$I$304&lt;&gt;"N"),1),""))</f>
        <v/>
      </c>
    </row>
    <row r="8">
      <c r="B8">
        <f>IF($A8="","", SUMIF(ENGINE_Walls!$S$11:$S$90, $A8, ENGINE_Walls!$D$11:$D$90))</f>
        <v/>
      </c>
      <c r="C8">
        <f>IF($A8="","",IFERROR(INDEX(FILTER(INPUT_Rollers!$D$4:$D$304, INPUT_Rollers!$A$4:$A$304=$B$3, INPUT_Rollers!$B$4:$B$304="Wall", INPUT_Rollers!$C$4:$C$304=$A8, INPUT_Rollers!$I$4:$I$304&lt;&gt;"N"),1),""))</f>
        <v/>
      </c>
      <c r="D8">
        <f>IF($A8="","",IFERROR(INDEX(FILTER(INPUT_Rollers!$E$4:$E$304, INPUT_Rollers!$A$4:$A$304=$B$3, INPUT_Rollers!$B$4:$B$304="Wall", INPUT_Rollers!$C$4:$C$304=$A8, INPUT_Rollers!$I$4:$I$304&lt;&gt;"N"),1),""))</f>
        <v/>
      </c>
      <c r="E8">
        <f>IF($A8="","",IFERROR(INDEX(FILTER(INPUT_Rollers!$G$4:$G$304, INPUT_Rollers!$A$4:$A$304=$B$3, INPUT_Rollers!$B$4:$B$304="Wall", INPUT_Rollers!$C$4:$C$304=$A8, INPUT_Rollers!$I$4:$I$304&lt;&gt;"N"),1),""))</f>
        <v/>
      </c>
    </row>
    <row r="9">
      <c r="B9">
        <f>IF($A9="","", SUMIF(ENGINE_Walls!$S$11:$S$90, $A9, ENGINE_Walls!$D$11:$D$90))</f>
        <v/>
      </c>
      <c r="C9">
        <f>IF($A9="","",IFERROR(INDEX(FILTER(INPUT_Rollers!$D$4:$D$304, INPUT_Rollers!$A$4:$A$304=$B$3, INPUT_Rollers!$B$4:$B$304="Wall", INPUT_Rollers!$C$4:$C$304=$A9, INPUT_Rollers!$I$4:$I$304&lt;&gt;"N"),1),""))</f>
        <v/>
      </c>
      <c r="D9">
        <f>IF($A9="","",IFERROR(INDEX(FILTER(INPUT_Rollers!$E$4:$E$304, INPUT_Rollers!$A$4:$A$304=$B$3, INPUT_Rollers!$B$4:$B$304="Wall", INPUT_Rollers!$C$4:$C$304=$A9, INPUT_Rollers!$I$4:$I$304&lt;&gt;"N"),1),""))</f>
        <v/>
      </c>
      <c r="E9">
        <f>IF($A9="","",IFERROR(INDEX(FILTER(INPUT_Rollers!$G$4:$G$304, INPUT_Rollers!$A$4:$A$304=$B$3, INPUT_Rollers!$B$4:$B$304="Wall", INPUT_Rollers!$C$4:$C$304=$A9, INPUT_Rollers!$I$4:$I$304&lt;&gt;"N"),1),""))</f>
        <v/>
      </c>
    </row>
    <row r="10">
      <c r="B10">
        <f>IF($A10="","", SUMIF(ENGINE_Walls!$S$11:$S$90, $A10, ENGINE_Walls!$D$11:$D$90))</f>
        <v/>
      </c>
      <c r="C10">
        <f>IF($A10="","",IFERROR(INDEX(FILTER(INPUT_Rollers!$D$4:$D$304, INPUT_Rollers!$A$4:$A$304=$B$3, INPUT_Rollers!$B$4:$B$304="Wall", INPUT_Rollers!$C$4:$C$304=$A10, INPUT_Rollers!$I$4:$I$304&lt;&gt;"N"),1),""))</f>
        <v/>
      </c>
      <c r="D10">
        <f>IF($A10="","",IFERROR(INDEX(FILTER(INPUT_Rollers!$E$4:$E$304, INPUT_Rollers!$A$4:$A$304=$B$3, INPUT_Rollers!$B$4:$B$304="Wall", INPUT_Rollers!$C$4:$C$304=$A10, INPUT_Rollers!$I$4:$I$304&lt;&gt;"N"),1),""))</f>
        <v/>
      </c>
      <c r="E10">
        <f>IF($A10="","",IFERROR(INDEX(FILTER(INPUT_Rollers!$G$4:$G$304, INPUT_Rollers!$A$4:$A$304=$B$3, INPUT_Rollers!$B$4:$B$304="Wall", INPUT_Rollers!$C$4:$C$304=$A10, INPUT_Rollers!$I$4:$I$304&lt;&gt;"N"),1),""))</f>
        <v/>
      </c>
    </row>
    <row r="11">
      <c r="B11">
        <f>IF($A11="","", SUMIF(ENGINE_Walls!$S$11:$S$90, $A11, ENGINE_Walls!$D$11:$D$90))</f>
        <v/>
      </c>
      <c r="C11">
        <f>IF($A11="","",IFERROR(INDEX(FILTER(INPUT_Rollers!$D$4:$D$304, INPUT_Rollers!$A$4:$A$304=$B$3, INPUT_Rollers!$B$4:$B$304="Wall", INPUT_Rollers!$C$4:$C$304=$A11, INPUT_Rollers!$I$4:$I$304&lt;&gt;"N"),1),""))</f>
        <v/>
      </c>
      <c r="D11">
        <f>IF($A11="","",IFERROR(INDEX(FILTER(INPUT_Rollers!$E$4:$E$304, INPUT_Rollers!$A$4:$A$304=$B$3, INPUT_Rollers!$B$4:$B$304="Wall", INPUT_Rollers!$C$4:$C$304=$A11, INPUT_Rollers!$I$4:$I$304&lt;&gt;"N"),1),""))</f>
        <v/>
      </c>
      <c r="E11">
        <f>IF($A11="","",IFERROR(INDEX(FILTER(INPUT_Rollers!$G$4:$G$304, INPUT_Rollers!$A$4:$A$304=$B$3, INPUT_Rollers!$B$4:$B$304="Wall", INPUT_Rollers!$C$4:$C$304=$A11, INPUT_Rollers!$I$4:$I$304&lt;&gt;"N"),1),""))</f>
        <v/>
      </c>
    </row>
    <row r="12">
      <c r="B12">
        <f>IF($A12="","", SUMIF(ENGINE_Walls!$S$11:$S$90, $A12, ENGINE_Walls!$D$11:$D$90))</f>
        <v/>
      </c>
      <c r="C12">
        <f>IF($A12="","",IFERROR(INDEX(FILTER(INPUT_Rollers!$D$4:$D$304, INPUT_Rollers!$A$4:$A$304=$B$3, INPUT_Rollers!$B$4:$B$304="Wall", INPUT_Rollers!$C$4:$C$304=$A12, INPUT_Rollers!$I$4:$I$304&lt;&gt;"N"),1),""))</f>
        <v/>
      </c>
      <c r="D12">
        <f>IF($A12="","",IFERROR(INDEX(FILTER(INPUT_Rollers!$E$4:$E$304, INPUT_Rollers!$A$4:$A$304=$B$3, INPUT_Rollers!$B$4:$B$304="Wall", INPUT_Rollers!$C$4:$C$304=$A12, INPUT_Rollers!$I$4:$I$304&lt;&gt;"N"),1),""))</f>
        <v/>
      </c>
      <c r="E12">
        <f>IF($A12="","",IFERROR(INDEX(FILTER(INPUT_Rollers!$G$4:$G$304, INPUT_Rollers!$A$4:$A$304=$B$3, INPUT_Rollers!$B$4:$B$304="Wall", INPUT_Rollers!$C$4:$C$304=$A12, INPUT_Rollers!$I$4:$I$304&lt;&gt;"N"),1),""))</f>
        <v/>
      </c>
    </row>
    <row r="13">
      <c r="B13">
        <f>IF($A13="","", SUMIF(ENGINE_Walls!$S$11:$S$90, $A13, ENGINE_Walls!$D$11:$D$90))</f>
        <v/>
      </c>
      <c r="C13">
        <f>IF($A13="","",IFERROR(INDEX(FILTER(INPUT_Rollers!$D$4:$D$304, INPUT_Rollers!$A$4:$A$304=$B$3, INPUT_Rollers!$B$4:$B$304="Wall", INPUT_Rollers!$C$4:$C$304=$A13, INPUT_Rollers!$I$4:$I$304&lt;&gt;"N"),1),""))</f>
        <v/>
      </c>
      <c r="D13">
        <f>IF($A13="","",IFERROR(INDEX(FILTER(INPUT_Rollers!$E$4:$E$304, INPUT_Rollers!$A$4:$A$304=$B$3, INPUT_Rollers!$B$4:$B$304="Wall", INPUT_Rollers!$C$4:$C$304=$A13, INPUT_Rollers!$I$4:$I$304&lt;&gt;"N"),1),""))</f>
        <v/>
      </c>
      <c r="E13">
        <f>IF($A13="","",IFERROR(INDEX(FILTER(INPUT_Rollers!$G$4:$G$304, INPUT_Rollers!$A$4:$A$304=$B$3, INPUT_Rollers!$B$4:$B$304="Wall", INPUT_Rollers!$C$4:$C$304=$A13, INPUT_Rollers!$I$4:$I$304&lt;&gt;"N"),1),""))</f>
        <v/>
      </c>
    </row>
    <row r="14">
      <c r="B14">
        <f>IF($A14="","", SUMIF(ENGINE_Walls!$S$11:$S$90, $A14, ENGINE_Walls!$D$11:$D$90))</f>
        <v/>
      </c>
      <c r="C14">
        <f>IF($A14="","",IFERROR(INDEX(FILTER(INPUT_Rollers!$D$4:$D$304, INPUT_Rollers!$A$4:$A$304=$B$3, INPUT_Rollers!$B$4:$B$304="Wall", INPUT_Rollers!$C$4:$C$304=$A14, INPUT_Rollers!$I$4:$I$304&lt;&gt;"N"),1),""))</f>
        <v/>
      </c>
      <c r="D14">
        <f>IF($A14="","",IFERROR(INDEX(FILTER(INPUT_Rollers!$E$4:$E$304, INPUT_Rollers!$A$4:$A$304=$B$3, INPUT_Rollers!$B$4:$B$304="Wall", INPUT_Rollers!$C$4:$C$304=$A14, INPUT_Rollers!$I$4:$I$304&lt;&gt;"N"),1),""))</f>
        <v/>
      </c>
      <c r="E14">
        <f>IF($A14="","",IFERROR(INDEX(FILTER(INPUT_Rollers!$G$4:$G$304, INPUT_Rollers!$A$4:$A$304=$B$3, INPUT_Rollers!$B$4:$B$304="Wall", INPUT_Rollers!$C$4:$C$304=$A14, INPUT_Rollers!$I$4:$I$304&lt;&gt;"N"),1),""))</f>
        <v/>
      </c>
    </row>
    <row r="15">
      <c r="B15">
        <f>IF($A15="","", SUMIF(ENGINE_Walls!$S$11:$S$90, $A15, ENGINE_Walls!$D$11:$D$90))</f>
        <v/>
      </c>
      <c r="C15">
        <f>IF($A15="","",IFERROR(INDEX(FILTER(INPUT_Rollers!$D$4:$D$304, INPUT_Rollers!$A$4:$A$304=$B$3, INPUT_Rollers!$B$4:$B$304="Wall", INPUT_Rollers!$C$4:$C$304=$A15, INPUT_Rollers!$I$4:$I$304&lt;&gt;"N"),1),""))</f>
        <v/>
      </c>
      <c r="D15">
        <f>IF($A15="","",IFERROR(INDEX(FILTER(INPUT_Rollers!$E$4:$E$304, INPUT_Rollers!$A$4:$A$304=$B$3, INPUT_Rollers!$B$4:$B$304="Wall", INPUT_Rollers!$C$4:$C$304=$A15, INPUT_Rollers!$I$4:$I$304&lt;&gt;"N"),1),""))</f>
        <v/>
      </c>
      <c r="E15">
        <f>IF($A15="","",IFERROR(INDEX(FILTER(INPUT_Rollers!$G$4:$G$304, INPUT_Rollers!$A$4:$A$304=$B$3, INPUT_Rollers!$B$4:$B$304="Wall", INPUT_Rollers!$C$4:$C$304=$A15, INPUT_Rollers!$I$4:$I$304&lt;&gt;"N"),1),""))</f>
        <v/>
      </c>
    </row>
    <row r="16">
      <c r="B16">
        <f>IF($A16="","", SUMIF(ENGINE_Walls!$S$11:$S$90, $A16, ENGINE_Walls!$D$11:$D$90))</f>
        <v/>
      </c>
      <c r="C16">
        <f>IF($A16="","",IFERROR(INDEX(FILTER(INPUT_Rollers!$D$4:$D$304, INPUT_Rollers!$A$4:$A$304=$B$3, INPUT_Rollers!$B$4:$B$304="Wall", INPUT_Rollers!$C$4:$C$304=$A16, INPUT_Rollers!$I$4:$I$304&lt;&gt;"N"),1),""))</f>
        <v/>
      </c>
      <c r="D16">
        <f>IF($A16="","",IFERROR(INDEX(FILTER(INPUT_Rollers!$E$4:$E$304, INPUT_Rollers!$A$4:$A$304=$B$3, INPUT_Rollers!$B$4:$B$304="Wall", INPUT_Rollers!$C$4:$C$304=$A16, INPUT_Rollers!$I$4:$I$304&lt;&gt;"N"),1),""))</f>
        <v/>
      </c>
      <c r="E16">
        <f>IF($A16="","",IFERROR(INDEX(FILTER(INPUT_Rollers!$G$4:$G$304, INPUT_Rollers!$A$4:$A$304=$B$3, INPUT_Rollers!$B$4:$B$304="Wall", INPUT_Rollers!$C$4:$C$304=$A16, INPUT_Rollers!$I$4:$I$304&lt;&gt;"N"),1),""))</f>
        <v/>
      </c>
    </row>
    <row r="17">
      <c r="B17">
        <f>IF($A17="","", SUMIF(ENGINE_Walls!$S$11:$S$90, $A17, ENGINE_Walls!$D$11:$D$90))</f>
        <v/>
      </c>
      <c r="C17">
        <f>IF($A17="","",IFERROR(INDEX(FILTER(INPUT_Rollers!$D$4:$D$304, INPUT_Rollers!$A$4:$A$304=$B$3, INPUT_Rollers!$B$4:$B$304="Wall", INPUT_Rollers!$C$4:$C$304=$A17, INPUT_Rollers!$I$4:$I$304&lt;&gt;"N"),1),""))</f>
        <v/>
      </c>
      <c r="D17">
        <f>IF($A17="","",IFERROR(INDEX(FILTER(INPUT_Rollers!$E$4:$E$304, INPUT_Rollers!$A$4:$A$304=$B$3, INPUT_Rollers!$B$4:$B$304="Wall", INPUT_Rollers!$C$4:$C$304=$A17, INPUT_Rollers!$I$4:$I$304&lt;&gt;"N"),1),""))</f>
        <v/>
      </c>
      <c r="E17">
        <f>IF($A17="","",IFERROR(INDEX(FILTER(INPUT_Rollers!$G$4:$G$304, INPUT_Rollers!$A$4:$A$304=$B$3, INPUT_Rollers!$B$4:$B$304="Wall", INPUT_Rollers!$C$4:$C$304=$A17, INPUT_Rollers!$I$4:$I$304&lt;&gt;"N"),1),""))</f>
        <v/>
      </c>
    </row>
    <row r="18">
      <c r="B18">
        <f>IF($A18="","", SUMIF(ENGINE_Walls!$S$11:$S$90, $A18, ENGINE_Walls!$D$11:$D$90))</f>
        <v/>
      </c>
      <c r="C18">
        <f>IF($A18="","",IFERROR(INDEX(FILTER(INPUT_Rollers!$D$4:$D$304, INPUT_Rollers!$A$4:$A$304=$B$3, INPUT_Rollers!$B$4:$B$304="Wall", INPUT_Rollers!$C$4:$C$304=$A18, INPUT_Rollers!$I$4:$I$304&lt;&gt;"N"),1),""))</f>
        <v/>
      </c>
      <c r="D18">
        <f>IF($A18="","",IFERROR(INDEX(FILTER(INPUT_Rollers!$E$4:$E$304, INPUT_Rollers!$A$4:$A$304=$B$3, INPUT_Rollers!$B$4:$B$304="Wall", INPUT_Rollers!$C$4:$C$304=$A18, INPUT_Rollers!$I$4:$I$304&lt;&gt;"N"),1),""))</f>
        <v/>
      </c>
      <c r="E18">
        <f>IF($A18="","",IFERROR(INDEX(FILTER(INPUT_Rollers!$G$4:$G$304, INPUT_Rollers!$A$4:$A$304=$B$3, INPUT_Rollers!$B$4:$B$304="Wall", INPUT_Rollers!$C$4:$C$304=$A18, INPUT_Rollers!$I$4:$I$304&lt;&gt;"N"),1),""))</f>
        <v/>
      </c>
    </row>
    <row r="19">
      <c r="B19">
        <f>IF($A19="","", SUMIF(ENGINE_Walls!$S$11:$S$90, $A19, ENGINE_Walls!$D$11:$D$90))</f>
        <v/>
      </c>
      <c r="C19">
        <f>IF($A19="","",IFERROR(INDEX(FILTER(INPUT_Rollers!$D$4:$D$304, INPUT_Rollers!$A$4:$A$304=$B$3, INPUT_Rollers!$B$4:$B$304="Wall", INPUT_Rollers!$C$4:$C$304=$A19, INPUT_Rollers!$I$4:$I$304&lt;&gt;"N"),1),""))</f>
        <v/>
      </c>
      <c r="D19">
        <f>IF($A19="","",IFERROR(INDEX(FILTER(INPUT_Rollers!$E$4:$E$304, INPUT_Rollers!$A$4:$A$304=$B$3, INPUT_Rollers!$B$4:$B$304="Wall", INPUT_Rollers!$C$4:$C$304=$A19, INPUT_Rollers!$I$4:$I$304&lt;&gt;"N"),1),""))</f>
        <v/>
      </c>
      <c r="E19">
        <f>IF($A19="","",IFERROR(INDEX(FILTER(INPUT_Rollers!$G$4:$G$304, INPUT_Rollers!$A$4:$A$304=$B$3, INPUT_Rollers!$B$4:$B$304="Wall", INPUT_Rollers!$C$4:$C$304=$A19, INPUT_Rollers!$I$4:$I$304&lt;&gt;"N"),1),""))</f>
        <v/>
      </c>
    </row>
    <row r="20">
      <c r="B20">
        <f>IF($A20="","", SUMIF(ENGINE_Walls!$S$11:$S$90, $A20, ENGINE_Walls!$D$11:$D$90))</f>
        <v/>
      </c>
      <c r="C20">
        <f>IF($A20="","",IFERROR(INDEX(FILTER(INPUT_Rollers!$D$4:$D$304, INPUT_Rollers!$A$4:$A$304=$B$3, INPUT_Rollers!$B$4:$B$304="Wall", INPUT_Rollers!$C$4:$C$304=$A20, INPUT_Rollers!$I$4:$I$304&lt;&gt;"N"),1),""))</f>
        <v/>
      </c>
      <c r="D20">
        <f>IF($A20="","",IFERROR(INDEX(FILTER(INPUT_Rollers!$E$4:$E$304, INPUT_Rollers!$A$4:$A$304=$B$3, INPUT_Rollers!$B$4:$B$304="Wall", INPUT_Rollers!$C$4:$C$304=$A20, INPUT_Rollers!$I$4:$I$304&lt;&gt;"N"),1),""))</f>
        <v/>
      </c>
      <c r="E20">
        <f>IF($A20="","",IFERROR(INDEX(FILTER(INPUT_Rollers!$G$4:$G$304, INPUT_Rollers!$A$4:$A$304=$B$3, INPUT_Rollers!$B$4:$B$304="Wall", INPUT_Rollers!$C$4:$C$304=$A20, INPUT_Rollers!$I$4:$I$304&lt;&gt;"N"),1),""))</f>
        <v/>
      </c>
    </row>
    <row r="21">
      <c r="B21">
        <f>IF($A21="","", SUMIF(ENGINE_Walls!$S$11:$S$90, $A21, ENGINE_Walls!$D$11:$D$90))</f>
        <v/>
      </c>
      <c r="C21">
        <f>IF($A21="","",IFERROR(INDEX(FILTER(INPUT_Rollers!$D$4:$D$304, INPUT_Rollers!$A$4:$A$304=$B$3, INPUT_Rollers!$B$4:$B$304="Wall", INPUT_Rollers!$C$4:$C$304=$A21, INPUT_Rollers!$I$4:$I$304&lt;&gt;"N"),1),""))</f>
        <v/>
      </c>
      <c r="D21">
        <f>IF($A21="","",IFERROR(INDEX(FILTER(INPUT_Rollers!$E$4:$E$304, INPUT_Rollers!$A$4:$A$304=$B$3, INPUT_Rollers!$B$4:$B$304="Wall", INPUT_Rollers!$C$4:$C$304=$A21, INPUT_Rollers!$I$4:$I$304&lt;&gt;"N"),1),""))</f>
        <v/>
      </c>
      <c r="E21">
        <f>IF($A21="","",IFERROR(INDEX(FILTER(INPUT_Rollers!$G$4:$G$304, INPUT_Rollers!$A$4:$A$304=$B$3, INPUT_Rollers!$B$4:$B$304="Wall", INPUT_Rollers!$C$4:$C$304=$A21, INPUT_Rollers!$I$4:$I$304&lt;&gt;"N"),1),""))</f>
        <v/>
      </c>
    </row>
    <row r="22">
      <c r="B22">
        <f>IF($A22="","", SUMIF(ENGINE_Walls!$S$11:$S$90, $A22, ENGINE_Walls!$D$11:$D$90))</f>
        <v/>
      </c>
      <c r="C22">
        <f>IF($A22="","",IFERROR(INDEX(FILTER(INPUT_Rollers!$D$4:$D$304, INPUT_Rollers!$A$4:$A$304=$B$3, INPUT_Rollers!$B$4:$B$304="Wall", INPUT_Rollers!$C$4:$C$304=$A22, INPUT_Rollers!$I$4:$I$304&lt;&gt;"N"),1),""))</f>
        <v/>
      </c>
      <c r="D22">
        <f>IF($A22="","",IFERROR(INDEX(FILTER(INPUT_Rollers!$E$4:$E$304, INPUT_Rollers!$A$4:$A$304=$B$3, INPUT_Rollers!$B$4:$B$304="Wall", INPUT_Rollers!$C$4:$C$304=$A22, INPUT_Rollers!$I$4:$I$304&lt;&gt;"N"),1),""))</f>
        <v/>
      </c>
      <c r="E22">
        <f>IF($A22="","",IFERROR(INDEX(FILTER(INPUT_Rollers!$G$4:$G$304, INPUT_Rollers!$A$4:$A$304=$B$3, INPUT_Rollers!$B$4:$B$304="Wall", INPUT_Rollers!$C$4:$C$304=$A22, INPUT_Rollers!$I$4:$I$304&lt;&gt;"N"),1),""))</f>
        <v/>
      </c>
    </row>
    <row r="23">
      <c r="B23">
        <f>IF($A23="","", SUMIF(ENGINE_Walls!$S$11:$S$90, $A23, ENGINE_Walls!$D$11:$D$90))</f>
        <v/>
      </c>
      <c r="C23">
        <f>IF($A23="","",IFERROR(INDEX(FILTER(INPUT_Rollers!$D$4:$D$304, INPUT_Rollers!$A$4:$A$304=$B$3, INPUT_Rollers!$B$4:$B$304="Wall", INPUT_Rollers!$C$4:$C$304=$A23, INPUT_Rollers!$I$4:$I$304&lt;&gt;"N"),1),""))</f>
        <v/>
      </c>
      <c r="D23">
        <f>IF($A23="","",IFERROR(INDEX(FILTER(INPUT_Rollers!$E$4:$E$304, INPUT_Rollers!$A$4:$A$304=$B$3, INPUT_Rollers!$B$4:$B$304="Wall", INPUT_Rollers!$C$4:$C$304=$A23, INPUT_Rollers!$I$4:$I$304&lt;&gt;"N"),1),""))</f>
        <v/>
      </c>
      <c r="E23">
        <f>IF($A23="","",IFERROR(INDEX(FILTER(INPUT_Rollers!$G$4:$G$304, INPUT_Rollers!$A$4:$A$304=$B$3, INPUT_Rollers!$B$4:$B$304="Wall", INPUT_Rollers!$C$4:$C$304=$A23, INPUT_Rollers!$I$4:$I$304&lt;&gt;"N"),1),""))</f>
        <v/>
      </c>
    </row>
    <row r="24">
      <c r="B24">
        <f>IF($A24="","", SUMIF(ENGINE_Walls!$S$11:$S$90, $A24, ENGINE_Walls!$D$11:$D$90))</f>
        <v/>
      </c>
      <c r="C24">
        <f>IF($A24="","",IFERROR(INDEX(FILTER(INPUT_Rollers!$D$4:$D$304, INPUT_Rollers!$A$4:$A$304=$B$3, INPUT_Rollers!$B$4:$B$304="Wall", INPUT_Rollers!$C$4:$C$304=$A24, INPUT_Rollers!$I$4:$I$304&lt;&gt;"N"),1),""))</f>
        <v/>
      </c>
      <c r="D24">
        <f>IF($A24="","",IFERROR(INDEX(FILTER(INPUT_Rollers!$E$4:$E$304, INPUT_Rollers!$A$4:$A$304=$B$3, INPUT_Rollers!$B$4:$B$304="Wall", INPUT_Rollers!$C$4:$C$304=$A24, INPUT_Rollers!$I$4:$I$304&lt;&gt;"N"),1),""))</f>
        <v/>
      </c>
      <c r="E24">
        <f>IF($A24="","",IFERROR(INDEX(FILTER(INPUT_Rollers!$G$4:$G$304, INPUT_Rollers!$A$4:$A$304=$B$3, INPUT_Rollers!$B$4:$B$304="Wall", INPUT_Rollers!$C$4:$C$304=$A24, INPUT_Rollers!$I$4:$I$304&lt;&gt;"N"),1),""))</f>
        <v/>
      </c>
    </row>
    <row r="25">
      <c r="B25">
        <f>IF($A25="","", SUMIF(ENGINE_Walls!$S$11:$S$90, $A25, ENGINE_Walls!$D$11:$D$90))</f>
        <v/>
      </c>
      <c r="C25">
        <f>IF($A25="","",IFERROR(INDEX(FILTER(INPUT_Rollers!$D$4:$D$304, INPUT_Rollers!$A$4:$A$304=$B$3, INPUT_Rollers!$B$4:$B$304="Wall", INPUT_Rollers!$C$4:$C$304=$A25, INPUT_Rollers!$I$4:$I$304&lt;&gt;"N"),1),""))</f>
        <v/>
      </c>
      <c r="D25">
        <f>IF($A25="","",IFERROR(INDEX(FILTER(INPUT_Rollers!$E$4:$E$304, INPUT_Rollers!$A$4:$A$304=$B$3, INPUT_Rollers!$B$4:$B$304="Wall", INPUT_Rollers!$C$4:$C$304=$A25, INPUT_Rollers!$I$4:$I$304&lt;&gt;"N"),1),""))</f>
        <v/>
      </c>
      <c r="E25">
        <f>IF($A25="","",IFERROR(INDEX(FILTER(INPUT_Rollers!$G$4:$G$304, INPUT_Rollers!$A$4:$A$304=$B$3, INPUT_Rollers!$B$4:$B$304="Wall", INPUT_Rollers!$C$4:$C$304=$A25, INPUT_Rollers!$I$4:$I$304&lt;&gt;"N"),1),""))</f>
        <v/>
      </c>
    </row>
    <row r="26">
      <c r="B26">
        <f>IF($A26="","", SUMIF(ENGINE_Walls!$S$11:$S$90, $A26, ENGINE_Walls!$D$11:$D$90))</f>
        <v/>
      </c>
      <c r="C26">
        <f>IF($A26="","",IFERROR(INDEX(FILTER(INPUT_Rollers!$D$4:$D$304, INPUT_Rollers!$A$4:$A$304=$B$3, INPUT_Rollers!$B$4:$B$304="Wall", INPUT_Rollers!$C$4:$C$304=$A26, INPUT_Rollers!$I$4:$I$304&lt;&gt;"N"),1),""))</f>
        <v/>
      </c>
      <c r="D26">
        <f>IF($A26="","",IFERROR(INDEX(FILTER(INPUT_Rollers!$E$4:$E$304, INPUT_Rollers!$A$4:$A$304=$B$3, INPUT_Rollers!$B$4:$B$304="Wall", INPUT_Rollers!$C$4:$C$304=$A26, INPUT_Rollers!$I$4:$I$304&lt;&gt;"N"),1),""))</f>
        <v/>
      </c>
      <c r="E26">
        <f>IF($A26="","",IFERROR(INDEX(FILTER(INPUT_Rollers!$G$4:$G$304, INPUT_Rollers!$A$4:$A$304=$B$3, INPUT_Rollers!$B$4:$B$304="Wall", INPUT_Rollers!$C$4:$C$304=$A26, INPUT_Rollers!$I$4:$I$304&lt;&gt;"N"),1),""))</f>
        <v/>
      </c>
    </row>
    <row r="27">
      <c r="B27">
        <f>IF($A27="","", SUMIF(ENGINE_Walls!$S$11:$S$90, $A27, ENGINE_Walls!$D$11:$D$90))</f>
        <v/>
      </c>
      <c r="C27">
        <f>IF($A27="","",IFERROR(INDEX(FILTER(INPUT_Rollers!$D$4:$D$304, INPUT_Rollers!$A$4:$A$304=$B$3, INPUT_Rollers!$B$4:$B$304="Wall", INPUT_Rollers!$C$4:$C$304=$A27, INPUT_Rollers!$I$4:$I$304&lt;&gt;"N"),1),""))</f>
        <v/>
      </c>
      <c r="D27">
        <f>IF($A27="","",IFERROR(INDEX(FILTER(INPUT_Rollers!$E$4:$E$304, INPUT_Rollers!$A$4:$A$304=$B$3, INPUT_Rollers!$B$4:$B$304="Wall", INPUT_Rollers!$C$4:$C$304=$A27, INPUT_Rollers!$I$4:$I$304&lt;&gt;"N"),1),""))</f>
        <v/>
      </c>
      <c r="E27">
        <f>IF($A27="","",IFERROR(INDEX(FILTER(INPUT_Rollers!$G$4:$G$304, INPUT_Rollers!$A$4:$A$304=$B$3, INPUT_Rollers!$B$4:$B$304="Wall", INPUT_Rollers!$C$4:$C$304=$A27, INPUT_Rollers!$I$4:$I$304&lt;&gt;"N"),1),""))</f>
        <v/>
      </c>
    </row>
    <row r="28">
      <c r="B28">
        <f>IF($A28="","", SUMIF(ENGINE_Walls!$S$11:$S$90, $A28, ENGINE_Walls!$D$11:$D$90))</f>
        <v/>
      </c>
      <c r="C28">
        <f>IF($A28="","",IFERROR(INDEX(FILTER(INPUT_Rollers!$D$4:$D$304, INPUT_Rollers!$A$4:$A$304=$B$3, INPUT_Rollers!$B$4:$B$304="Wall", INPUT_Rollers!$C$4:$C$304=$A28, INPUT_Rollers!$I$4:$I$304&lt;&gt;"N"),1),""))</f>
        <v/>
      </c>
      <c r="D28">
        <f>IF($A28="","",IFERROR(INDEX(FILTER(INPUT_Rollers!$E$4:$E$304, INPUT_Rollers!$A$4:$A$304=$B$3, INPUT_Rollers!$B$4:$B$304="Wall", INPUT_Rollers!$C$4:$C$304=$A28, INPUT_Rollers!$I$4:$I$304&lt;&gt;"N"),1),""))</f>
        <v/>
      </c>
      <c r="E28">
        <f>IF($A28="","",IFERROR(INDEX(FILTER(INPUT_Rollers!$G$4:$G$304, INPUT_Rollers!$A$4:$A$304=$B$3, INPUT_Rollers!$B$4:$B$304="Wall", INPUT_Rollers!$C$4:$C$304=$A28, INPUT_Rollers!$I$4:$I$304&lt;&gt;"N"),1),""))</f>
        <v/>
      </c>
    </row>
    <row r="29">
      <c r="B29">
        <f>IF($A29="","", SUMIF(ENGINE_Walls!$S$11:$S$90, $A29, ENGINE_Walls!$D$11:$D$90))</f>
        <v/>
      </c>
      <c r="C29">
        <f>IF($A29="","",IFERROR(INDEX(FILTER(INPUT_Rollers!$D$4:$D$304, INPUT_Rollers!$A$4:$A$304=$B$3, INPUT_Rollers!$B$4:$B$304="Wall", INPUT_Rollers!$C$4:$C$304=$A29, INPUT_Rollers!$I$4:$I$304&lt;&gt;"N"),1),""))</f>
        <v/>
      </c>
      <c r="D29">
        <f>IF($A29="","",IFERROR(INDEX(FILTER(INPUT_Rollers!$E$4:$E$304, INPUT_Rollers!$A$4:$A$304=$B$3, INPUT_Rollers!$B$4:$B$304="Wall", INPUT_Rollers!$C$4:$C$304=$A29, INPUT_Rollers!$I$4:$I$304&lt;&gt;"N"),1),""))</f>
        <v/>
      </c>
      <c r="E29">
        <f>IF($A29="","",IFERROR(INDEX(FILTER(INPUT_Rollers!$G$4:$G$304, INPUT_Rollers!$A$4:$A$304=$B$3, INPUT_Rollers!$B$4:$B$304="Wall", INPUT_Rollers!$C$4:$C$304=$A29, INPUT_Rollers!$I$4:$I$304&lt;&gt;"N"),1),""))</f>
        <v/>
      </c>
    </row>
    <row r="30">
      <c r="B30">
        <f>IF($A30="","", SUMIF(ENGINE_Walls!$S$11:$S$90, $A30, ENGINE_Walls!$D$11:$D$90))</f>
        <v/>
      </c>
      <c r="C30">
        <f>IF($A30="","",IFERROR(INDEX(FILTER(INPUT_Rollers!$D$4:$D$304, INPUT_Rollers!$A$4:$A$304=$B$3, INPUT_Rollers!$B$4:$B$304="Wall", INPUT_Rollers!$C$4:$C$304=$A30, INPUT_Rollers!$I$4:$I$304&lt;&gt;"N"),1),""))</f>
        <v/>
      </c>
      <c r="D30">
        <f>IF($A30="","",IFERROR(INDEX(FILTER(INPUT_Rollers!$E$4:$E$304, INPUT_Rollers!$A$4:$A$304=$B$3, INPUT_Rollers!$B$4:$B$304="Wall", INPUT_Rollers!$C$4:$C$304=$A30, INPUT_Rollers!$I$4:$I$304&lt;&gt;"N"),1),""))</f>
        <v/>
      </c>
      <c r="E30">
        <f>IF($A30="","",IFERROR(INDEX(FILTER(INPUT_Rollers!$G$4:$G$304, INPUT_Rollers!$A$4:$A$304=$B$3, INPUT_Rollers!$B$4:$B$304="Wall", INPUT_Rollers!$C$4:$C$304=$A30, INPUT_Rollers!$I$4:$I$304&lt;&gt;"N"),1),""))</f>
        <v/>
      </c>
    </row>
    <row r="31">
      <c r="B31">
        <f>IF($A31="","", SUMIF(ENGINE_Walls!$S$11:$S$90, $A31, ENGINE_Walls!$D$11:$D$90))</f>
        <v/>
      </c>
      <c r="C31">
        <f>IF($A31="","",IFERROR(INDEX(FILTER(INPUT_Rollers!$D$4:$D$304, INPUT_Rollers!$A$4:$A$304=$B$3, INPUT_Rollers!$B$4:$B$304="Wall", INPUT_Rollers!$C$4:$C$304=$A31, INPUT_Rollers!$I$4:$I$304&lt;&gt;"N"),1),""))</f>
        <v/>
      </c>
      <c r="D31">
        <f>IF($A31="","",IFERROR(INDEX(FILTER(INPUT_Rollers!$E$4:$E$304, INPUT_Rollers!$A$4:$A$304=$B$3, INPUT_Rollers!$B$4:$B$304="Wall", INPUT_Rollers!$C$4:$C$304=$A31, INPUT_Rollers!$I$4:$I$304&lt;&gt;"N"),1),""))</f>
        <v/>
      </c>
      <c r="E31">
        <f>IF($A31="","",IFERROR(INDEX(FILTER(INPUT_Rollers!$G$4:$G$304, INPUT_Rollers!$A$4:$A$304=$B$3, INPUT_Rollers!$B$4:$B$304="Wall", INPUT_Rollers!$C$4:$C$304=$A31, INPUT_Rollers!$I$4:$I$304&lt;&gt;"N"),1),""))</f>
        <v/>
      </c>
    </row>
    <row r="32">
      <c r="B32">
        <f>IF($A32="","", SUMIF(ENGINE_Walls!$S$11:$S$90, $A32, ENGINE_Walls!$D$11:$D$90))</f>
        <v/>
      </c>
      <c r="C32">
        <f>IF($A32="","",IFERROR(INDEX(FILTER(INPUT_Rollers!$D$4:$D$304, INPUT_Rollers!$A$4:$A$304=$B$3, INPUT_Rollers!$B$4:$B$304="Wall", INPUT_Rollers!$C$4:$C$304=$A32, INPUT_Rollers!$I$4:$I$304&lt;&gt;"N"),1),""))</f>
        <v/>
      </c>
      <c r="D32">
        <f>IF($A32="","",IFERROR(INDEX(FILTER(INPUT_Rollers!$E$4:$E$304, INPUT_Rollers!$A$4:$A$304=$B$3, INPUT_Rollers!$B$4:$B$304="Wall", INPUT_Rollers!$C$4:$C$304=$A32, INPUT_Rollers!$I$4:$I$304&lt;&gt;"N"),1),""))</f>
        <v/>
      </c>
      <c r="E32">
        <f>IF($A32="","",IFERROR(INDEX(FILTER(INPUT_Rollers!$G$4:$G$304, INPUT_Rollers!$A$4:$A$304=$B$3, INPUT_Rollers!$B$4:$B$304="Wall", INPUT_Rollers!$C$4:$C$304=$A32, INPUT_Rollers!$I$4:$I$304&lt;&gt;"N"),1),""))</f>
        <v/>
      </c>
    </row>
    <row r="33">
      <c r="B33">
        <f>IF($A33="","", SUMIF(ENGINE_Walls!$S$11:$S$90, $A33, ENGINE_Walls!$D$11:$D$90))</f>
        <v/>
      </c>
      <c r="C33">
        <f>IF($A33="","",IFERROR(INDEX(FILTER(INPUT_Rollers!$D$4:$D$304, INPUT_Rollers!$A$4:$A$304=$B$3, INPUT_Rollers!$B$4:$B$304="Wall", INPUT_Rollers!$C$4:$C$304=$A33, INPUT_Rollers!$I$4:$I$304&lt;&gt;"N"),1),""))</f>
        <v/>
      </c>
      <c r="D33">
        <f>IF($A33="","",IFERROR(INDEX(FILTER(INPUT_Rollers!$E$4:$E$304, INPUT_Rollers!$A$4:$A$304=$B$3, INPUT_Rollers!$B$4:$B$304="Wall", INPUT_Rollers!$C$4:$C$304=$A33, INPUT_Rollers!$I$4:$I$304&lt;&gt;"N"),1),""))</f>
        <v/>
      </c>
      <c r="E33">
        <f>IF($A33="","",IFERROR(INDEX(FILTER(INPUT_Rollers!$G$4:$G$304, INPUT_Rollers!$A$4:$A$304=$B$3, INPUT_Rollers!$B$4:$B$304="Wall", INPUT_Rollers!$C$4:$C$304=$A33, INPUT_Rollers!$I$4:$I$304&lt;&gt;"N"),1),""))</f>
        <v/>
      </c>
    </row>
    <row r="34">
      <c r="B34">
        <f>IF($A34="","", SUMIF(ENGINE_Walls!$S$11:$S$90, $A34, ENGINE_Walls!$D$11:$D$90))</f>
        <v/>
      </c>
      <c r="C34">
        <f>IF($A34="","",IFERROR(INDEX(FILTER(INPUT_Rollers!$D$4:$D$304, INPUT_Rollers!$A$4:$A$304=$B$3, INPUT_Rollers!$B$4:$B$304="Wall", INPUT_Rollers!$C$4:$C$304=$A34, INPUT_Rollers!$I$4:$I$304&lt;&gt;"N"),1),""))</f>
        <v/>
      </c>
      <c r="D34">
        <f>IF($A34="","",IFERROR(INDEX(FILTER(INPUT_Rollers!$E$4:$E$304, INPUT_Rollers!$A$4:$A$304=$B$3, INPUT_Rollers!$B$4:$B$304="Wall", INPUT_Rollers!$C$4:$C$304=$A34, INPUT_Rollers!$I$4:$I$304&lt;&gt;"N"),1),""))</f>
        <v/>
      </c>
      <c r="E34">
        <f>IF($A34="","",IFERROR(INDEX(FILTER(INPUT_Rollers!$G$4:$G$304, INPUT_Rollers!$A$4:$A$304=$B$3, INPUT_Rollers!$B$4:$B$304="Wall", INPUT_Rollers!$C$4:$C$304=$A34, INPUT_Rollers!$I$4:$I$304&lt;&gt;"N"),1),""))</f>
        <v/>
      </c>
    </row>
    <row r="35">
      <c r="B35">
        <f>IF($A35="","", SUMIF(ENGINE_Walls!$S$11:$S$90, $A35, ENGINE_Walls!$D$11:$D$90))</f>
        <v/>
      </c>
      <c r="C35">
        <f>IF($A35="","",IFERROR(INDEX(FILTER(INPUT_Rollers!$D$4:$D$304, INPUT_Rollers!$A$4:$A$304=$B$3, INPUT_Rollers!$B$4:$B$304="Wall", INPUT_Rollers!$C$4:$C$304=$A35, INPUT_Rollers!$I$4:$I$304&lt;&gt;"N"),1),""))</f>
        <v/>
      </c>
      <c r="D35">
        <f>IF($A35="","",IFERROR(INDEX(FILTER(INPUT_Rollers!$E$4:$E$304, INPUT_Rollers!$A$4:$A$304=$B$3, INPUT_Rollers!$B$4:$B$304="Wall", INPUT_Rollers!$C$4:$C$304=$A35, INPUT_Rollers!$I$4:$I$304&lt;&gt;"N"),1),""))</f>
        <v/>
      </c>
      <c r="E35">
        <f>IF($A35="","",IFERROR(INDEX(FILTER(INPUT_Rollers!$G$4:$G$304, INPUT_Rollers!$A$4:$A$304=$B$3, INPUT_Rollers!$B$4:$B$304="Wall", INPUT_Rollers!$C$4:$C$304=$A35, INPUT_Rollers!$I$4:$I$304&lt;&gt;"N"),1),""))</f>
        <v/>
      </c>
    </row>
    <row r="36">
      <c r="B36">
        <f>IF($A36="","", SUMIF(ENGINE_Walls!$S$11:$S$90, $A36, ENGINE_Walls!$D$11:$D$90))</f>
        <v/>
      </c>
      <c r="C36">
        <f>IF($A36="","",IFERROR(INDEX(FILTER(INPUT_Rollers!$D$4:$D$304, INPUT_Rollers!$A$4:$A$304=$B$3, INPUT_Rollers!$B$4:$B$304="Wall", INPUT_Rollers!$C$4:$C$304=$A36, INPUT_Rollers!$I$4:$I$304&lt;&gt;"N"),1),""))</f>
        <v/>
      </c>
      <c r="D36">
        <f>IF($A36="","",IFERROR(INDEX(FILTER(INPUT_Rollers!$E$4:$E$304, INPUT_Rollers!$A$4:$A$304=$B$3, INPUT_Rollers!$B$4:$B$304="Wall", INPUT_Rollers!$C$4:$C$304=$A36, INPUT_Rollers!$I$4:$I$304&lt;&gt;"N"),1),""))</f>
        <v/>
      </c>
      <c r="E36">
        <f>IF($A36="","",IFERROR(INDEX(FILTER(INPUT_Rollers!$G$4:$G$304, INPUT_Rollers!$A$4:$A$304=$B$3, INPUT_Rollers!$B$4:$B$304="Wall", INPUT_Rollers!$C$4:$C$304=$A36, INPUT_Rollers!$I$4:$I$304&lt;&gt;"N"),1),""))</f>
        <v/>
      </c>
    </row>
    <row r="37">
      <c r="B37">
        <f>IF($A37="","", SUMIF(ENGINE_Walls!$S$11:$S$90, $A37, ENGINE_Walls!$D$11:$D$90))</f>
        <v/>
      </c>
      <c r="C37">
        <f>IF($A37="","",IFERROR(INDEX(FILTER(INPUT_Rollers!$D$4:$D$304, INPUT_Rollers!$A$4:$A$304=$B$3, INPUT_Rollers!$B$4:$B$304="Wall", INPUT_Rollers!$C$4:$C$304=$A37, INPUT_Rollers!$I$4:$I$304&lt;&gt;"N"),1),""))</f>
        <v/>
      </c>
      <c r="D37">
        <f>IF($A37="","",IFERROR(INDEX(FILTER(INPUT_Rollers!$E$4:$E$304, INPUT_Rollers!$A$4:$A$304=$B$3, INPUT_Rollers!$B$4:$B$304="Wall", INPUT_Rollers!$C$4:$C$304=$A37, INPUT_Rollers!$I$4:$I$304&lt;&gt;"N"),1),""))</f>
        <v/>
      </c>
      <c r="E37">
        <f>IF($A37="","",IFERROR(INDEX(FILTER(INPUT_Rollers!$G$4:$G$304, INPUT_Rollers!$A$4:$A$304=$B$3, INPUT_Rollers!$B$4:$B$304="Wall", INPUT_Rollers!$C$4:$C$304=$A37, INPUT_Rollers!$I$4:$I$304&lt;&gt;"N"),1),""))</f>
        <v/>
      </c>
    </row>
    <row r="38">
      <c r="B38">
        <f>IF($A38="","", SUMIF(ENGINE_Walls!$S$11:$S$90, $A38, ENGINE_Walls!$D$11:$D$90))</f>
        <v/>
      </c>
      <c r="C38">
        <f>IF($A38="","",IFERROR(INDEX(FILTER(INPUT_Rollers!$D$4:$D$304, INPUT_Rollers!$A$4:$A$304=$B$3, INPUT_Rollers!$B$4:$B$304="Wall", INPUT_Rollers!$C$4:$C$304=$A38, INPUT_Rollers!$I$4:$I$304&lt;&gt;"N"),1),""))</f>
        <v/>
      </c>
      <c r="D38">
        <f>IF($A38="","",IFERROR(INDEX(FILTER(INPUT_Rollers!$E$4:$E$304, INPUT_Rollers!$A$4:$A$304=$B$3, INPUT_Rollers!$B$4:$B$304="Wall", INPUT_Rollers!$C$4:$C$304=$A38, INPUT_Rollers!$I$4:$I$304&lt;&gt;"N"),1),""))</f>
        <v/>
      </c>
      <c r="E38">
        <f>IF($A38="","",IFERROR(INDEX(FILTER(INPUT_Rollers!$G$4:$G$304, INPUT_Rollers!$A$4:$A$304=$B$3, INPUT_Rollers!$B$4:$B$304="Wall", INPUT_Rollers!$C$4:$C$304=$A38, INPUT_Rollers!$I$4:$I$304&lt;&gt;"N"),1),""))</f>
        <v/>
      </c>
    </row>
    <row r="39">
      <c r="B39">
        <f>IF($A39="","", SUMIF(ENGINE_Walls!$S$11:$S$90, $A39, ENGINE_Walls!$D$11:$D$90))</f>
        <v/>
      </c>
      <c r="C39">
        <f>IF($A39="","",IFERROR(INDEX(FILTER(INPUT_Rollers!$D$4:$D$304, INPUT_Rollers!$A$4:$A$304=$B$3, INPUT_Rollers!$B$4:$B$304="Wall", INPUT_Rollers!$C$4:$C$304=$A39, INPUT_Rollers!$I$4:$I$304&lt;&gt;"N"),1),""))</f>
        <v/>
      </c>
      <c r="D39">
        <f>IF($A39="","",IFERROR(INDEX(FILTER(INPUT_Rollers!$E$4:$E$304, INPUT_Rollers!$A$4:$A$304=$B$3, INPUT_Rollers!$B$4:$B$304="Wall", INPUT_Rollers!$C$4:$C$304=$A39, INPUT_Rollers!$I$4:$I$304&lt;&gt;"N"),1),""))</f>
        <v/>
      </c>
      <c r="E39">
        <f>IF($A39="","",IFERROR(INDEX(FILTER(INPUT_Rollers!$G$4:$G$304, INPUT_Rollers!$A$4:$A$304=$B$3, INPUT_Rollers!$B$4:$B$304="Wall", INPUT_Rollers!$C$4:$C$304=$A39, INPUT_Rollers!$I$4:$I$304&lt;&gt;"N"),1),""))</f>
        <v/>
      </c>
    </row>
    <row r="40">
      <c r="B40">
        <f>IF($A40="","", SUMIF(ENGINE_Walls!$S$11:$S$90, $A40, ENGINE_Walls!$D$11:$D$90))</f>
        <v/>
      </c>
      <c r="C40">
        <f>IF($A40="","",IFERROR(INDEX(FILTER(INPUT_Rollers!$D$4:$D$304, INPUT_Rollers!$A$4:$A$304=$B$3, INPUT_Rollers!$B$4:$B$304="Wall", INPUT_Rollers!$C$4:$C$304=$A40, INPUT_Rollers!$I$4:$I$304&lt;&gt;"N"),1),""))</f>
        <v/>
      </c>
      <c r="D40">
        <f>IF($A40="","",IFERROR(INDEX(FILTER(INPUT_Rollers!$E$4:$E$304, INPUT_Rollers!$A$4:$A$304=$B$3, INPUT_Rollers!$B$4:$B$304="Wall", INPUT_Rollers!$C$4:$C$304=$A40, INPUT_Rollers!$I$4:$I$304&lt;&gt;"N"),1),""))</f>
        <v/>
      </c>
      <c r="E40">
        <f>IF($A40="","",IFERROR(INDEX(FILTER(INPUT_Rollers!$G$4:$G$304, INPUT_Rollers!$A$4:$A$304=$B$3, INPUT_Rollers!$B$4:$B$304="Wall", INPUT_Rollers!$C$4:$C$304=$A40, INPUT_Rollers!$I$4:$I$304&lt;&gt;"N"),1),""))</f>
        <v/>
      </c>
    </row>
    <row r="41">
      <c r="B41">
        <f>IF($A41="","", SUMIF(ENGINE_Walls!$S$11:$S$90, $A41, ENGINE_Walls!$D$11:$D$90))</f>
        <v/>
      </c>
      <c r="C41">
        <f>IF($A41="","",IFERROR(INDEX(FILTER(INPUT_Rollers!$D$4:$D$304, INPUT_Rollers!$A$4:$A$304=$B$3, INPUT_Rollers!$B$4:$B$304="Wall", INPUT_Rollers!$C$4:$C$304=$A41, INPUT_Rollers!$I$4:$I$304&lt;&gt;"N"),1),""))</f>
        <v/>
      </c>
      <c r="D41">
        <f>IF($A41="","",IFERROR(INDEX(FILTER(INPUT_Rollers!$E$4:$E$304, INPUT_Rollers!$A$4:$A$304=$B$3, INPUT_Rollers!$B$4:$B$304="Wall", INPUT_Rollers!$C$4:$C$304=$A41, INPUT_Rollers!$I$4:$I$304&lt;&gt;"N"),1),""))</f>
        <v/>
      </c>
      <c r="E41">
        <f>IF($A41="","",IFERROR(INDEX(FILTER(INPUT_Rollers!$G$4:$G$304, INPUT_Rollers!$A$4:$A$304=$B$3, INPUT_Rollers!$B$4:$B$304="Wall", INPUT_Rollers!$C$4:$C$304=$A41, INPUT_Rollers!$I$4:$I$304&lt;&gt;"N"),1),""))</f>
        <v/>
      </c>
    </row>
    <row r="42">
      <c r="B42">
        <f>IF($A42="","", SUMIF(ENGINE_Walls!$S$11:$S$90, $A42, ENGINE_Walls!$D$11:$D$90))</f>
        <v/>
      </c>
      <c r="C42">
        <f>IF($A42="","",IFERROR(INDEX(FILTER(INPUT_Rollers!$D$4:$D$304, INPUT_Rollers!$A$4:$A$304=$B$3, INPUT_Rollers!$B$4:$B$304="Wall", INPUT_Rollers!$C$4:$C$304=$A42, INPUT_Rollers!$I$4:$I$304&lt;&gt;"N"),1),""))</f>
        <v/>
      </c>
      <c r="D42">
        <f>IF($A42="","",IFERROR(INDEX(FILTER(INPUT_Rollers!$E$4:$E$304, INPUT_Rollers!$A$4:$A$304=$B$3, INPUT_Rollers!$B$4:$B$304="Wall", INPUT_Rollers!$C$4:$C$304=$A42, INPUT_Rollers!$I$4:$I$304&lt;&gt;"N"),1),""))</f>
        <v/>
      </c>
      <c r="E42">
        <f>IF($A42="","",IFERROR(INDEX(FILTER(INPUT_Rollers!$G$4:$G$304, INPUT_Rollers!$A$4:$A$304=$B$3, INPUT_Rollers!$B$4:$B$304="Wall", INPUT_Rollers!$C$4:$C$304=$A42, INPUT_Rollers!$I$4:$I$304&lt;&gt;"N"),1),""))</f>
        <v/>
      </c>
    </row>
    <row r="43">
      <c r="B43">
        <f>IF($A43="","", SUMIF(ENGINE_Walls!$S$11:$S$90, $A43, ENGINE_Walls!$D$11:$D$90))</f>
        <v/>
      </c>
      <c r="C43">
        <f>IF($A43="","",IFERROR(INDEX(FILTER(INPUT_Rollers!$D$4:$D$304, INPUT_Rollers!$A$4:$A$304=$B$3, INPUT_Rollers!$B$4:$B$304="Wall", INPUT_Rollers!$C$4:$C$304=$A43, INPUT_Rollers!$I$4:$I$304&lt;&gt;"N"),1),""))</f>
        <v/>
      </c>
      <c r="D43">
        <f>IF($A43="","",IFERROR(INDEX(FILTER(INPUT_Rollers!$E$4:$E$304, INPUT_Rollers!$A$4:$A$304=$B$3, INPUT_Rollers!$B$4:$B$304="Wall", INPUT_Rollers!$C$4:$C$304=$A43, INPUT_Rollers!$I$4:$I$304&lt;&gt;"N"),1),""))</f>
        <v/>
      </c>
      <c r="E43">
        <f>IF($A43="","",IFERROR(INDEX(FILTER(INPUT_Rollers!$G$4:$G$304, INPUT_Rollers!$A$4:$A$304=$B$3, INPUT_Rollers!$B$4:$B$304="Wall", INPUT_Rollers!$C$4:$C$304=$A43, INPUT_Rollers!$I$4:$I$304&lt;&gt;"N"),1),""))</f>
        <v/>
      </c>
    </row>
    <row r="44">
      <c r="B44">
        <f>IF($A44="","", SUMIF(ENGINE_Walls!$S$11:$S$90, $A44, ENGINE_Walls!$D$11:$D$90))</f>
        <v/>
      </c>
      <c r="C44">
        <f>IF($A44="","",IFERROR(INDEX(FILTER(INPUT_Rollers!$D$4:$D$304, INPUT_Rollers!$A$4:$A$304=$B$3, INPUT_Rollers!$B$4:$B$304="Wall", INPUT_Rollers!$C$4:$C$304=$A44, INPUT_Rollers!$I$4:$I$304&lt;&gt;"N"),1),""))</f>
        <v/>
      </c>
      <c r="D44">
        <f>IF($A44="","",IFERROR(INDEX(FILTER(INPUT_Rollers!$E$4:$E$304, INPUT_Rollers!$A$4:$A$304=$B$3, INPUT_Rollers!$B$4:$B$304="Wall", INPUT_Rollers!$C$4:$C$304=$A44, INPUT_Rollers!$I$4:$I$304&lt;&gt;"N"),1),""))</f>
        <v/>
      </c>
      <c r="E44">
        <f>IF($A44="","",IFERROR(INDEX(FILTER(INPUT_Rollers!$G$4:$G$304, INPUT_Rollers!$A$4:$A$304=$B$3, INPUT_Rollers!$B$4:$B$304="Wall", INPUT_Rollers!$C$4:$C$304=$A44, INPUT_Rollers!$I$4:$I$304&lt;&gt;"N"),1),""))</f>
        <v/>
      </c>
    </row>
    <row r="45">
      <c r="B45">
        <f>IF($A45="","", SUMIF(ENGINE_Walls!$S$11:$S$90, $A45, ENGINE_Walls!$D$11:$D$90))</f>
        <v/>
      </c>
      <c r="C45">
        <f>IF($A45="","",IFERROR(INDEX(FILTER(INPUT_Rollers!$D$4:$D$304, INPUT_Rollers!$A$4:$A$304=$B$3, INPUT_Rollers!$B$4:$B$304="Wall", INPUT_Rollers!$C$4:$C$304=$A45, INPUT_Rollers!$I$4:$I$304&lt;&gt;"N"),1),""))</f>
        <v/>
      </c>
      <c r="D45">
        <f>IF($A45="","",IFERROR(INDEX(FILTER(INPUT_Rollers!$E$4:$E$304, INPUT_Rollers!$A$4:$A$304=$B$3, INPUT_Rollers!$B$4:$B$304="Wall", INPUT_Rollers!$C$4:$C$304=$A45, INPUT_Rollers!$I$4:$I$304&lt;&gt;"N"),1),""))</f>
        <v/>
      </c>
      <c r="E45">
        <f>IF($A45="","",IFERROR(INDEX(FILTER(INPUT_Rollers!$G$4:$G$304, INPUT_Rollers!$A$4:$A$304=$B$3, INPUT_Rollers!$B$4:$B$304="Wall", INPUT_Rollers!$C$4:$C$304=$A45, INPUT_Rollers!$I$4:$I$304&lt;&gt;"N"),1),""))</f>
        <v/>
      </c>
    </row>
    <row r="46">
      <c r="B46">
        <f>IF($A46="","", SUMIF(ENGINE_Walls!$S$11:$S$90, $A46, ENGINE_Walls!$D$11:$D$90))</f>
        <v/>
      </c>
      <c r="C46">
        <f>IF($A46="","",IFERROR(INDEX(FILTER(INPUT_Rollers!$D$4:$D$304, INPUT_Rollers!$A$4:$A$304=$B$3, INPUT_Rollers!$B$4:$B$304="Wall", INPUT_Rollers!$C$4:$C$304=$A46, INPUT_Rollers!$I$4:$I$304&lt;&gt;"N"),1),""))</f>
        <v/>
      </c>
      <c r="D46">
        <f>IF($A46="","",IFERROR(INDEX(FILTER(INPUT_Rollers!$E$4:$E$304, INPUT_Rollers!$A$4:$A$304=$B$3, INPUT_Rollers!$B$4:$B$304="Wall", INPUT_Rollers!$C$4:$C$304=$A46, INPUT_Rollers!$I$4:$I$304&lt;&gt;"N"),1),""))</f>
        <v/>
      </c>
      <c r="E46">
        <f>IF($A46="","",IFERROR(INDEX(FILTER(INPUT_Rollers!$G$4:$G$304, INPUT_Rollers!$A$4:$A$304=$B$3, INPUT_Rollers!$B$4:$B$304="Wall", INPUT_Rollers!$C$4:$C$304=$A46, INPUT_Rollers!$I$4:$I$304&lt;&gt;"N"),1),""))</f>
        <v/>
      </c>
    </row>
    <row r="47">
      <c r="B47">
        <f>IF($A47="","", SUMIF(ENGINE_Walls!$S$11:$S$90, $A47, ENGINE_Walls!$D$11:$D$90))</f>
        <v/>
      </c>
      <c r="C47">
        <f>IF($A47="","",IFERROR(INDEX(FILTER(INPUT_Rollers!$D$4:$D$304, INPUT_Rollers!$A$4:$A$304=$B$3, INPUT_Rollers!$B$4:$B$304="Wall", INPUT_Rollers!$C$4:$C$304=$A47, INPUT_Rollers!$I$4:$I$304&lt;&gt;"N"),1),""))</f>
        <v/>
      </c>
      <c r="D47">
        <f>IF($A47="","",IFERROR(INDEX(FILTER(INPUT_Rollers!$E$4:$E$304, INPUT_Rollers!$A$4:$A$304=$B$3, INPUT_Rollers!$B$4:$B$304="Wall", INPUT_Rollers!$C$4:$C$304=$A47, INPUT_Rollers!$I$4:$I$304&lt;&gt;"N"),1),""))</f>
        <v/>
      </c>
      <c r="E47">
        <f>IF($A47="","",IFERROR(INDEX(FILTER(INPUT_Rollers!$G$4:$G$304, INPUT_Rollers!$A$4:$A$304=$B$3, INPUT_Rollers!$B$4:$B$304="Wall", INPUT_Rollers!$C$4:$C$304=$A47, INPUT_Rollers!$I$4:$I$304&lt;&gt;"N"),1),""))</f>
        <v/>
      </c>
    </row>
    <row r="48">
      <c r="B48">
        <f>IF($A48="","", SUMIF(ENGINE_Walls!$S$11:$S$90, $A48, ENGINE_Walls!$D$11:$D$90))</f>
        <v/>
      </c>
      <c r="C48">
        <f>IF($A48="","",IFERROR(INDEX(FILTER(INPUT_Rollers!$D$4:$D$304, INPUT_Rollers!$A$4:$A$304=$B$3, INPUT_Rollers!$B$4:$B$304="Wall", INPUT_Rollers!$C$4:$C$304=$A48, INPUT_Rollers!$I$4:$I$304&lt;&gt;"N"),1),""))</f>
        <v/>
      </c>
      <c r="D48">
        <f>IF($A48="","",IFERROR(INDEX(FILTER(INPUT_Rollers!$E$4:$E$304, INPUT_Rollers!$A$4:$A$304=$B$3, INPUT_Rollers!$B$4:$B$304="Wall", INPUT_Rollers!$C$4:$C$304=$A48, INPUT_Rollers!$I$4:$I$304&lt;&gt;"N"),1),""))</f>
        <v/>
      </c>
      <c r="E48">
        <f>IF($A48="","",IFERROR(INDEX(FILTER(INPUT_Rollers!$G$4:$G$304, INPUT_Rollers!$A$4:$A$304=$B$3, INPUT_Rollers!$B$4:$B$304="Wall", INPUT_Rollers!$C$4:$C$304=$A48, INPUT_Rollers!$I$4:$I$304&lt;&gt;"N"),1),""))</f>
        <v/>
      </c>
    </row>
    <row r="49">
      <c r="B49">
        <f>IF($A49="","", SUMIF(ENGINE_Walls!$S$11:$S$90, $A49, ENGINE_Walls!$D$11:$D$90))</f>
        <v/>
      </c>
      <c r="C49">
        <f>IF($A49="","",IFERROR(INDEX(FILTER(INPUT_Rollers!$D$4:$D$304, INPUT_Rollers!$A$4:$A$304=$B$3, INPUT_Rollers!$B$4:$B$304="Wall", INPUT_Rollers!$C$4:$C$304=$A49, INPUT_Rollers!$I$4:$I$304&lt;&gt;"N"),1),""))</f>
        <v/>
      </c>
      <c r="D49">
        <f>IF($A49="","",IFERROR(INDEX(FILTER(INPUT_Rollers!$E$4:$E$304, INPUT_Rollers!$A$4:$A$304=$B$3, INPUT_Rollers!$B$4:$B$304="Wall", INPUT_Rollers!$C$4:$C$304=$A49, INPUT_Rollers!$I$4:$I$304&lt;&gt;"N"),1),""))</f>
        <v/>
      </c>
      <c r="E49">
        <f>IF($A49="","",IFERROR(INDEX(FILTER(INPUT_Rollers!$G$4:$G$304, INPUT_Rollers!$A$4:$A$304=$B$3, INPUT_Rollers!$B$4:$B$304="Wall", INPUT_Rollers!$C$4:$C$304=$A49, INPUT_Rollers!$I$4:$I$304&lt;&gt;"N"),1),""))</f>
        <v/>
      </c>
    </row>
    <row r="50">
      <c r="B50">
        <f>IF($A50="","", SUMIF(ENGINE_Walls!$S$11:$S$90, $A50, ENGINE_Walls!$D$11:$D$90))</f>
        <v/>
      </c>
      <c r="C50">
        <f>IF($A50="","",IFERROR(INDEX(FILTER(INPUT_Rollers!$D$4:$D$304, INPUT_Rollers!$A$4:$A$304=$B$3, INPUT_Rollers!$B$4:$B$304="Wall", INPUT_Rollers!$C$4:$C$304=$A50, INPUT_Rollers!$I$4:$I$304&lt;&gt;"N"),1),""))</f>
        <v/>
      </c>
      <c r="D50">
        <f>IF($A50="","",IFERROR(INDEX(FILTER(INPUT_Rollers!$E$4:$E$304, INPUT_Rollers!$A$4:$A$304=$B$3, INPUT_Rollers!$B$4:$B$304="Wall", INPUT_Rollers!$C$4:$C$304=$A50, INPUT_Rollers!$I$4:$I$304&lt;&gt;"N"),1),""))</f>
        <v/>
      </c>
      <c r="E50">
        <f>IF($A50="","",IFERROR(INDEX(FILTER(INPUT_Rollers!$G$4:$G$304, INPUT_Rollers!$A$4:$A$304=$B$3, INPUT_Rollers!$B$4:$B$304="Wall", INPUT_Rollers!$C$4:$C$304=$A50, INPUT_Rollers!$I$4:$I$304&lt;&gt;"N"),1),""))</f>
        <v/>
      </c>
    </row>
    <row r="51">
      <c r="B51">
        <f>IF($A51="","", SUMIF(ENGINE_Walls!$S$11:$S$90, $A51, ENGINE_Walls!$D$11:$D$90))</f>
        <v/>
      </c>
      <c r="C51">
        <f>IF($A51="","",IFERROR(INDEX(FILTER(INPUT_Rollers!$D$4:$D$304, INPUT_Rollers!$A$4:$A$304=$B$3, INPUT_Rollers!$B$4:$B$304="Wall", INPUT_Rollers!$C$4:$C$304=$A51, INPUT_Rollers!$I$4:$I$304&lt;&gt;"N"),1),""))</f>
        <v/>
      </c>
      <c r="D51">
        <f>IF($A51="","",IFERROR(INDEX(FILTER(INPUT_Rollers!$E$4:$E$304, INPUT_Rollers!$A$4:$A$304=$B$3, INPUT_Rollers!$B$4:$B$304="Wall", INPUT_Rollers!$C$4:$C$304=$A51, INPUT_Rollers!$I$4:$I$304&lt;&gt;"N"),1),""))</f>
        <v/>
      </c>
      <c r="E51">
        <f>IF($A51="","",IFERROR(INDEX(FILTER(INPUT_Rollers!$G$4:$G$304, INPUT_Rollers!$A$4:$A$304=$B$3, INPUT_Rollers!$B$4:$B$304="Wall", INPUT_Rollers!$C$4:$C$304=$A51, INPUT_Rollers!$I$4:$I$304&lt;&gt;"N"),1),""))</f>
        <v/>
      </c>
    </row>
    <row r="52">
      <c r="B52">
        <f>IF($A52="","", SUMIF(ENGINE_Walls!$S$11:$S$90, $A52, ENGINE_Walls!$D$11:$D$90))</f>
        <v/>
      </c>
      <c r="C52">
        <f>IF($A52="","",IFERROR(INDEX(FILTER(INPUT_Rollers!$D$4:$D$304, INPUT_Rollers!$A$4:$A$304=$B$3, INPUT_Rollers!$B$4:$B$304="Wall", INPUT_Rollers!$C$4:$C$304=$A52, INPUT_Rollers!$I$4:$I$304&lt;&gt;"N"),1),""))</f>
        <v/>
      </c>
      <c r="D52">
        <f>IF($A52="","",IFERROR(INDEX(FILTER(INPUT_Rollers!$E$4:$E$304, INPUT_Rollers!$A$4:$A$304=$B$3, INPUT_Rollers!$B$4:$B$304="Wall", INPUT_Rollers!$C$4:$C$304=$A52, INPUT_Rollers!$I$4:$I$304&lt;&gt;"N"),1),""))</f>
        <v/>
      </c>
      <c r="E52">
        <f>IF($A52="","",IFERROR(INDEX(FILTER(INPUT_Rollers!$G$4:$G$304, INPUT_Rollers!$A$4:$A$304=$B$3, INPUT_Rollers!$B$4:$B$304="Wall", INPUT_Rollers!$C$4:$C$304=$A52, INPUT_Rollers!$I$4:$I$304&lt;&gt;"N"),1),""))</f>
        <v/>
      </c>
    </row>
    <row r="53">
      <c r="B53">
        <f>IF($A53="","", SUMIF(ENGINE_Walls!$S$11:$S$90, $A53, ENGINE_Walls!$D$11:$D$90))</f>
        <v/>
      </c>
      <c r="C53">
        <f>IF($A53="","",IFERROR(INDEX(FILTER(INPUT_Rollers!$D$4:$D$304, INPUT_Rollers!$A$4:$A$304=$B$3, INPUT_Rollers!$B$4:$B$304="Wall", INPUT_Rollers!$C$4:$C$304=$A53, INPUT_Rollers!$I$4:$I$304&lt;&gt;"N"),1),""))</f>
        <v/>
      </c>
      <c r="D53">
        <f>IF($A53="","",IFERROR(INDEX(FILTER(INPUT_Rollers!$E$4:$E$304, INPUT_Rollers!$A$4:$A$304=$B$3, INPUT_Rollers!$B$4:$B$304="Wall", INPUT_Rollers!$C$4:$C$304=$A53, INPUT_Rollers!$I$4:$I$304&lt;&gt;"N"),1),""))</f>
        <v/>
      </c>
      <c r="E53">
        <f>IF($A53="","",IFERROR(INDEX(FILTER(INPUT_Rollers!$G$4:$G$304, INPUT_Rollers!$A$4:$A$304=$B$3, INPUT_Rollers!$B$4:$B$304="Wall", INPUT_Rollers!$C$4:$C$304=$A53, INPUT_Rollers!$I$4:$I$304&lt;&gt;"N"),1),""))</f>
        <v/>
      </c>
    </row>
    <row r="54">
      <c r="B54">
        <f>IF($A54="","", SUMIF(ENGINE_Walls!$S$11:$S$90, $A54, ENGINE_Walls!$D$11:$D$90))</f>
        <v/>
      </c>
      <c r="C54">
        <f>IF($A54="","",IFERROR(INDEX(FILTER(INPUT_Rollers!$D$4:$D$304, INPUT_Rollers!$A$4:$A$304=$B$3, INPUT_Rollers!$B$4:$B$304="Wall", INPUT_Rollers!$C$4:$C$304=$A54, INPUT_Rollers!$I$4:$I$304&lt;&gt;"N"),1),""))</f>
        <v/>
      </c>
      <c r="D54">
        <f>IF($A54="","",IFERROR(INDEX(FILTER(INPUT_Rollers!$E$4:$E$304, INPUT_Rollers!$A$4:$A$304=$B$3, INPUT_Rollers!$B$4:$B$304="Wall", INPUT_Rollers!$C$4:$C$304=$A54, INPUT_Rollers!$I$4:$I$304&lt;&gt;"N"),1),""))</f>
        <v/>
      </c>
      <c r="E54">
        <f>IF($A54="","",IFERROR(INDEX(FILTER(INPUT_Rollers!$G$4:$G$304, INPUT_Rollers!$A$4:$A$304=$B$3, INPUT_Rollers!$B$4:$B$304="Wall", INPUT_Rollers!$C$4:$C$304=$A54, INPUT_Rollers!$I$4:$I$304&lt;&gt;"N"),1),""))</f>
        <v/>
      </c>
    </row>
    <row r="55">
      <c r="B55">
        <f>IF($A55="","", SUMIF(ENGINE_Walls!$S$11:$S$90, $A55, ENGINE_Walls!$D$11:$D$90))</f>
        <v/>
      </c>
      <c r="C55">
        <f>IF($A55="","",IFERROR(INDEX(FILTER(INPUT_Rollers!$D$4:$D$304, INPUT_Rollers!$A$4:$A$304=$B$3, INPUT_Rollers!$B$4:$B$304="Wall", INPUT_Rollers!$C$4:$C$304=$A55, INPUT_Rollers!$I$4:$I$304&lt;&gt;"N"),1),""))</f>
        <v/>
      </c>
      <c r="D55">
        <f>IF($A55="","",IFERROR(INDEX(FILTER(INPUT_Rollers!$E$4:$E$304, INPUT_Rollers!$A$4:$A$304=$B$3, INPUT_Rollers!$B$4:$B$304="Wall", INPUT_Rollers!$C$4:$C$304=$A55, INPUT_Rollers!$I$4:$I$304&lt;&gt;"N"),1),""))</f>
        <v/>
      </c>
      <c r="E55">
        <f>IF($A55="","",IFERROR(INDEX(FILTER(INPUT_Rollers!$G$4:$G$304, INPUT_Rollers!$A$4:$A$304=$B$3, INPUT_Rollers!$B$4:$B$304="Wall", INPUT_Rollers!$C$4:$C$304=$A55, INPUT_Rollers!$I$4:$I$304&lt;&gt;"N"),1),""))</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210"/>
  <sheetViews>
    <sheetView workbookViewId="0">
      <selection activeCell="A1" sqref="A1"/>
    </sheetView>
  </sheetViews>
  <sheetFormatPr baseColWidth="8" defaultRowHeight="15"/>
  <cols>
    <col width="10" customWidth="1" min="1" max="1"/>
    <col width="22" customWidth="1" min="2" max="2"/>
    <col width="18" customWidth="1" min="3" max="3"/>
    <col width="8" customWidth="1" min="4" max="4"/>
    <col width="12" customWidth="1" min="5" max="5"/>
    <col width="10" customWidth="1" min="6" max="6"/>
    <col width="10" customWidth="1" min="7" max="7"/>
    <col width="14" customWidth="1" min="8" max="8"/>
    <col width="10" customWidth="1" min="9" max="9"/>
    <col width="10" customWidth="1" min="10" max="10"/>
    <col width="10" customWidth="1" min="11" max="11"/>
    <col width="10" customWidth="1" min="12" max="12"/>
    <col width="10" customWidth="1" min="13" max="13"/>
    <col width="12" customWidth="1" min="14" max="14"/>
    <col width="14" customWidth="1" min="15" max="15"/>
  </cols>
  <sheetData>
    <row r="1">
      <c r="A1" s="1" t="inlineStr">
        <is>
          <t>TRIM ENGINE (reads INPUT_* tables)</t>
        </is>
      </c>
    </row>
    <row r="3">
      <c r="A3" s="4" t="inlineStr">
        <is>
          <t>Scope Settings</t>
        </is>
      </c>
    </row>
    <row r="4">
      <c r="A4" s="9" t="inlineStr">
        <is>
          <t>JobID (filter)</t>
        </is>
      </c>
      <c r="B4" s="8">
        <f>'Job Control'!$B$3</f>
        <v/>
      </c>
    </row>
    <row r="5">
      <c r="A5" s="9" t="inlineStr">
        <is>
          <t>Default Prep Level</t>
        </is>
      </c>
      <c r="B5" s="8" t="inlineStr">
        <is>
          <t>Light</t>
        </is>
      </c>
    </row>
    <row r="6">
      <c r="A6" s="9" t="inlineStr">
        <is>
          <t>Labor Rate ($/hr)</t>
        </is>
      </c>
      <c r="B6" s="6">
        <f>XLOOKUP("LaborRate",Constants!$A$10:$A$60,Constants!$B$10:$B$60)</f>
        <v/>
      </c>
    </row>
    <row r="7">
      <c r="A7" s="9" t="inlineStr">
        <is>
          <t>Markup</t>
        </is>
      </c>
      <c r="B7" s="6">
        <f>XLOOKUP("Markup",Constants!$A$10:$A$60,Constants!$B$10:$B$60)</f>
        <v/>
      </c>
    </row>
    <row r="10">
      <c r="A10" s="5" t="inlineStr">
        <is>
          <t>RoomID</t>
        </is>
      </c>
      <c r="B10" s="5" t="inlineStr">
        <is>
          <t>Room Name</t>
        </is>
      </c>
      <c r="C10" s="5" t="inlineStr">
        <is>
          <t>Item</t>
        </is>
      </c>
      <c r="D10" s="5" t="inlineStr">
        <is>
          <t>Unit</t>
        </is>
      </c>
      <c r="E10" s="5" t="inlineStr">
        <is>
          <t>QtyUnits</t>
        </is>
      </c>
      <c r="F10" s="5" t="inlineStr">
        <is>
          <t>Primer</t>
        </is>
      </c>
      <c r="G10" s="5" t="inlineStr">
        <is>
          <t>Topcoats</t>
        </is>
      </c>
      <c r="H10" s="5" t="inlineStr">
        <is>
          <t>PrepLevelUsed</t>
        </is>
      </c>
      <c r="I10" s="5" t="inlineStr">
        <is>
          <t>PrepMins</t>
        </is>
      </c>
      <c r="J10" s="5" t="inlineStr">
        <is>
          <t>PaintMins</t>
        </is>
      </c>
      <c r="K10" s="5" t="inlineStr">
        <is>
          <t>PrimerMins</t>
        </is>
      </c>
      <c r="L10" s="5" t="inlineStr">
        <is>
          <t>Material$ (calc)</t>
        </is>
      </c>
      <c r="M10" s="5" t="inlineStr">
        <is>
          <t>TotalMins</t>
        </is>
      </c>
      <c r="N10" s="5" t="inlineStr">
        <is>
          <t>LaborHours</t>
        </is>
      </c>
      <c r="O10" s="5" t="inlineStr">
        <is>
          <t>Labor$</t>
        </is>
      </c>
      <c r="P10" s="5" t="inlineStr">
        <is>
          <t>Total$ w/Markup</t>
        </is>
      </c>
    </row>
    <row r="11">
      <c r="A11" s="6">
        <f>IFERROR(INDEX(FILTER(INPUT_Rooms!$B$4:$B$83, INPUT_Rooms!$A$4:$A$83=$B$4, INPUT_Rooms!$T$4:$T$83="Y"), 1), "")</f>
        <v/>
      </c>
      <c r="B11" s="6">
        <f>IF(A11="","", XLOOKUP(A11, FILTER(INPUT_Rooms!$B$4:$B$83, INPUT_Rooms!$A$4:$A$83=$B$4), FILTER(INPUT_Rooms!$C$4:$C$83, INPUT_Rooms!$A$4:$A$83=$B$4), ""))</f>
        <v/>
      </c>
      <c r="C11" s="6">
        <f>IF(A11="","", CHOOSE(1,"Baseboard","Crown","Window Casing","Door Casing","Doors (leaf)"))</f>
        <v/>
      </c>
      <c r="D11" s="6">
        <f>IF(A11="","", XLOOKUP(C11,Constants!$A$40:$A$200,Constants!$B$40:$B$200,"",0))</f>
        <v/>
      </c>
      <c r="E11" s="6">
        <f>IF(A11="","", IF(C11="Baseboard", IF(XLOOKUP(A11,INPUT_Rooms!$B:$B,INPUT_Rooms!$X:$X,"")="Y", XLOOKUP(A11,INPUT_Rooms!$B:$B,INPUT_Rooms!$AF:$AF,""), 0),IF(C11="Crown", IF(XLOOKUP(A11,INPUT_Rooms!$B:$B,INPUT_Rooms!$Y:$Y,"")="Y", XLOOKUP(A11,INPUT_Rooms!$B:$B,INPUT_Rooms!$AG:$AG,""), 0),IF(C11="Window Casing", IF(XLOOKUP(A11,INPUT_Rooms!$B:$B,INPUT_Rooms!$Z:$Z,"")="Y", SUMPRODUCT((INPUT_Openings!$A:$A=$B$4)*(INPUT_Openings!$B:$B=A11)*(INPUT_Openings!$D:$D)*XLOOKUP(INPUT_Openings!$C:$C,Constants!$A$30:$A$200,Constants!$E$30:$E$200,"",0)*(INPUT_Openings!$E:$E="Window")), 0),IF(C11="Door Casing", IF(XLOOKUP(A11,INPUT_Rooms!$B:$B,INPUT_Rooms!$AA:$AA,"")="Y", SUMPRODUCT((INPUT_Openings!$A:$A=$B$4)*(INPUT_Openings!$B:$B=A11)*(INPUT_Openings!$D:$D)*XLOOKUP(INPUT_Openings!$C:$C,Constants!$A$30:$A$200,Constants!$E$30:$E$200,"",0)*(INPUT_Openings!$E:$E="Door")), 0),IF(C11="Doors (leaf)", IF(XLOOKUP(A11,INPUT_Rooms!$B:$B,INPUT_Rooms!$AB:$AB,"")="Y", SUMPRODUCT((INPUT_Doors!$A:$A=$B$4)*(INPUT_Doors!$B:$B=A11)*(INPUT_Doors!$D:$D)*(INPUT_Doors!$E:$E)), 0), 0))))))</f>
        <v/>
      </c>
      <c r="F11" s="6">
        <f>IF(A11="","", XLOOKUP(A11, INPUT_Rooms!$B:$B, INPUT_Rooms!$U:$U, ""))</f>
        <v/>
      </c>
      <c r="G11" s="6">
        <f>IF(A11="","", XLOOKUP(A11, INPUT_Rooms!$B:$B, INPUT_Rooms!$V:$V, ""))</f>
        <v/>
      </c>
      <c r="H11" s="6">
        <f>IF(A11="","", IF(XLOOKUP(A11, INPUT_Rooms!$B:$B, INPUT_Rooms!$W:$W, "")="", $B$5, XLOOKUP(A11, INPUT_Rooms!$B:$B, INPUT_Rooms!$W:$W, "")))</f>
        <v/>
      </c>
      <c r="I11" s="6">
        <f>IF(A11="","", IF(C11="Doors (leaf)", 0, E11*XLOOKUP(C11,Constants!$A$40:$A$200,Constants!$C$40:$C$200,0,0)*XLOOKUP(H11,Constants!$E$10:$E$30,Constants!$F$10:$F$30)))</f>
        <v/>
      </c>
      <c r="J11" s="6">
        <f>IF(A11="","", IF(C11="Doors (leaf)", 0, E11*XLOOKUP(C11,Constants!$A$40:$A$200,Constants!$D$40:$D$200,0,0)*G11))</f>
        <v/>
      </c>
      <c r="K11" s="6">
        <f>IF(A11="","", IF(C11="Doors (leaf)", 0, IF(F11="Full", E11*XLOOKUP(C11,Constants!$A$40:$A$200,Constants!$E$40:$E$200,0,0), IF(F11="Spot", E11*XLOOKUP(C11,Constants!$A$40:$A$200,Constants!$E$40:$E$200,0,0)*0.35, 0))))</f>
        <v/>
      </c>
      <c r="L11">
        <f>IF(A11="","",0)</f>
        <v/>
      </c>
      <c r="M11" s="6">
        <f>IF(A11="","", SUM(I11:K11))</f>
        <v/>
      </c>
      <c r="N11" s="6">
        <f>IF(A11="","", L11/60)</f>
        <v/>
      </c>
      <c r="O11" s="6">
        <f>IF($A11="","", IFERROR($N11*IFERROR(IF(XLOOKUP('Job Control'!$B$3, INPUT_JobSettings!$A:$A, INPUT_JobSettings!$F:$F, "")&lt;&gt;"",XLOOKUP('Job Control'!$B$3, INPUT_JobSettings!$A:$A, INPUT_JobSettings!$F:$F, ""),$B$6),$B$6),0))</f>
        <v/>
      </c>
      <c r="P11" s="6">
        <f>IF($A11="","", IFERROR(($O11+$L11)*IFERROR(IF(XLOOKUP('Job Control'!$B$3, INPUT_JobSettings!$A:$A, INPUT_JobSettings!$G:$G, "")&lt;&gt;"",XLOOKUP('Job Control'!$B$3, INPUT_JobSettings!$A:$A, INPUT_JobSettings!$G:$G, ""),$B$7),$B$7),0))</f>
        <v/>
      </c>
    </row>
    <row r="12">
      <c r="A12" s="6">
        <f>IFERROR(INDEX(FILTER(INPUT_Rooms!$B$4:$B$83, INPUT_Rooms!$A$4:$A$83=$B$4, INPUT_Rooms!$T$4:$T$83="Y"), 1), "")</f>
        <v/>
      </c>
      <c r="B12" s="6">
        <f>IF(A12="","", XLOOKUP(A12, FILTER(INPUT_Rooms!$B$4:$B$83, INPUT_Rooms!$A$4:$A$83=$B$4), FILTER(INPUT_Rooms!$C$4:$C$83, INPUT_Rooms!$A$4:$A$83=$B$4), ""))</f>
        <v/>
      </c>
      <c r="C12" s="6">
        <f>IF(A12="","", CHOOSE(2,"Baseboard","Crown","Window Casing","Door Casing","Doors (leaf)"))</f>
        <v/>
      </c>
      <c r="D12" s="6">
        <f>IF(A12="","", XLOOKUP(C12,Constants!$A$40:$A$200,Constants!$B$40:$B$200,"",0))</f>
        <v/>
      </c>
      <c r="E12" s="6">
        <f>IF(A12="","", IF(C12="Baseboard", IF(XLOOKUP(A12,INPUT_Rooms!$B:$B,INPUT_Rooms!$X:$X,"")="Y", XLOOKUP(A12,INPUT_Rooms!$B:$B,INPUT_Rooms!$AF:$AF,""), 0),IF(C12="Crown", IF(XLOOKUP(A12,INPUT_Rooms!$B:$B,INPUT_Rooms!$Y:$Y,"")="Y", XLOOKUP(A12,INPUT_Rooms!$B:$B,INPUT_Rooms!$AG:$AG,""), 0),IF(C12="Window Casing", IF(XLOOKUP(A12,INPUT_Rooms!$B:$B,INPUT_Rooms!$Z:$Z,"")="Y", SUMPRODUCT((INPUT_Openings!$A:$A=$B$4)*(INPUT_Openings!$B:$B=A12)*(INPUT_Openings!$D:$D)*XLOOKUP(INPUT_Openings!$C:$C,Constants!$A$30:$A$200,Constants!$E$30:$E$200,"",0)*(INPUT_Openings!$E:$E="Window")), 0),IF(C12="Door Casing", IF(XLOOKUP(A12,INPUT_Rooms!$B:$B,INPUT_Rooms!$AA:$AA,"")="Y", SUMPRODUCT((INPUT_Openings!$A:$A=$B$4)*(INPUT_Openings!$B:$B=A12)*(INPUT_Openings!$D:$D)*XLOOKUP(INPUT_Openings!$C:$C,Constants!$A$30:$A$200,Constants!$E$30:$E$200,"",0)*(INPUT_Openings!$E:$E="Door")), 0),IF(C12="Doors (leaf)", IF(XLOOKUP(A12,INPUT_Rooms!$B:$B,INPUT_Rooms!$AB:$AB,"")="Y", SUMPRODUCT((INPUT_Doors!$A:$A=$B$4)*(INPUT_Doors!$B:$B=A12)*(INPUT_Doors!$D:$D)*(INPUT_Doors!$E:$E)), 0), 0))))))</f>
        <v/>
      </c>
      <c r="F12" s="6">
        <f>IF(A12="","", XLOOKUP(A12, INPUT_Rooms!$B:$B, INPUT_Rooms!$U:$U, ""))</f>
        <v/>
      </c>
      <c r="G12" s="6">
        <f>IF(A12="","", XLOOKUP(A12, INPUT_Rooms!$B:$B, INPUT_Rooms!$V:$V, ""))</f>
        <v/>
      </c>
      <c r="H12" s="6">
        <f>IF(A12="","", IF(XLOOKUP(A12, INPUT_Rooms!$B:$B, INPUT_Rooms!$W:$W, "")="", $B$5, XLOOKUP(A12, INPUT_Rooms!$B:$B, INPUT_Rooms!$W:$W, "")))</f>
        <v/>
      </c>
      <c r="I12" s="6">
        <f>IF(A12="","", IF(C12="Doors (leaf)", 0, E12*XLOOKUP(C12,Constants!$A$40:$A$200,Constants!$C$40:$C$200,0,0)*XLOOKUP(H12,Constants!$E$10:$E$30,Constants!$F$10:$F$30)))</f>
        <v/>
      </c>
      <c r="J12" s="6">
        <f>IF(A12="","", IF(C12="Doors (leaf)", 0, E12*XLOOKUP(C12,Constants!$A$40:$A$200,Constants!$D$40:$D$200,0,0)*G12))</f>
        <v/>
      </c>
      <c r="K12" s="6">
        <f>IF(A12="","", IF(C12="Doors (leaf)", 0, IF(F12="Full", E12*XLOOKUP(C12,Constants!$A$40:$A$200,Constants!$E$40:$E$200,0,0), IF(F12="Spot", E12*XLOOKUP(C12,Constants!$A$40:$A$200,Constants!$E$40:$E$200,0,0)*0.35, 0))))</f>
        <v/>
      </c>
      <c r="L12">
        <f>IF(A12="","",0)</f>
        <v/>
      </c>
      <c r="M12" s="6">
        <f>IF(A12="","", SUM(I12:K12))</f>
        <v/>
      </c>
      <c r="N12" s="6">
        <f>IF(A12="","", L12/60)</f>
        <v/>
      </c>
      <c r="O12" s="6">
        <f>IF($A12="","", IFERROR($N12*IFERROR(IF(XLOOKUP('Job Control'!$B$3, INPUT_JobSettings!$A:$A, INPUT_JobSettings!$F:$F, "")&lt;&gt;"",XLOOKUP('Job Control'!$B$3, INPUT_JobSettings!$A:$A, INPUT_JobSettings!$F:$F, ""),$B$6),$B$6),0))</f>
        <v/>
      </c>
      <c r="P12" s="6">
        <f>IF($A12="","", IFERROR(($O12+$L12)*IFERROR(IF(XLOOKUP('Job Control'!$B$3, INPUT_JobSettings!$A:$A, INPUT_JobSettings!$G:$G, "")&lt;&gt;"",XLOOKUP('Job Control'!$B$3, INPUT_JobSettings!$A:$A, INPUT_JobSettings!$G:$G, ""),$B$7),$B$7),0))</f>
        <v/>
      </c>
    </row>
    <row r="13">
      <c r="A13" s="6">
        <f>IFERROR(INDEX(FILTER(INPUT_Rooms!$B$4:$B$83, INPUT_Rooms!$A$4:$A$83=$B$4, INPUT_Rooms!$T$4:$T$83="Y"), 1), "")</f>
        <v/>
      </c>
      <c r="B13" s="6">
        <f>IF(A13="","", XLOOKUP(A13, FILTER(INPUT_Rooms!$B$4:$B$83, INPUT_Rooms!$A$4:$A$83=$B$4), FILTER(INPUT_Rooms!$C$4:$C$83, INPUT_Rooms!$A$4:$A$83=$B$4), ""))</f>
        <v/>
      </c>
      <c r="C13" s="6">
        <f>IF(A13="","", CHOOSE(3,"Baseboard","Crown","Window Casing","Door Casing","Doors (leaf)"))</f>
        <v/>
      </c>
      <c r="D13" s="6">
        <f>IF(A13="","", XLOOKUP(C13,Constants!$A$40:$A$200,Constants!$B$40:$B$200,"",0))</f>
        <v/>
      </c>
      <c r="E13" s="6">
        <f>IF(A13="","", IF(C13="Baseboard", IF(XLOOKUP(A13,INPUT_Rooms!$B:$B,INPUT_Rooms!$X:$X,"")="Y", XLOOKUP(A13,INPUT_Rooms!$B:$B,INPUT_Rooms!$AF:$AF,""), 0),IF(C13="Crown", IF(XLOOKUP(A13,INPUT_Rooms!$B:$B,INPUT_Rooms!$Y:$Y,"")="Y", XLOOKUP(A13,INPUT_Rooms!$B:$B,INPUT_Rooms!$AG:$AG,""), 0),IF(C13="Window Casing", IF(XLOOKUP(A13,INPUT_Rooms!$B:$B,INPUT_Rooms!$Z:$Z,"")="Y", SUMPRODUCT((INPUT_Openings!$A:$A=$B$4)*(INPUT_Openings!$B:$B=A13)*(INPUT_Openings!$D:$D)*XLOOKUP(INPUT_Openings!$C:$C,Constants!$A$30:$A$200,Constants!$E$30:$E$200,"",0)*(INPUT_Openings!$E:$E="Window")), 0),IF(C13="Door Casing", IF(XLOOKUP(A13,INPUT_Rooms!$B:$B,INPUT_Rooms!$AA:$AA,"")="Y", SUMPRODUCT((INPUT_Openings!$A:$A=$B$4)*(INPUT_Openings!$B:$B=A13)*(INPUT_Openings!$D:$D)*XLOOKUP(INPUT_Openings!$C:$C,Constants!$A$30:$A$200,Constants!$E$30:$E$200,"",0)*(INPUT_Openings!$E:$E="Door")), 0),IF(C13="Doors (leaf)", IF(XLOOKUP(A13,INPUT_Rooms!$B:$B,INPUT_Rooms!$AB:$AB,"")="Y", SUMPRODUCT((INPUT_Doors!$A:$A=$B$4)*(INPUT_Doors!$B:$B=A13)*(INPUT_Doors!$D:$D)*(INPUT_Doors!$E:$E)), 0), 0))))))</f>
        <v/>
      </c>
      <c r="F13" s="6">
        <f>IF(A13="","", XLOOKUP(A13, INPUT_Rooms!$B:$B, INPUT_Rooms!$U:$U, ""))</f>
        <v/>
      </c>
      <c r="G13" s="6">
        <f>IF(A13="","", XLOOKUP(A13, INPUT_Rooms!$B:$B, INPUT_Rooms!$V:$V, ""))</f>
        <v/>
      </c>
      <c r="H13" s="6">
        <f>IF(A13="","", IF(XLOOKUP(A13, INPUT_Rooms!$B:$B, INPUT_Rooms!$W:$W, "")="", $B$5, XLOOKUP(A13, INPUT_Rooms!$B:$B, INPUT_Rooms!$W:$W, "")))</f>
        <v/>
      </c>
      <c r="I13" s="6">
        <f>IF(A13="","", IF(C13="Doors (leaf)", 0, E13*XLOOKUP(C13,Constants!$A$40:$A$200,Constants!$C$40:$C$200,0,0)*XLOOKUP(H13,Constants!$E$10:$E$30,Constants!$F$10:$F$30)))</f>
        <v/>
      </c>
      <c r="J13" s="6">
        <f>IF(A13="","", IF(C13="Doors (leaf)", 0, E13*XLOOKUP(C13,Constants!$A$40:$A$200,Constants!$D$40:$D$200,0,0)*G13))</f>
        <v/>
      </c>
      <c r="K13" s="6">
        <f>IF(A13="","", IF(C13="Doors (leaf)", 0, IF(F13="Full", E13*XLOOKUP(C13,Constants!$A$40:$A$200,Constants!$E$40:$E$200,0,0), IF(F13="Spot", E13*XLOOKUP(C13,Constants!$A$40:$A$200,Constants!$E$40:$E$200,0,0)*0.35, 0))))</f>
        <v/>
      </c>
      <c r="L13">
        <f>IF(A13="","",0)</f>
        <v/>
      </c>
      <c r="M13" s="6">
        <f>IF(A13="","", SUM(I13:K13))</f>
        <v/>
      </c>
      <c r="N13" s="6">
        <f>IF(A13="","", L13/60)</f>
        <v/>
      </c>
      <c r="O13" s="6">
        <f>IF($A13="","", IFERROR($N13*IFERROR(IF(XLOOKUP('Job Control'!$B$3, INPUT_JobSettings!$A:$A, INPUT_JobSettings!$F:$F, "")&lt;&gt;"",XLOOKUP('Job Control'!$B$3, INPUT_JobSettings!$A:$A, INPUT_JobSettings!$F:$F, ""),$B$6),$B$6),0))</f>
        <v/>
      </c>
      <c r="P13" s="6">
        <f>IF($A13="","", IFERROR(($O13+$L13)*IFERROR(IF(XLOOKUP('Job Control'!$B$3, INPUT_JobSettings!$A:$A, INPUT_JobSettings!$G:$G, "")&lt;&gt;"",XLOOKUP('Job Control'!$B$3, INPUT_JobSettings!$A:$A, INPUT_JobSettings!$G:$G, ""),$B$7),$B$7),0))</f>
        <v/>
      </c>
    </row>
    <row r="14">
      <c r="A14" s="6">
        <f>IFERROR(INDEX(FILTER(INPUT_Rooms!$B$4:$B$83, INPUT_Rooms!$A$4:$A$83=$B$4, INPUT_Rooms!$T$4:$T$83="Y"), 1), "")</f>
        <v/>
      </c>
      <c r="B14" s="6">
        <f>IF(A14="","", XLOOKUP(A14, FILTER(INPUT_Rooms!$B$4:$B$83, INPUT_Rooms!$A$4:$A$83=$B$4), FILTER(INPUT_Rooms!$C$4:$C$83, INPUT_Rooms!$A$4:$A$83=$B$4), ""))</f>
        <v/>
      </c>
      <c r="C14" s="6">
        <f>IF(A14="","", CHOOSE(4,"Baseboard","Crown","Window Casing","Door Casing","Doors (leaf)"))</f>
        <v/>
      </c>
      <c r="D14" s="6">
        <f>IF(A14="","", XLOOKUP(C14,Constants!$A$40:$A$200,Constants!$B$40:$B$200,"",0))</f>
        <v/>
      </c>
      <c r="E14" s="6">
        <f>IF(A14="","", IF(C14="Baseboard", IF(XLOOKUP(A14,INPUT_Rooms!$B:$B,INPUT_Rooms!$X:$X,"")="Y", XLOOKUP(A14,INPUT_Rooms!$B:$B,INPUT_Rooms!$AF:$AF,""), 0),IF(C14="Crown", IF(XLOOKUP(A14,INPUT_Rooms!$B:$B,INPUT_Rooms!$Y:$Y,"")="Y", XLOOKUP(A14,INPUT_Rooms!$B:$B,INPUT_Rooms!$AG:$AG,""), 0),IF(C14="Window Casing", IF(XLOOKUP(A14,INPUT_Rooms!$B:$B,INPUT_Rooms!$Z:$Z,"")="Y", SUMPRODUCT((INPUT_Openings!$A:$A=$B$4)*(INPUT_Openings!$B:$B=A14)*(INPUT_Openings!$D:$D)*XLOOKUP(INPUT_Openings!$C:$C,Constants!$A$30:$A$200,Constants!$E$30:$E$200,"",0)*(INPUT_Openings!$E:$E="Window")), 0),IF(C14="Door Casing", IF(XLOOKUP(A14,INPUT_Rooms!$B:$B,INPUT_Rooms!$AA:$AA,"")="Y", SUMPRODUCT((INPUT_Openings!$A:$A=$B$4)*(INPUT_Openings!$B:$B=A14)*(INPUT_Openings!$D:$D)*XLOOKUP(INPUT_Openings!$C:$C,Constants!$A$30:$A$200,Constants!$E$30:$E$200,"",0)*(INPUT_Openings!$E:$E="Door")), 0),IF(C14="Doors (leaf)", IF(XLOOKUP(A14,INPUT_Rooms!$B:$B,INPUT_Rooms!$AB:$AB,"")="Y", SUMPRODUCT((INPUT_Doors!$A:$A=$B$4)*(INPUT_Doors!$B:$B=A14)*(INPUT_Doors!$D:$D)*(INPUT_Doors!$E:$E)), 0), 0))))))</f>
        <v/>
      </c>
      <c r="F14" s="6">
        <f>IF(A14="","", XLOOKUP(A14, INPUT_Rooms!$B:$B, INPUT_Rooms!$U:$U, ""))</f>
        <v/>
      </c>
      <c r="G14" s="6">
        <f>IF(A14="","", XLOOKUP(A14, INPUT_Rooms!$B:$B, INPUT_Rooms!$V:$V, ""))</f>
        <v/>
      </c>
      <c r="H14" s="6">
        <f>IF(A14="","", IF(XLOOKUP(A14, INPUT_Rooms!$B:$B, INPUT_Rooms!$W:$W, "")="", $B$5, XLOOKUP(A14, INPUT_Rooms!$B:$B, INPUT_Rooms!$W:$W, "")))</f>
        <v/>
      </c>
      <c r="I14" s="6">
        <f>IF(A14="","", IF(C14="Doors (leaf)", 0, E14*XLOOKUP(C14,Constants!$A$40:$A$200,Constants!$C$40:$C$200,0,0)*XLOOKUP(H14,Constants!$E$10:$E$30,Constants!$F$10:$F$30)))</f>
        <v/>
      </c>
      <c r="J14" s="6">
        <f>IF(A14="","", IF(C14="Doors (leaf)", 0, E14*XLOOKUP(C14,Constants!$A$40:$A$200,Constants!$D$40:$D$200,0,0)*G14))</f>
        <v/>
      </c>
      <c r="K14" s="6">
        <f>IF(A14="","", IF(C14="Doors (leaf)", 0, IF(F14="Full", E14*XLOOKUP(C14,Constants!$A$40:$A$200,Constants!$E$40:$E$200,0,0), IF(F14="Spot", E14*XLOOKUP(C14,Constants!$A$40:$A$200,Constants!$E$40:$E$200,0,0)*0.35, 0))))</f>
        <v/>
      </c>
      <c r="L14">
        <f>IF(A14="","",0)</f>
        <v/>
      </c>
      <c r="M14" s="6">
        <f>IF(A14="","", SUM(I14:K14))</f>
        <v/>
      </c>
      <c r="N14" s="6">
        <f>IF(A14="","", L14/60)</f>
        <v/>
      </c>
      <c r="O14" s="6">
        <f>IF($A14="","", IFERROR($N14*IFERROR(IF(XLOOKUP('Job Control'!$B$3, INPUT_JobSettings!$A:$A, INPUT_JobSettings!$F:$F, "")&lt;&gt;"",XLOOKUP('Job Control'!$B$3, INPUT_JobSettings!$A:$A, INPUT_JobSettings!$F:$F, ""),$B$6),$B$6),0))</f>
        <v/>
      </c>
      <c r="P14" s="6">
        <f>IF($A14="","", IFERROR(($O14+$L14)*IFERROR(IF(XLOOKUP('Job Control'!$B$3, INPUT_JobSettings!$A:$A, INPUT_JobSettings!$G:$G, "")&lt;&gt;"",XLOOKUP('Job Control'!$B$3, INPUT_JobSettings!$A:$A, INPUT_JobSettings!$G:$G, ""),$B$7),$B$7),0))</f>
        <v/>
      </c>
    </row>
    <row r="15">
      <c r="A15" s="6">
        <f>IFERROR(INDEX(FILTER(INPUT_Rooms!$B$4:$B$83, INPUT_Rooms!$A$4:$A$83=$B$4, INPUT_Rooms!$T$4:$T$83="Y"), 1), "")</f>
        <v/>
      </c>
      <c r="B15" s="6">
        <f>IF(A15="","", XLOOKUP(A15, FILTER(INPUT_Rooms!$B$4:$B$83, INPUT_Rooms!$A$4:$A$83=$B$4), FILTER(INPUT_Rooms!$C$4:$C$83, INPUT_Rooms!$A$4:$A$83=$B$4), ""))</f>
        <v/>
      </c>
      <c r="C15" s="6">
        <f>IF(A15="","", CHOOSE(5,"Baseboard","Crown","Window Casing","Door Casing","Doors (leaf)"))</f>
        <v/>
      </c>
      <c r="D15" s="6">
        <f>IF(A15="","", XLOOKUP(C15,Constants!$A$40:$A$200,Constants!$B$40:$B$200,"",0))</f>
        <v/>
      </c>
      <c r="E15" s="6">
        <f>IF(A15="","", IF(C15="Baseboard", IF(XLOOKUP(A15,INPUT_Rooms!$B:$B,INPUT_Rooms!$X:$X,"")="Y", XLOOKUP(A15,INPUT_Rooms!$B:$B,INPUT_Rooms!$AF:$AF,""), 0),IF(C15="Crown", IF(XLOOKUP(A15,INPUT_Rooms!$B:$B,INPUT_Rooms!$Y:$Y,"")="Y", XLOOKUP(A15,INPUT_Rooms!$B:$B,INPUT_Rooms!$AG:$AG,""), 0),IF(C15="Window Casing", IF(XLOOKUP(A15,INPUT_Rooms!$B:$B,INPUT_Rooms!$Z:$Z,"")="Y", SUMPRODUCT((INPUT_Openings!$A:$A=$B$4)*(INPUT_Openings!$B:$B=A15)*(INPUT_Openings!$D:$D)*XLOOKUP(INPUT_Openings!$C:$C,Constants!$A$30:$A$200,Constants!$E$30:$E$200,"",0)*(INPUT_Openings!$E:$E="Window")), 0),IF(C15="Door Casing", IF(XLOOKUP(A15,INPUT_Rooms!$B:$B,INPUT_Rooms!$AA:$AA,"")="Y", SUMPRODUCT((INPUT_Openings!$A:$A=$B$4)*(INPUT_Openings!$B:$B=A15)*(INPUT_Openings!$D:$D)*XLOOKUP(INPUT_Openings!$C:$C,Constants!$A$30:$A$200,Constants!$E$30:$E$200,"",0)*(INPUT_Openings!$E:$E="Door")), 0),IF(C15="Doors (leaf)", IF(XLOOKUP(A15,INPUT_Rooms!$B:$B,INPUT_Rooms!$AB:$AB,"")="Y", SUMPRODUCT((INPUT_Doors!$A:$A=$B$4)*(INPUT_Doors!$B:$B=A15)*(INPUT_Doors!$D:$D)*(INPUT_Doors!$E:$E)), 0), 0))))))</f>
        <v/>
      </c>
      <c r="F15" s="6">
        <f>IF(A15="","", XLOOKUP(A15, INPUT_Rooms!$B:$B, INPUT_Rooms!$U:$U, ""))</f>
        <v/>
      </c>
      <c r="G15" s="6">
        <f>IF(A15="","", XLOOKUP(A15, INPUT_Rooms!$B:$B, INPUT_Rooms!$V:$V, ""))</f>
        <v/>
      </c>
      <c r="H15" s="6">
        <f>IF(A15="","", IF(XLOOKUP(A15, INPUT_Rooms!$B:$B, INPUT_Rooms!$W:$W, "")="", $B$5, XLOOKUP(A15, INPUT_Rooms!$B:$B, INPUT_Rooms!$W:$W, "")))</f>
        <v/>
      </c>
      <c r="I15" s="6">
        <f>IF(A15="","", IF(C15="Doors (leaf)", 0, E15*XLOOKUP(C15,Constants!$A$40:$A$200,Constants!$C$40:$C$200,0,0)*XLOOKUP(H15,Constants!$E$10:$E$30,Constants!$F$10:$F$30)))</f>
        <v/>
      </c>
      <c r="J15" s="6">
        <f>IF(A15="","", IF(C15="Doors (leaf)", 0, E15*XLOOKUP(C15,Constants!$A$40:$A$200,Constants!$D$40:$D$200,0,0)*G15))</f>
        <v/>
      </c>
      <c r="K15" s="6">
        <f>IF(A15="","", IF(C15="Doors (leaf)", 0, IF(F15="Full", E15*XLOOKUP(C15,Constants!$A$40:$A$200,Constants!$E$40:$E$200,0,0), IF(F15="Spot", E15*XLOOKUP(C15,Constants!$A$40:$A$200,Constants!$E$40:$E$200,0,0)*0.35, 0))))</f>
        <v/>
      </c>
      <c r="L15">
        <f>IF(A15="","",0)</f>
        <v/>
      </c>
      <c r="M15" s="6">
        <f>IF(A15="","", SUM(I15:K15))</f>
        <v/>
      </c>
      <c r="N15" s="6">
        <f>IF(A15="","", L15/60)</f>
        <v/>
      </c>
      <c r="O15" s="6">
        <f>IF($A15="","", IFERROR($N15*IFERROR(IF(XLOOKUP('Job Control'!$B$3, INPUT_JobSettings!$A:$A, INPUT_JobSettings!$F:$F, "")&lt;&gt;"",XLOOKUP('Job Control'!$B$3, INPUT_JobSettings!$A:$A, INPUT_JobSettings!$F:$F, ""),$B$6),$B$6),0))</f>
        <v/>
      </c>
      <c r="P15" s="6">
        <f>IF($A15="","", IFERROR(($O15+$L15)*IFERROR(IF(XLOOKUP('Job Control'!$B$3, INPUT_JobSettings!$A:$A, INPUT_JobSettings!$G:$G, "")&lt;&gt;"",XLOOKUP('Job Control'!$B$3, INPUT_JobSettings!$A:$A, INPUT_JobSettings!$G:$G, ""),$B$7),$B$7),0))</f>
        <v/>
      </c>
    </row>
    <row r="16">
      <c r="A16" s="6">
        <f>IFERROR(INDEX(FILTER(INPUT_Rooms!$B$4:$B$83, INPUT_Rooms!$A$4:$A$83=$B$4, INPUT_Rooms!$T$4:$T$83="Y"), 2), "")</f>
        <v/>
      </c>
      <c r="B16" s="6">
        <f>IF(A16="","", XLOOKUP(A16, FILTER(INPUT_Rooms!$B$4:$B$83, INPUT_Rooms!$A$4:$A$83=$B$4), FILTER(INPUT_Rooms!$C$4:$C$83, INPUT_Rooms!$A$4:$A$83=$B$4), ""))</f>
        <v/>
      </c>
      <c r="C16" s="6">
        <f>IF(A16="","", CHOOSE(1,"Baseboard","Crown","Window Casing","Door Casing","Doors (leaf)"))</f>
        <v/>
      </c>
      <c r="D16" s="6">
        <f>IF(A16="","", XLOOKUP(C16,Constants!$A$40:$A$200,Constants!$B$40:$B$200,"",0))</f>
        <v/>
      </c>
      <c r="E16" s="6">
        <f>IF(A16="","", IF(C16="Baseboard", IF(XLOOKUP(A16,INPUT_Rooms!$B:$B,INPUT_Rooms!$X:$X,"")="Y", XLOOKUP(A16,INPUT_Rooms!$B:$B,INPUT_Rooms!$AF:$AF,""), 0),IF(C16="Crown", IF(XLOOKUP(A16,INPUT_Rooms!$B:$B,INPUT_Rooms!$Y:$Y,"")="Y", XLOOKUP(A16,INPUT_Rooms!$B:$B,INPUT_Rooms!$AG:$AG,""), 0),IF(C16="Window Casing", IF(XLOOKUP(A16,INPUT_Rooms!$B:$B,INPUT_Rooms!$Z:$Z,"")="Y", SUMPRODUCT((INPUT_Openings!$A:$A=$B$4)*(INPUT_Openings!$B:$B=A16)*(INPUT_Openings!$D:$D)*XLOOKUP(INPUT_Openings!$C:$C,Constants!$A$30:$A$200,Constants!$E$30:$E$200,"",0)*(INPUT_Openings!$E:$E="Window")), 0),IF(C16="Door Casing", IF(XLOOKUP(A16,INPUT_Rooms!$B:$B,INPUT_Rooms!$AA:$AA,"")="Y", SUMPRODUCT((INPUT_Openings!$A:$A=$B$4)*(INPUT_Openings!$B:$B=A16)*(INPUT_Openings!$D:$D)*XLOOKUP(INPUT_Openings!$C:$C,Constants!$A$30:$A$200,Constants!$E$30:$E$200,"",0)*(INPUT_Openings!$E:$E="Door")), 0),IF(C16="Doors (leaf)", IF(XLOOKUP(A16,INPUT_Rooms!$B:$B,INPUT_Rooms!$AB:$AB,"")="Y", SUMPRODUCT((INPUT_Doors!$A:$A=$B$4)*(INPUT_Doors!$B:$B=A16)*(INPUT_Doors!$D:$D)*(INPUT_Doors!$E:$E)), 0), 0))))))</f>
        <v/>
      </c>
      <c r="F16" s="6">
        <f>IF(A16="","", XLOOKUP(A16, INPUT_Rooms!$B:$B, INPUT_Rooms!$U:$U, ""))</f>
        <v/>
      </c>
      <c r="G16" s="6">
        <f>IF(A16="","", XLOOKUP(A16, INPUT_Rooms!$B:$B, INPUT_Rooms!$V:$V, ""))</f>
        <v/>
      </c>
      <c r="H16" s="6">
        <f>IF(A16="","", IF(XLOOKUP(A16, INPUT_Rooms!$B:$B, INPUT_Rooms!$W:$W, "")="", $B$5, XLOOKUP(A16, INPUT_Rooms!$B:$B, INPUT_Rooms!$W:$W, "")))</f>
        <v/>
      </c>
      <c r="I16" s="6">
        <f>IF(A16="","", IF(C16="Doors (leaf)", 0, E16*XLOOKUP(C16,Constants!$A$40:$A$200,Constants!$C$40:$C$200,0,0)*XLOOKUP(H16,Constants!$E$10:$E$30,Constants!$F$10:$F$30)))</f>
        <v/>
      </c>
      <c r="J16" s="6">
        <f>IF(A16="","", IF(C16="Doors (leaf)", 0, E16*XLOOKUP(C16,Constants!$A$40:$A$200,Constants!$D$40:$D$200,0,0)*G16))</f>
        <v/>
      </c>
      <c r="K16" s="6">
        <f>IF(A16="","", IF(C16="Doors (leaf)", 0, IF(F16="Full", E16*XLOOKUP(C16,Constants!$A$40:$A$200,Constants!$E$40:$E$200,0,0), IF(F16="Spot", E16*XLOOKUP(C16,Constants!$A$40:$A$200,Constants!$E$40:$E$200,0,0)*0.35, 0))))</f>
        <v/>
      </c>
      <c r="L16">
        <f>IF(A16="","",0)</f>
        <v/>
      </c>
      <c r="M16" s="6">
        <f>IF(A16="","", SUM(I16:K16))</f>
        <v/>
      </c>
      <c r="N16" s="6">
        <f>IF(A16="","", L16/60)</f>
        <v/>
      </c>
      <c r="O16" s="6">
        <f>IF($A16="","", IFERROR($N16*IFERROR(IF(XLOOKUP('Job Control'!$B$3, INPUT_JobSettings!$A:$A, INPUT_JobSettings!$F:$F, "")&lt;&gt;"",XLOOKUP('Job Control'!$B$3, INPUT_JobSettings!$A:$A, INPUT_JobSettings!$F:$F, ""),$B$6),$B$6),0))</f>
        <v/>
      </c>
      <c r="P16" s="6">
        <f>IF($A16="","", IFERROR(($O16+$L16)*IFERROR(IF(XLOOKUP('Job Control'!$B$3, INPUT_JobSettings!$A:$A, INPUT_JobSettings!$G:$G, "")&lt;&gt;"",XLOOKUP('Job Control'!$B$3, INPUT_JobSettings!$A:$A, INPUT_JobSettings!$G:$G, ""),$B$7),$B$7),0))</f>
        <v/>
      </c>
    </row>
    <row r="17">
      <c r="A17" s="6">
        <f>IFERROR(INDEX(FILTER(INPUT_Rooms!$B$4:$B$83, INPUT_Rooms!$A$4:$A$83=$B$4, INPUT_Rooms!$T$4:$T$83="Y"), 2), "")</f>
        <v/>
      </c>
      <c r="B17" s="6">
        <f>IF(A17="","", XLOOKUP(A17, FILTER(INPUT_Rooms!$B$4:$B$83, INPUT_Rooms!$A$4:$A$83=$B$4), FILTER(INPUT_Rooms!$C$4:$C$83, INPUT_Rooms!$A$4:$A$83=$B$4), ""))</f>
        <v/>
      </c>
      <c r="C17" s="6">
        <f>IF(A17="","", CHOOSE(2,"Baseboard","Crown","Window Casing","Door Casing","Doors (leaf)"))</f>
        <v/>
      </c>
      <c r="D17" s="6">
        <f>IF(A17="","", XLOOKUP(C17,Constants!$A$40:$A$200,Constants!$B$40:$B$200,"",0))</f>
        <v/>
      </c>
      <c r="E17" s="6">
        <f>IF(A17="","", IF(C17="Baseboard", IF(XLOOKUP(A17,INPUT_Rooms!$B:$B,INPUT_Rooms!$X:$X,"")="Y", XLOOKUP(A17,INPUT_Rooms!$B:$B,INPUT_Rooms!$AF:$AF,""), 0),IF(C17="Crown", IF(XLOOKUP(A17,INPUT_Rooms!$B:$B,INPUT_Rooms!$Y:$Y,"")="Y", XLOOKUP(A17,INPUT_Rooms!$B:$B,INPUT_Rooms!$AG:$AG,""), 0),IF(C17="Window Casing", IF(XLOOKUP(A17,INPUT_Rooms!$B:$B,INPUT_Rooms!$Z:$Z,"")="Y", SUMPRODUCT((INPUT_Openings!$A:$A=$B$4)*(INPUT_Openings!$B:$B=A17)*(INPUT_Openings!$D:$D)*XLOOKUP(INPUT_Openings!$C:$C,Constants!$A$30:$A$200,Constants!$E$30:$E$200,"",0)*(INPUT_Openings!$E:$E="Window")), 0),IF(C17="Door Casing", IF(XLOOKUP(A17,INPUT_Rooms!$B:$B,INPUT_Rooms!$AA:$AA,"")="Y", SUMPRODUCT((INPUT_Openings!$A:$A=$B$4)*(INPUT_Openings!$B:$B=A17)*(INPUT_Openings!$D:$D)*XLOOKUP(INPUT_Openings!$C:$C,Constants!$A$30:$A$200,Constants!$E$30:$E$200,"",0)*(INPUT_Openings!$E:$E="Door")), 0),IF(C17="Doors (leaf)", IF(XLOOKUP(A17,INPUT_Rooms!$B:$B,INPUT_Rooms!$AB:$AB,"")="Y", SUMPRODUCT((INPUT_Doors!$A:$A=$B$4)*(INPUT_Doors!$B:$B=A17)*(INPUT_Doors!$D:$D)*(INPUT_Doors!$E:$E)), 0), 0))))))</f>
        <v/>
      </c>
      <c r="F17" s="6">
        <f>IF(A17="","", XLOOKUP(A17, INPUT_Rooms!$B:$B, INPUT_Rooms!$U:$U, ""))</f>
        <v/>
      </c>
      <c r="G17" s="6">
        <f>IF(A17="","", XLOOKUP(A17, INPUT_Rooms!$B:$B, INPUT_Rooms!$V:$V, ""))</f>
        <v/>
      </c>
      <c r="H17" s="6">
        <f>IF(A17="","", IF(XLOOKUP(A17, INPUT_Rooms!$B:$B, INPUT_Rooms!$W:$W, "")="", $B$5, XLOOKUP(A17, INPUT_Rooms!$B:$B, INPUT_Rooms!$W:$W, "")))</f>
        <v/>
      </c>
      <c r="I17" s="6">
        <f>IF(A17="","", IF(C17="Doors (leaf)", 0, E17*XLOOKUP(C17,Constants!$A$40:$A$200,Constants!$C$40:$C$200,0,0)*XLOOKUP(H17,Constants!$E$10:$E$30,Constants!$F$10:$F$30)))</f>
        <v/>
      </c>
      <c r="J17" s="6">
        <f>IF(A17="","", IF(C17="Doors (leaf)", 0, E17*XLOOKUP(C17,Constants!$A$40:$A$200,Constants!$D$40:$D$200,0,0)*G17))</f>
        <v/>
      </c>
      <c r="K17" s="6">
        <f>IF(A17="","", IF(C17="Doors (leaf)", 0, IF(F17="Full", E17*XLOOKUP(C17,Constants!$A$40:$A$200,Constants!$E$40:$E$200,0,0), IF(F17="Spot", E17*XLOOKUP(C17,Constants!$A$40:$A$200,Constants!$E$40:$E$200,0,0)*0.35, 0))))</f>
        <v/>
      </c>
      <c r="L17">
        <f>IF(A17="","",0)</f>
        <v/>
      </c>
      <c r="M17" s="6">
        <f>IF(A17="","", SUM(I17:K17))</f>
        <v/>
      </c>
      <c r="N17" s="6">
        <f>IF(A17="","", L17/60)</f>
        <v/>
      </c>
      <c r="O17" s="6">
        <f>IF($A17="","", IFERROR($N17*IFERROR(IF(XLOOKUP('Job Control'!$B$3, INPUT_JobSettings!$A:$A, INPUT_JobSettings!$F:$F, "")&lt;&gt;"",XLOOKUP('Job Control'!$B$3, INPUT_JobSettings!$A:$A, INPUT_JobSettings!$F:$F, ""),$B$6),$B$6),0))</f>
        <v/>
      </c>
      <c r="P17" s="6">
        <f>IF($A17="","", IFERROR(($O17+$L17)*IFERROR(IF(XLOOKUP('Job Control'!$B$3, INPUT_JobSettings!$A:$A, INPUT_JobSettings!$G:$G, "")&lt;&gt;"",XLOOKUP('Job Control'!$B$3, INPUT_JobSettings!$A:$A, INPUT_JobSettings!$G:$G, ""),$B$7),$B$7),0))</f>
        <v/>
      </c>
    </row>
    <row r="18">
      <c r="A18" s="6">
        <f>IFERROR(INDEX(FILTER(INPUT_Rooms!$B$4:$B$83, INPUT_Rooms!$A$4:$A$83=$B$4, INPUT_Rooms!$T$4:$T$83="Y"), 2), "")</f>
        <v/>
      </c>
      <c r="B18" s="6">
        <f>IF(A18="","", XLOOKUP(A18, FILTER(INPUT_Rooms!$B$4:$B$83, INPUT_Rooms!$A$4:$A$83=$B$4), FILTER(INPUT_Rooms!$C$4:$C$83, INPUT_Rooms!$A$4:$A$83=$B$4), ""))</f>
        <v/>
      </c>
      <c r="C18" s="6">
        <f>IF(A18="","", CHOOSE(3,"Baseboard","Crown","Window Casing","Door Casing","Doors (leaf)"))</f>
        <v/>
      </c>
      <c r="D18" s="6">
        <f>IF(A18="","", XLOOKUP(C18,Constants!$A$40:$A$200,Constants!$B$40:$B$200,"",0))</f>
        <v/>
      </c>
      <c r="E18" s="6">
        <f>IF(A18="","", IF(C18="Baseboard", IF(XLOOKUP(A18,INPUT_Rooms!$B:$B,INPUT_Rooms!$X:$X,"")="Y", XLOOKUP(A18,INPUT_Rooms!$B:$B,INPUT_Rooms!$AF:$AF,""), 0),IF(C18="Crown", IF(XLOOKUP(A18,INPUT_Rooms!$B:$B,INPUT_Rooms!$Y:$Y,"")="Y", XLOOKUP(A18,INPUT_Rooms!$B:$B,INPUT_Rooms!$AG:$AG,""), 0),IF(C18="Window Casing", IF(XLOOKUP(A18,INPUT_Rooms!$B:$B,INPUT_Rooms!$Z:$Z,"")="Y", SUMPRODUCT((INPUT_Openings!$A:$A=$B$4)*(INPUT_Openings!$B:$B=A18)*(INPUT_Openings!$D:$D)*XLOOKUP(INPUT_Openings!$C:$C,Constants!$A$30:$A$200,Constants!$E$30:$E$200,"",0)*(INPUT_Openings!$E:$E="Window")), 0),IF(C18="Door Casing", IF(XLOOKUP(A18,INPUT_Rooms!$B:$B,INPUT_Rooms!$AA:$AA,"")="Y", SUMPRODUCT((INPUT_Openings!$A:$A=$B$4)*(INPUT_Openings!$B:$B=A18)*(INPUT_Openings!$D:$D)*XLOOKUP(INPUT_Openings!$C:$C,Constants!$A$30:$A$200,Constants!$E$30:$E$200,"",0)*(INPUT_Openings!$E:$E="Door")), 0),IF(C18="Doors (leaf)", IF(XLOOKUP(A18,INPUT_Rooms!$B:$B,INPUT_Rooms!$AB:$AB,"")="Y", SUMPRODUCT((INPUT_Doors!$A:$A=$B$4)*(INPUT_Doors!$B:$B=A18)*(INPUT_Doors!$D:$D)*(INPUT_Doors!$E:$E)), 0), 0))))))</f>
        <v/>
      </c>
      <c r="F18" s="6">
        <f>IF(A18="","", XLOOKUP(A18, INPUT_Rooms!$B:$B, INPUT_Rooms!$U:$U, ""))</f>
        <v/>
      </c>
      <c r="G18" s="6">
        <f>IF(A18="","", XLOOKUP(A18, INPUT_Rooms!$B:$B, INPUT_Rooms!$V:$V, ""))</f>
        <v/>
      </c>
      <c r="H18" s="6">
        <f>IF(A18="","", IF(XLOOKUP(A18, INPUT_Rooms!$B:$B, INPUT_Rooms!$W:$W, "")="", $B$5, XLOOKUP(A18, INPUT_Rooms!$B:$B, INPUT_Rooms!$W:$W, "")))</f>
        <v/>
      </c>
      <c r="I18" s="6">
        <f>IF(A18="","", IF(C18="Doors (leaf)", 0, E18*XLOOKUP(C18,Constants!$A$40:$A$200,Constants!$C$40:$C$200,0,0)*XLOOKUP(H18,Constants!$E$10:$E$30,Constants!$F$10:$F$30)))</f>
        <v/>
      </c>
      <c r="J18" s="6">
        <f>IF(A18="","", IF(C18="Doors (leaf)", 0, E18*XLOOKUP(C18,Constants!$A$40:$A$200,Constants!$D$40:$D$200,0,0)*G18))</f>
        <v/>
      </c>
      <c r="K18" s="6">
        <f>IF(A18="","", IF(C18="Doors (leaf)", 0, IF(F18="Full", E18*XLOOKUP(C18,Constants!$A$40:$A$200,Constants!$E$40:$E$200,0,0), IF(F18="Spot", E18*XLOOKUP(C18,Constants!$A$40:$A$200,Constants!$E$40:$E$200,0,0)*0.35, 0))))</f>
        <v/>
      </c>
      <c r="L18">
        <f>IF(A18="","",0)</f>
        <v/>
      </c>
      <c r="M18" s="6">
        <f>IF(A18="","", SUM(I18:K18))</f>
        <v/>
      </c>
      <c r="N18" s="6">
        <f>IF(A18="","", L18/60)</f>
        <v/>
      </c>
      <c r="O18" s="6">
        <f>IF($A18="","", IFERROR($N18*IFERROR(IF(XLOOKUP('Job Control'!$B$3, INPUT_JobSettings!$A:$A, INPUT_JobSettings!$F:$F, "")&lt;&gt;"",XLOOKUP('Job Control'!$B$3, INPUT_JobSettings!$A:$A, INPUT_JobSettings!$F:$F, ""),$B$6),$B$6),0))</f>
        <v/>
      </c>
      <c r="P18" s="6">
        <f>IF($A18="","", IFERROR(($O18+$L18)*IFERROR(IF(XLOOKUP('Job Control'!$B$3, INPUT_JobSettings!$A:$A, INPUT_JobSettings!$G:$G, "")&lt;&gt;"",XLOOKUP('Job Control'!$B$3, INPUT_JobSettings!$A:$A, INPUT_JobSettings!$G:$G, ""),$B$7),$B$7),0))</f>
        <v/>
      </c>
    </row>
    <row r="19">
      <c r="A19" s="6">
        <f>IFERROR(INDEX(FILTER(INPUT_Rooms!$B$4:$B$83, INPUT_Rooms!$A$4:$A$83=$B$4, INPUT_Rooms!$T$4:$T$83="Y"), 2), "")</f>
        <v/>
      </c>
      <c r="B19" s="6">
        <f>IF(A19="","", XLOOKUP(A19, FILTER(INPUT_Rooms!$B$4:$B$83, INPUT_Rooms!$A$4:$A$83=$B$4), FILTER(INPUT_Rooms!$C$4:$C$83, INPUT_Rooms!$A$4:$A$83=$B$4), ""))</f>
        <v/>
      </c>
      <c r="C19" s="6">
        <f>IF(A19="","", CHOOSE(4,"Baseboard","Crown","Window Casing","Door Casing","Doors (leaf)"))</f>
        <v/>
      </c>
      <c r="D19" s="6">
        <f>IF(A19="","", XLOOKUP(C19,Constants!$A$40:$A$200,Constants!$B$40:$B$200,"",0))</f>
        <v/>
      </c>
      <c r="E19" s="6">
        <f>IF(A19="","", IF(C19="Baseboard", IF(XLOOKUP(A19,INPUT_Rooms!$B:$B,INPUT_Rooms!$X:$X,"")="Y", XLOOKUP(A19,INPUT_Rooms!$B:$B,INPUT_Rooms!$AF:$AF,""), 0),IF(C19="Crown", IF(XLOOKUP(A19,INPUT_Rooms!$B:$B,INPUT_Rooms!$Y:$Y,"")="Y", XLOOKUP(A19,INPUT_Rooms!$B:$B,INPUT_Rooms!$AG:$AG,""), 0),IF(C19="Window Casing", IF(XLOOKUP(A19,INPUT_Rooms!$B:$B,INPUT_Rooms!$Z:$Z,"")="Y", SUMPRODUCT((INPUT_Openings!$A:$A=$B$4)*(INPUT_Openings!$B:$B=A19)*(INPUT_Openings!$D:$D)*XLOOKUP(INPUT_Openings!$C:$C,Constants!$A$30:$A$200,Constants!$E$30:$E$200,"",0)*(INPUT_Openings!$E:$E="Window")), 0),IF(C19="Door Casing", IF(XLOOKUP(A19,INPUT_Rooms!$B:$B,INPUT_Rooms!$AA:$AA,"")="Y", SUMPRODUCT((INPUT_Openings!$A:$A=$B$4)*(INPUT_Openings!$B:$B=A19)*(INPUT_Openings!$D:$D)*XLOOKUP(INPUT_Openings!$C:$C,Constants!$A$30:$A$200,Constants!$E$30:$E$200,"",0)*(INPUT_Openings!$E:$E="Door")), 0),IF(C19="Doors (leaf)", IF(XLOOKUP(A19,INPUT_Rooms!$B:$B,INPUT_Rooms!$AB:$AB,"")="Y", SUMPRODUCT((INPUT_Doors!$A:$A=$B$4)*(INPUT_Doors!$B:$B=A19)*(INPUT_Doors!$D:$D)*(INPUT_Doors!$E:$E)), 0), 0))))))</f>
        <v/>
      </c>
      <c r="F19" s="6">
        <f>IF(A19="","", XLOOKUP(A19, INPUT_Rooms!$B:$B, INPUT_Rooms!$U:$U, ""))</f>
        <v/>
      </c>
      <c r="G19" s="6">
        <f>IF(A19="","", XLOOKUP(A19, INPUT_Rooms!$B:$B, INPUT_Rooms!$V:$V, ""))</f>
        <v/>
      </c>
      <c r="H19" s="6">
        <f>IF(A19="","", IF(XLOOKUP(A19, INPUT_Rooms!$B:$B, INPUT_Rooms!$W:$W, "")="", $B$5, XLOOKUP(A19, INPUT_Rooms!$B:$B, INPUT_Rooms!$W:$W, "")))</f>
        <v/>
      </c>
      <c r="I19" s="6">
        <f>IF(A19="","", IF(C19="Doors (leaf)", 0, E19*XLOOKUP(C19,Constants!$A$40:$A$200,Constants!$C$40:$C$200,0,0)*XLOOKUP(H19,Constants!$E$10:$E$30,Constants!$F$10:$F$30)))</f>
        <v/>
      </c>
      <c r="J19" s="6">
        <f>IF(A19="","", IF(C19="Doors (leaf)", 0, E19*XLOOKUP(C19,Constants!$A$40:$A$200,Constants!$D$40:$D$200,0,0)*G19))</f>
        <v/>
      </c>
      <c r="K19" s="6">
        <f>IF(A19="","", IF(C19="Doors (leaf)", 0, IF(F19="Full", E19*XLOOKUP(C19,Constants!$A$40:$A$200,Constants!$E$40:$E$200,0,0), IF(F19="Spot", E19*XLOOKUP(C19,Constants!$A$40:$A$200,Constants!$E$40:$E$200,0,0)*0.35, 0))))</f>
        <v/>
      </c>
      <c r="L19">
        <f>IF(A19="","",0)</f>
        <v/>
      </c>
      <c r="M19" s="6">
        <f>IF(A19="","", SUM(I19:K19))</f>
        <v/>
      </c>
      <c r="N19" s="6">
        <f>IF(A19="","", L19/60)</f>
        <v/>
      </c>
      <c r="O19" s="6">
        <f>IF($A19="","", IFERROR($N19*IFERROR(IF(XLOOKUP('Job Control'!$B$3, INPUT_JobSettings!$A:$A, INPUT_JobSettings!$F:$F, "")&lt;&gt;"",XLOOKUP('Job Control'!$B$3, INPUT_JobSettings!$A:$A, INPUT_JobSettings!$F:$F, ""),$B$6),$B$6),0))</f>
        <v/>
      </c>
      <c r="P19" s="6">
        <f>IF($A19="","", IFERROR(($O19+$L19)*IFERROR(IF(XLOOKUP('Job Control'!$B$3, INPUT_JobSettings!$A:$A, INPUT_JobSettings!$G:$G, "")&lt;&gt;"",XLOOKUP('Job Control'!$B$3, INPUT_JobSettings!$A:$A, INPUT_JobSettings!$G:$G, ""),$B$7),$B$7),0))</f>
        <v/>
      </c>
    </row>
    <row r="20">
      <c r="A20" s="6">
        <f>IFERROR(INDEX(FILTER(INPUT_Rooms!$B$4:$B$83, INPUT_Rooms!$A$4:$A$83=$B$4, INPUT_Rooms!$T$4:$T$83="Y"), 2), "")</f>
        <v/>
      </c>
      <c r="B20" s="6">
        <f>IF(A20="","", XLOOKUP(A20, FILTER(INPUT_Rooms!$B$4:$B$83, INPUT_Rooms!$A$4:$A$83=$B$4), FILTER(INPUT_Rooms!$C$4:$C$83, INPUT_Rooms!$A$4:$A$83=$B$4), ""))</f>
        <v/>
      </c>
      <c r="C20" s="6">
        <f>IF(A20="","", CHOOSE(5,"Baseboard","Crown","Window Casing","Door Casing","Doors (leaf)"))</f>
        <v/>
      </c>
      <c r="D20" s="6">
        <f>IF(A20="","", XLOOKUP(C20,Constants!$A$40:$A$200,Constants!$B$40:$B$200,"",0))</f>
        <v/>
      </c>
      <c r="E20" s="6">
        <f>IF(A20="","", IF(C20="Baseboard", IF(XLOOKUP(A20,INPUT_Rooms!$B:$B,INPUT_Rooms!$X:$X,"")="Y", XLOOKUP(A20,INPUT_Rooms!$B:$B,INPUT_Rooms!$AF:$AF,""), 0),IF(C20="Crown", IF(XLOOKUP(A20,INPUT_Rooms!$B:$B,INPUT_Rooms!$Y:$Y,"")="Y", XLOOKUP(A20,INPUT_Rooms!$B:$B,INPUT_Rooms!$AG:$AG,""), 0),IF(C20="Window Casing", IF(XLOOKUP(A20,INPUT_Rooms!$B:$B,INPUT_Rooms!$Z:$Z,"")="Y", SUMPRODUCT((INPUT_Openings!$A:$A=$B$4)*(INPUT_Openings!$B:$B=A20)*(INPUT_Openings!$D:$D)*XLOOKUP(INPUT_Openings!$C:$C,Constants!$A$30:$A$200,Constants!$E$30:$E$200,"",0)*(INPUT_Openings!$E:$E="Window")), 0),IF(C20="Door Casing", IF(XLOOKUP(A20,INPUT_Rooms!$B:$B,INPUT_Rooms!$AA:$AA,"")="Y", SUMPRODUCT((INPUT_Openings!$A:$A=$B$4)*(INPUT_Openings!$B:$B=A20)*(INPUT_Openings!$D:$D)*XLOOKUP(INPUT_Openings!$C:$C,Constants!$A$30:$A$200,Constants!$E$30:$E$200,"",0)*(INPUT_Openings!$E:$E="Door")), 0),IF(C20="Doors (leaf)", IF(XLOOKUP(A20,INPUT_Rooms!$B:$B,INPUT_Rooms!$AB:$AB,"")="Y", SUMPRODUCT((INPUT_Doors!$A:$A=$B$4)*(INPUT_Doors!$B:$B=A20)*(INPUT_Doors!$D:$D)*(INPUT_Doors!$E:$E)), 0), 0))))))</f>
        <v/>
      </c>
      <c r="F20" s="6">
        <f>IF(A20="","", XLOOKUP(A20, INPUT_Rooms!$B:$B, INPUT_Rooms!$U:$U, ""))</f>
        <v/>
      </c>
      <c r="G20" s="6">
        <f>IF(A20="","", XLOOKUP(A20, INPUT_Rooms!$B:$B, INPUT_Rooms!$V:$V, ""))</f>
        <v/>
      </c>
      <c r="H20" s="6">
        <f>IF(A20="","", IF(XLOOKUP(A20, INPUT_Rooms!$B:$B, INPUT_Rooms!$W:$W, "")="", $B$5, XLOOKUP(A20, INPUT_Rooms!$B:$B, INPUT_Rooms!$W:$W, "")))</f>
        <v/>
      </c>
      <c r="I20" s="6">
        <f>IF(A20="","", IF(C20="Doors (leaf)", 0, E20*XLOOKUP(C20,Constants!$A$40:$A$200,Constants!$C$40:$C$200,0,0)*XLOOKUP(H20,Constants!$E$10:$E$30,Constants!$F$10:$F$30)))</f>
        <v/>
      </c>
      <c r="J20" s="6">
        <f>IF(A20="","", IF(C20="Doors (leaf)", 0, E20*XLOOKUP(C20,Constants!$A$40:$A$200,Constants!$D$40:$D$200,0,0)*G20))</f>
        <v/>
      </c>
      <c r="K20" s="6">
        <f>IF(A20="","", IF(C20="Doors (leaf)", 0, IF(F20="Full", E20*XLOOKUP(C20,Constants!$A$40:$A$200,Constants!$E$40:$E$200,0,0), IF(F20="Spot", E20*XLOOKUP(C20,Constants!$A$40:$A$200,Constants!$E$40:$E$200,0,0)*0.35, 0))))</f>
        <v/>
      </c>
      <c r="L20">
        <f>IF(A20="","",0)</f>
        <v/>
      </c>
      <c r="M20" s="6">
        <f>IF(A20="","", SUM(I20:K20))</f>
        <v/>
      </c>
      <c r="N20" s="6">
        <f>IF(A20="","", L20/60)</f>
        <v/>
      </c>
      <c r="O20" s="6">
        <f>IF($A20="","", IFERROR($N20*IFERROR(IF(XLOOKUP('Job Control'!$B$3, INPUT_JobSettings!$A:$A, INPUT_JobSettings!$F:$F, "")&lt;&gt;"",XLOOKUP('Job Control'!$B$3, INPUT_JobSettings!$A:$A, INPUT_JobSettings!$F:$F, ""),$B$6),$B$6),0))</f>
        <v/>
      </c>
      <c r="P20" s="6">
        <f>IF($A20="","", IFERROR(($O20+$L20)*IFERROR(IF(XLOOKUP('Job Control'!$B$3, INPUT_JobSettings!$A:$A, INPUT_JobSettings!$G:$G, "")&lt;&gt;"",XLOOKUP('Job Control'!$B$3, INPUT_JobSettings!$A:$A, INPUT_JobSettings!$G:$G, ""),$B$7),$B$7),0))</f>
        <v/>
      </c>
    </row>
    <row r="21">
      <c r="A21" s="6">
        <f>IFERROR(INDEX(FILTER(INPUT_Rooms!$B$4:$B$83, INPUT_Rooms!$A$4:$A$83=$B$4, INPUT_Rooms!$T$4:$T$83="Y"), 3), "")</f>
        <v/>
      </c>
      <c r="B21" s="6">
        <f>IF(A21="","", XLOOKUP(A21, FILTER(INPUT_Rooms!$B$4:$B$83, INPUT_Rooms!$A$4:$A$83=$B$4), FILTER(INPUT_Rooms!$C$4:$C$83, INPUT_Rooms!$A$4:$A$83=$B$4), ""))</f>
        <v/>
      </c>
      <c r="C21" s="6">
        <f>IF(A21="","", CHOOSE(1,"Baseboard","Crown","Window Casing","Door Casing","Doors (leaf)"))</f>
        <v/>
      </c>
      <c r="D21" s="6">
        <f>IF(A21="","", XLOOKUP(C21,Constants!$A$40:$A$200,Constants!$B$40:$B$200,"",0))</f>
        <v/>
      </c>
      <c r="E21" s="6">
        <f>IF(A21="","", IF(C21="Baseboard", IF(XLOOKUP(A21,INPUT_Rooms!$B:$B,INPUT_Rooms!$X:$X,"")="Y", XLOOKUP(A21,INPUT_Rooms!$B:$B,INPUT_Rooms!$AF:$AF,""), 0),IF(C21="Crown", IF(XLOOKUP(A21,INPUT_Rooms!$B:$B,INPUT_Rooms!$Y:$Y,"")="Y", XLOOKUP(A21,INPUT_Rooms!$B:$B,INPUT_Rooms!$AG:$AG,""), 0),IF(C21="Window Casing", IF(XLOOKUP(A21,INPUT_Rooms!$B:$B,INPUT_Rooms!$Z:$Z,"")="Y", SUMPRODUCT((INPUT_Openings!$A:$A=$B$4)*(INPUT_Openings!$B:$B=A21)*(INPUT_Openings!$D:$D)*XLOOKUP(INPUT_Openings!$C:$C,Constants!$A$30:$A$200,Constants!$E$30:$E$200,"",0)*(INPUT_Openings!$E:$E="Window")), 0),IF(C21="Door Casing", IF(XLOOKUP(A21,INPUT_Rooms!$B:$B,INPUT_Rooms!$AA:$AA,"")="Y", SUMPRODUCT((INPUT_Openings!$A:$A=$B$4)*(INPUT_Openings!$B:$B=A21)*(INPUT_Openings!$D:$D)*XLOOKUP(INPUT_Openings!$C:$C,Constants!$A$30:$A$200,Constants!$E$30:$E$200,"",0)*(INPUT_Openings!$E:$E="Door")), 0),IF(C21="Doors (leaf)", IF(XLOOKUP(A21,INPUT_Rooms!$B:$B,INPUT_Rooms!$AB:$AB,"")="Y", SUMPRODUCT((INPUT_Doors!$A:$A=$B$4)*(INPUT_Doors!$B:$B=A21)*(INPUT_Doors!$D:$D)*(INPUT_Doors!$E:$E)), 0), 0))))))</f>
        <v/>
      </c>
      <c r="F21" s="6">
        <f>IF(A21="","", XLOOKUP(A21, INPUT_Rooms!$B:$B, INPUT_Rooms!$U:$U, ""))</f>
        <v/>
      </c>
      <c r="G21" s="6">
        <f>IF(A21="","", XLOOKUP(A21, INPUT_Rooms!$B:$B, INPUT_Rooms!$V:$V, ""))</f>
        <v/>
      </c>
      <c r="H21" s="6">
        <f>IF(A21="","", IF(XLOOKUP(A21, INPUT_Rooms!$B:$B, INPUT_Rooms!$W:$W, "")="", $B$5, XLOOKUP(A21, INPUT_Rooms!$B:$B, INPUT_Rooms!$W:$W, "")))</f>
        <v/>
      </c>
      <c r="I21" s="6">
        <f>IF(A21="","", IF(C21="Doors (leaf)", 0, E21*XLOOKUP(C21,Constants!$A$40:$A$200,Constants!$C$40:$C$200,0,0)*XLOOKUP(H21,Constants!$E$10:$E$30,Constants!$F$10:$F$30)))</f>
        <v/>
      </c>
      <c r="J21" s="6">
        <f>IF(A21="","", IF(C21="Doors (leaf)", 0, E21*XLOOKUP(C21,Constants!$A$40:$A$200,Constants!$D$40:$D$200,0,0)*G21))</f>
        <v/>
      </c>
      <c r="K21" s="6">
        <f>IF(A21="","", IF(C21="Doors (leaf)", 0, IF(F21="Full", E21*XLOOKUP(C21,Constants!$A$40:$A$200,Constants!$E$40:$E$200,0,0), IF(F21="Spot", E21*XLOOKUP(C21,Constants!$A$40:$A$200,Constants!$E$40:$E$200,0,0)*0.35, 0))))</f>
        <v/>
      </c>
      <c r="L21">
        <f>IF(A21="","",0)</f>
        <v/>
      </c>
      <c r="M21" s="6">
        <f>IF(A21="","", SUM(I21:K21))</f>
        <v/>
      </c>
      <c r="N21" s="6">
        <f>IF(A21="","", L21/60)</f>
        <v/>
      </c>
      <c r="O21" s="6">
        <f>IF($A21="","", IFERROR($N21*IFERROR(IF(XLOOKUP('Job Control'!$B$3, INPUT_JobSettings!$A:$A, INPUT_JobSettings!$F:$F, "")&lt;&gt;"",XLOOKUP('Job Control'!$B$3, INPUT_JobSettings!$A:$A, INPUT_JobSettings!$F:$F, ""),$B$6),$B$6),0))</f>
        <v/>
      </c>
      <c r="P21" s="6">
        <f>IF($A21="","", IFERROR(($O21+$L21)*IFERROR(IF(XLOOKUP('Job Control'!$B$3, INPUT_JobSettings!$A:$A, INPUT_JobSettings!$G:$G, "")&lt;&gt;"",XLOOKUP('Job Control'!$B$3, INPUT_JobSettings!$A:$A, INPUT_JobSettings!$G:$G, ""),$B$7),$B$7),0))</f>
        <v/>
      </c>
    </row>
    <row r="22">
      <c r="A22" s="6">
        <f>IFERROR(INDEX(FILTER(INPUT_Rooms!$B$4:$B$83, INPUT_Rooms!$A$4:$A$83=$B$4, INPUT_Rooms!$T$4:$T$83="Y"), 3), "")</f>
        <v/>
      </c>
      <c r="B22" s="6">
        <f>IF(A22="","", XLOOKUP(A22, FILTER(INPUT_Rooms!$B$4:$B$83, INPUT_Rooms!$A$4:$A$83=$B$4), FILTER(INPUT_Rooms!$C$4:$C$83, INPUT_Rooms!$A$4:$A$83=$B$4), ""))</f>
        <v/>
      </c>
      <c r="C22" s="6">
        <f>IF(A22="","", CHOOSE(2,"Baseboard","Crown","Window Casing","Door Casing","Doors (leaf)"))</f>
        <v/>
      </c>
      <c r="D22" s="6">
        <f>IF(A22="","", XLOOKUP(C22,Constants!$A$40:$A$200,Constants!$B$40:$B$200,"",0))</f>
        <v/>
      </c>
      <c r="E22" s="6">
        <f>IF(A22="","", IF(C22="Baseboard", IF(XLOOKUP(A22,INPUT_Rooms!$B:$B,INPUT_Rooms!$X:$X,"")="Y", XLOOKUP(A22,INPUT_Rooms!$B:$B,INPUT_Rooms!$AF:$AF,""), 0),IF(C22="Crown", IF(XLOOKUP(A22,INPUT_Rooms!$B:$B,INPUT_Rooms!$Y:$Y,"")="Y", XLOOKUP(A22,INPUT_Rooms!$B:$B,INPUT_Rooms!$AG:$AG,""), 0),IF(C22="Window Casing", IF(XLOOKUP(A22,INPUT_Rooms!$B:$B,INPUT_Rooms!$Z:$Z,"")="Y", SUMPRODUCT((INPUT_Openings!$A:$A=$B$4)*(INPUT_Openings!$B:$B=A22)*(INPUT_Openings!$D:$D)*XLOOKUP(INPUT_Openings!$C:$C,Constants!$A$30:$A$200,Constants!$E$30:$E$200,"",0)*(INPUT_Openings!$E:$E="Window")), 0),IF(C22="Door Casing", IF(XLOOKUP(A22,INPUT_Rooms!$B:$B,INPUT_Rooms!$AA:$AA,"")="Y", SUMPRODUCT((INPUT_Openings!$A:$A=$B$4)*(INPUT_Openings!$B:$B=A22)*(INPUT_Openings!$D:$D)*XLOOKUP(INPUT_Openings!$C:$C,Constants!$A$30:$A$200,Constants!$E$30:$E$200,"",0)*(INPUT_Openings!$E:$E="Door")), 0),IF(C22="Doors (leaf)", IF(XLOOKUP(A22,INPUT_Rooms!$B:$B,INPUT_Rooms!$AB:$AB,"")="Y", SUMPRODUCT((INPUT_Doors!$A:$A=$B$4)*(INPUT_Doors!$B:$B=A22)*(INPUT_Doors!$D:$D)*(INPUT_Doors!$E:$E)), 0), 0))))))</f>
        <v/>
      </c>
      <c r="F22" s="6">
        <f>IF(A22="","", XLOOKUP(A22, INPUT_Rooms!$B:$B, INPUT_Rooms!$U:$U, ""))</f>
        <v/>
      </c>
      <c r="G22" s="6">
        <f>IF(A22="","", XLOOKUP(A22, INPUT_Rooms!$B:$B, INPUT_Rooms!$V:$V, ""))</f>
        <v/>
      </c>
      <c r="H22" s="6">
        <f>IF(A22="","", IF(XLOOKUP(A22, INPUT_Rooms!$B:$B, INPUT_Rooms!$W:$W, "")="", $B$5, XLOOKUP(A22, INPUT_Rooms!$B:$B, INPUT_Rooms!$W:$W, "")))</f>
        <v/>
      </c>
      <c r="I22" s="6">
        <f>IF(A22="","", IF(C22="Doors (leaf)", 0, E22*XLOOKUP(C22,Constants!$A$40:$A$200,Constants!$C$40:$C$200,0,0)*XLOOKUP(H22,Constants!$E$10:$E$30,Constants!$F$10:$F$30)))</f>
        <v/>
      </c>
      <c r="J22" s="6">
        <f>IF(A22="","", IF(C22="Doors (leaf)", 0, E22*XLOOKUP(C22,Constants!$A$40:$A$200,Constants!$D$40:$D$200,0,0)*G22))</f>
        <v/>
      </c>
      <c r="K22" s="6">
        <f>IF(A22="","", IF(C22="Doors (leaf)", 0, IF(F22="Full", E22*XLOOKUP(C22,Constants!$A$40:$A$200,Constants!$E$40:$E$200,0,0), IF(F22="Spot", E22*XLOOKUP(C22,Constants!$A$40:$A$200,Constants!$E$40:$E$200,0,0)*0.35, 0))))</f>
        <v/>
      </c>
      <c r="L22">
        <f>IF(A22="","",0)</f>
        <v/>
      </c>
      <c r="M22" s="6">
        <f>IF(A22="","", SUM(I22:K22))</f>
        <v/>
      </c>
      <c r="N22" s="6">
        <f>IF(A22="","", L22/60)</f>
        <v/>
      </c>
      <c r="O22" s="6">
        <f>IF($A22="","", IFERROR($N22*IFERROR(IF(XLOOKUP('Job Control'!$B$3, INPUT_JobSettings!$A:$A, INPUT_JobSettings!$F:$F, "")&lt;&gt;"",XLOOKUP('Job Control'!$B$3, INPUT_JobSettings!$A:$A, INPUT_JobSettings!$F:$F, ""),$B$6),$B$6),0))</f>
        <v/>
      </c>
      <c r="P22" s="6">
        <f>IF($A22="","", IFERROR(($O22+$L22)*IFERROR(IF(XLOOKUP('Job Control'!$B$3, INPUT_JobSettings!$A:$A, INPUT_JobSettings!$G:$G, "")&lt;&gt;"",XLOOKUP('Job Control'!$B$3, INPUT_JobSettings!$A:$A, INPUT_JobSettings!$G:$G, ""),$B$7),$B$7),0))</f>
        <v/>
      </c>
    </row>
    <row r="23">
      <c r="A23" s="6">
        <f>IFERROR(INDEX(FILTER(INPUT_Rooms!$B$4:$B$83, INPUT_Rooms!$A$4:$A$83=$B$4, INPUT_Rooms!$T$4:$T$83="Y"), 3), "")</f>
        <v/>
      </c>
      <c r="B23" s="6">
        <f>IF(A23="","", XLOOKUP(A23, FILTER(INPUT_Rooms!$B$4:$B$83, INPUT_Rooms!$A$4:$A$83=$B$4), FILTER(INPUT_Rooms!$C$4:$C$83, INPUT_Rooms!$A$4:$A$83=$B$4), ""))</f>
        <v/>
      </c>
      <c r="C23" s="6">
        <f>IF(A23="","", CHOOSE(3,"Baseboard","Crown","Window Casing","Door Casing","Doors (leaf)"))</f>
        <v/>
      </c>
      <c r="D23" s="6">
        <f>IF(A23="","", XLOOKUP(C23,Constants!$A$40:$A$200,Constants!$B$40:$B$200,"",0))</f>
        <v/>
      </c>
      <c r="E23" s="6">
        <f>IF(A23="","", IF(C23="Baseboard", IF(XLOOKUP(A23,INPUT_Rooms!$B:$B,INPUT_Rooms!$X:$X,"")="Y", XLOOKUP(A23,INPUT_Rooms!$B:$B,INPUT_Rooms!$AF:$AF,""), 0),IF(C23="Crown", IF(XLOOKUP(A23,INPUT_Rooms!$B:$B,INPUT_Rooms!$Y:$Y,"")="Y", XLOOKUP(A23,INPUT_Rooms!$B:$B,INPUT_Rooms!$AG:$AG,""), 0),IF(C23="Window Casing", IF(XLOOKUP(A23,INPUT_Rooms!$B:$B,INPUT_Rooms!$Z:$Z,"")="Y", SUMPRODUCT((INPUT_Openings!$A:$A=$B$4)*(INPUT_Openings!$B:$B=A23)*(INPUT_Openings!$D:$D)*XLOOKUP(INPUT_Openings!$C:$C,Constants!$A$30:$A$200,Constants!$E$30:$E$200,"",0)*(INPUT_Openings!$E:$E="Window")), 0),IF(C23="Door Casing", IF(XLOOKUP(A23,INPUT_Rooms!$B:$B,INPUT_Rooms!$AA:$AA,"")="Y", SUMPRODUCT((INPUT_Openings!$A:$A=$B$4)*(INPUT_Openings!$B:$B=A23)*(INPUT_Openings!$D:$D)*XLOOKUP(INPUT_Openings!$C:$C,Constants!$A$30:$A$200,Constants!$E$30:$E$200,"",0)*(INPUT_Openings!$E:$E="Door")), 0),IF(C23="Doors (leaf)", IF(XLOOKUP(A23,INPUT_Rooms!$B:$B,INPUT_Rooms!$AB:$AB,"")="Y", SUMPRODUCT((INPUT_Doors!$A:$A=$B$4)*(INPUT_Doors!$B:$B=A23)*(INPUT_Doors!$D:$D)*(INPUT_Doors!$E:$E)), 0), 0))))))</f>
        <v/>
      </c>
      <c r="F23" s="6">
        <f>IF(A23="","", XLOOKUP(A23, INPUT_Rooms!$B:$B, INPUT_Rooms!$U:$U, ""))</f>
        <v/>
      </c>
      <c r="G23" s="6">
        <f>IF(A23="","", XLOOKUP(A23, INPUT_Rooms!$B:$B, INPUT_Rooms!$V:$V, ""))</f>
        <v/>
      </c>
      <c r="H23" s="6">
        <f>IF(A23="","", IF(XLOOKUP(A23, INPUT_Rooms!$B:$B, INPUT_Rooms!$W:$W, "")="", $B$5, XLOOKUP(A23, INPUT_Rooms!$B:$B, INPUT_Rooms!$W:$W, "")))</f>
        <v/>
      </c>
      <c r="I23" s="6">
        <f>IF(A23="","", IF(C23="Doors (leaf)", 0, E23*XLOOKUP(C23,Constants!$A$40:$A$200,Constants!$C$40:$C$200,0,0)*XLOOKUP(H23,Constants!$E$10:$E$30,Constants!$F$10:$F$30)))</f>
        <v/>
      </c>
      <c r="J23" s="6">
        <f>IF(A23="","", IF(C23="Doors (leaf)", 0, E23*XLOOKUP(C23,Constants!$A$40:$A$200,Constants!$D$40:$D$200,0,0)*G23))</f>
        <v/>
      </c>
      <c r="K23" s="6">
        <f>IF(A23="","", IF(C23="Doors (leaf)", 0, IF(F23="Full", E23*XLOOKUP(C23,Constants!$A$40:$A$200,Constants!$E$40:$E$200,0,0), IF(F23="Spot", E23*XLOOKUP(C23,Constants!$A$40:$A$200,Constants!$E$40:$E$200,0,0)*0.35, 0))))</f>
        <v/>
      </c>
      <c r="L23">
        <f>IF(A23="","",0)</f>
        <v/>
      </c>
      <c r="M23" s="6">
        <f>IF(A23="","", SUM(I23:K23))</f>
        <v/>
      </c>
      <c r="N23" s="6">
        <f>IF(A23="","", L23/60)</f>
        <v/>
      </c>
      <c r="O23" s="6">
        <f>IF($A23="","", IFERROR($N23*IFERROR(IF(XLOOKUP('Job Control'!$B$3, INPUT_JobSettings!$A:$A, INPUT_JobSettings!$F:$F, "")&lt;&gt;"",XLOOKUP('Job Control'!$B$3, INPUT_JobSettings!$A:$A, INPUT_JobSettings!$F:$F, ""),$B$6),$B$6),0))</f>
        <v/>
      </c>
      <c r="P23" s="6">
        <f>IF($A23="","", IFERROR(($O23+$L23)*IFERROR(IF(XLOOKUP('Job Control'!$B$3, INPUT_JobSettings!$A:$A, INPUT_JobSettings!$G:$G, "")&lt;&gt;"",XLOOKUP('Job Control'!$B$3, INPUT_JobSettings!$A:$A, INPUT_JobSettings!$G:$G, ""),$B$7),$B$7),0))</f>
        <v/>
      </c>
    </row>
    <row r="24">
      <c r="A24" s="6">
        <f>IFERROR(INDEX(FILTER(INPUT_Rooms!$B$4:$B$83, INPUT_Rooms!$A$4:$A$83=$B$4, INPUT_Rooms!$T$4:$T$83="Y"), 3), "")</f>
        <v/>
      </c>
      <c r="B24" s="6">
        <f>IF(A24="","", XLOOKUP(A24, FILTER(INPUT_Rooms!$B$4:$B$83, INPUT_Rooms!$A$4:$A$83=$B$4), FILTER(INPUT_Rooms!$C$4:$C$83, INPUT_Rooms!$A$4:$A$83=$B$4), ""))</f>
        <v/>
      </c>
      <c r="C24" s="6">
        <f>IF(A24="","", CHOOSE(4,"Baseboard","Crown","Window Casing","Door Casing","Doors (leaf)"))</f>
        <v/>
      </c>
      <c r="D24" s="6">
        <f>IF(A24="","", XLOOKUP(C24,Constants!$A$40:$A$200,Constants!$B$40:$B$200,"",0))</f>
        <v/>
      </c>
      <c r="E24" s="6">
        <f>IF(A24="","", IF(C24="Baseboard", IF(XLOOKUP(A24,INPUT_Rooms!$B:$B,INPUT_Rooms!$X:$X,"")="Y", XLOOKUP(A24,INPUT_Rooms!$B:$B,INPUT_Rooms!$AF:$AF,""), 0),IF(C24="Crown", IF(XLOOKUP(A24,INPUT_Rooms!$B:$B,INPUT_Rooms!$Y:$Y,"")="Y", XLOOKUP(A24,INPUT_Rooms!$B:$B,INPUT_Rooms!$AG:$AG,""), 0),IF(C24="Window Casing", IF(XLOOKUP(A24,INPUT_Rooms!$B:$B,INPUT_Rooms!$Z:$Z,"")="Y", SUMPRODUCT((INPUT_Openings!$A:$A=$B$4)*(INPUT_Openings!$B:$B=A24)*(INPUT_Openings!$D:$D)*XLOOKUP(INPUT_Openings!$C:$C,Constants!$A$30:$A$200,Constants!$E$30:$E$200,"",0)*(INPUT_Openings!$E:$E="Window")), 0),IF(C24="Door Casing", IF(XLOOKUP(A24,INPUT_Rooms!$B:$B,INPUT_Rooms!$AA:$AA,"")="Y", SUMPRODUCT((INPUT_Openings!$A:$A=$B$4)*(INPUT_Openings!$B:$B=A24)*(INPUT_Openings!$D:$D)*XLOOKUP(INPUT_Openings!$C:$C,Constants!$A$30:$A$200,Constants!$E$30:$E$200,"",0)*(INPUT_Openings!$E:$E="Door")), 0),IF(C24="Doors (leaf)", IF(XLOOKUP(A24,INPUT_Rooms!$B:$B,INPUT_Rooms!$AB:$AB,"")="Y", SUMPRODUCT((INPUT_Doors!$A:$A=$B$4)*(INPUT_Doors!$B:$B=A24)*(INPUT_Doors!$D:$D)*(INPUT_Doors!$E:$E)), 0), 0))))))</f>
        <v/>
      </c>
      <c r="F24" s="6">
        <f>IF(A24="","", XLOOKUP(A24, INPUT_Rooms!$B:$B, INPUT_Rooms!$U:$U, ""))</f>
        <v/>
      </c>
      <c r="G24" s="6">
        <f>IF(A24="","", XLOOKUP(A24, INPUT_Rooms!$B:$B, INPUT_Rooms!$V:$V, ""))</f>
        <v/>
      </c>
      <c r="H24" s="6">
        <f>IF(A24="","", IF(XLOOKUP(A24, INPUT_Rooms!$B:$B, INPUT_Rooms!$W:$W, "")="", $B$5, XLOOKUP(A24, INPUT_Rooms!$B:$B, INPUT_Rooms!$W:$W, "")))</f>
        <v/>
      </c>
      <c r="I24" s="6">
        <f>IF(A24="","", IF(C24="Doors (leaf)", 0, E24*XLOOKUP(C24,Constants!$A$40:$A$200,Constants!$C$40:$C$200,0,0)*XLOOKUP(H24,Constants!$E$10:$E$30,Constants!$F$10:$F$30)))</f>
        <v/>
      </c>
      <c r="J24" s="6">
        <f>IF(A24="","", IF(C24="Doors (leaf)", 0, E24*XLOOKUP(C24,Constants!$A$40:$A$200,Constants!$D$40:$D$200,0,0)*G24))</f>
        <v/>
      </c>
      <c r="K24" s="6">
        <f>IF(A24="","", IF(C24="Doors (leaf)", 0, IF(F24="Full", E24*XLOOKUP(C24,Constants!$A$40:$A$200,Constants!$E$40:$E$200,0,0), IF(F24="Spot", E24*XLOOKUP(C24,Constants!$A$40:$A$200,Constants!$E$40:$E$200,0,0)*0.35, 0))))</f>
        <v/>
      </c>
      <c r="L24">
        <f>IF(A24="","",0)</f>
        <v/>
      </c>
      <c r="M24" s="6">
        <f>IF(A24="","", SUM(I24:K24))</f>
        <v/>
      </c>
      <c r="N24" s="6">
        <f>IF(A24="","", L24/60)</f>
        <v/>
      </c>
      <c r="O24" s="6">
        <f>IF($A24="","", IFERROR($N24*IFERROR(IF(XLOOKUP('Job Control'!$B$3, INPUT_JobSettings!$A:$A, INPUT_JobSettings!$F:$F, "")&lt;&gt;"",XLOOKUP('Job Control'!$B$3, INPUT_JobSettings!$A:$A, INPUT_JobSettings!$F:$F, ""),$B$6),$B$6),0))</f>
        <v/>
      </c>
      <c r="P24" s="6">
        <f>IF($A24="","", IFERROR(($O24+$L24)*IFERROR(IF(XLOOKUP('Job Control'!$B$3, INPUT_JobSettings!$A:$A, INPUT_JobSettings!$G:$G, "")&lt;&gt;"",XLOOKUP('Job Control'!$B$3, INPUT_JobSettings!$A:$A, INPUT_JobSettings!$G:$G, ""),$B$7),$B$7),0))</f>
        <v/>
      </c>
    </row>
    <row r="25">
      <c r="A25" s="6">
        <f>IFERROR(INDEX(FILTER(INPUT_Rooms!$B$4:$B$83, INPUT_Rooms!$A$4:$A$83=$B$4, INPUT_Rooms!$T$4:$T$83="Y"), 3), "")</f>
        <v/>
      </c>
      <c r="B25" s="6">
        <f>IF(A25="","", XLOOKUP(A25, FILTER(INPUT_Rooms!$B$4:$B$83, INPUT_Rooms!$A$4:$A$83=$B$4), FILTER(INPUT_Rooms!$C$4:$C$83, INPUT_Rooms!$A$4:$A$83=$B$4), ""))</f>
        <v/>
      </c>
      <c r="C25" s="6">
        <f>IF(A25="","", CHOOSE(5,"Baseboard","Crown","Window Casing","Door Casing","Doors (leaf)"))</f>
        <v/>
      </c>
      <c r="D25" s="6">
        <f>IF(A25="","", XLOOKUP(C25,Constants!$A$40:$A$200,Constants!$B$40:$B$200,"",0))</f>
        <v/>
      </c>
      <c r="E25" s="6">
        <f>IF(A25="","", IF(C25="Baseboard", IF(XLOOKUP(A25,INPUT_Rooms!$B:$B,INPUT_Rooms!$X:$X,"")="Y", XLOOKUP(A25,INPUT_Rooms!$B:$B,INPUT_Rooms!$AF:$AF,""), 0),IF(C25="Crown", IF(XLOOKUP(A25,INPUT_Rooms!$B:$B,INPUT_Rooms!$Y:$Y,"")="Y", XLOOKUP(A25,INPUT_Rooms!$B:$B,INPUT_Rooms!$AG:$AG,""), 0),IF(C25="Window Casing", IF(XLOOKUP(A25,INPUT_Rooms!$B:$B,INPUT_Rooms!$Z:$Z,"")="Y", SUMPRODUCT((INPUT_Openings!$A:$A=$B$4)*(INPUT_Openings!$B:$B=A25)*(INPUT_Openings!$D:$D)*XLOOKUP(INPUT_Openings!$C:$C,Constants!$A$30:$A$200,Constants!$E$30:$E$200,"",0)*(INPUT_Openings!$E:$E="Window")), 0),IF(C25="Door Casing", IF(XLOOKUP(A25,INPUT_Rooms!$B:$B,INPUT_Rooms!$AA:$AA,"")="Y", SUMPRODUCT((INPUT_Openings!$A:$A=$B$4)*(INPUT_Openings!$B:$B=A25)*(INPUT_Openings!$D:$D)*XLOOKUP(INPUT_Openings!$C:$C,Constants!$A$30:$A$200,Constants!$E$30:$E$200,"",0)*(INPUT_Openings!$E:$E="Door")), 0),IF(C25="Doors (leaf)", IF(XLOOKUP(A25,INPUT_Rooms!$B:$B,INPUT_Rooms!$AB:$AB,"")="Y", SUMPRODUCT((INPUT_Doors!$A:$A=$B$4)*(INPUT_Doors!$B:$B=A25)*(INPUT_Doors!$D:$D)*(INPUT_Doors!$E:$E)), 0), 0))))))</f>
        <v/>
      </c>
      <c r="F25" s="6">
        <f>IF(A25="","", XLOOKUP(A25, INPUT_Rooms!$B:$B, INPUT_Rooms!$U:$U, ""))</f>
        <v/>
      </c>
      <c r="G25" s="6">
        <f>IF(A25="","", XLOOKUP(A25, INPUT_Rooms!$B:$B, INPUT_Rooms!$V:$V, ""))</f>
        <v/>
      </c>
      <c r="H25" s="6">
        <f>IF(A25="","", IF(XLOOKUP(A25, INPUT_Rooms!$B:$B, INPUT_Rooms!$W:$W, "")="", $B$5, XLOOKUP(A25, INPUT_Rooms!$B:$B, INPUT_Rooms!$W:$W, "")))</f>
        <v/>
      </c>
      <c r="I25" s="6">
        <f>IF(A25="","", IF(C25="Doors (leaf)", 0, E25*XLOOKUP(C25,Constants!$A$40:$A$200,Constants!$C$40:$C$200,0,0)*XLOOKUP(H25,Constants!$E$10:$E$30,Constants!$F$10:$F$30)))</f>
        <v/>
      </c>
      <c r="J25" s="6">
        <f>IF(A25="","", IF(C25="Doors (leaf)", 0, E25*XLOOKUP(C25,Constants!$A$40:$A$200,Constants!$D$40:$D$200,0,0)*G25))</f>
        <v/>
      </c>
      <c r="K25" s="6">
        <f>IF(A25="","", IF(C25="Doors (leaf)", 0, IF(F25="Full", E25*XLOOKUP(C25,Constants!$A$40:$A$200,Constants!$E$40:$E$200,0,0), IF(F25="Spot", E25*XLOOKUP(C25,Constants!$A$40:$A$200,Constants!$E$40:$E$200,0,0)*0.35, 0))))</f>
        <v/>
      </c>
      <c r="L25">
        <f>IF(A25="","",0)</f>
        <v/>
      </c>
      <c r="M25" s="6">
        <f>IF(A25="","", SUM(I25:K25))</f>
        <v/>
      </c>
      <c r="N25" s="6">
        <f>IF(A25="","", L25/60)</f>
        <v/>
      </c>
      <c r="O25" s="6">
        <f>IF($A25="","", IFERROR($N25*IFERROR(IF(XLOOKUP('Job Control'!$B$3, INPUT_JobSettings!$A:$A, INPUT_JobSettings!$F:$F, "")&lt;&gt;"",XLOOKUP('Job Control'!$B$3, INPUT_JobSettings!$A:$A, INPUT_JobSettings!$F:$F, ""),$B$6),$B$6),0))</f>
        <v/>
      </c>
      <c r="P25" s="6">
        <f>IF($A25="","", IFERROR(($O25+$L25)*IFERROR(IF(XLOOKUP('Job Control'!$B$3, INPUT_JobSettings!$A:$A, INPUT_JobSettings!$G:$G, "")&lt;&gt;"",XLOOKUP('Job Control'!$B$3, INPUT_JobSettings!$A:$A, INPUT_JobSettings!$G:$G, ""),$B$7),$B$7),0))</f>
        <v/>
      </c>
    </row>
    <row r="26">
      <c r="A26" s="6">
        <f>IFERROR(INDEX(FILTER(INPUT_Rooms!$B$4:$B$83, INPUT_Rooms!$A$4:$A$83=$B$4, INPUT_Rooms!$T$4:$T$83="Y"), 4), "")</f>
        <v/>
      </c>
      <c r="B26" s="6">
        <f>IF(A26="","", XLOOKUP(A26, FILTER(INPUT_Rooms!$B$4:$B$83, INPUT_Rooms!$A$4:$A$83=$B$4), FILTER(INPUT_Rooms!$C$4:$C$83, INPUT_Rooms!$A$4:$A$83=$B$4), ""))</f>
        <v/>
      </c>
      <c r="C26" s="6">
        <f>IF(A26="","", CHOOSE(1,"Baseboard","Crown","Window Casing","Door Casing","Doors (leaf)"))</f>
        <v/>
      </c>
      <c r="D26" s="6">
        <f>IF(A26="","", XLOOKUP(C26,Constants!$A$40:$A$200,Constants!$B$40:$B$200,"",0))</f>
        <v/>
      </c>
      <c r="E26" s="6">
        <f>IF(A26="","", IF(C26="Baseboard", IF(XLOOKUP(A26,INPUT_Rooms!$B:$B,INPUT_Rooms!$X:$X,"")="Y", XLOOKUP(A26,INPUT_Rooms!$B:$B,INPUT_Rooms!$AF:$AF,""), 0),IF(C26="Crown", IF(XLOOKUP(A26,INPUT_Rooms!$B:$B,INPUT_Rooms!$Y:$Y,"")="Y", XLOOKUP(A26,INPUT_Rooms!$B:$B,INPUT_Rooms!$AG:$AG,""), 0),IF(C26="Window Casing", IF(XLOOKUP(A26,INPUT_Rooms!$B:$B,INPUT_Rooms!$Z:$Z,"")="Y", SUMPRODUCT((INPUT_Openings!$A:$A=$B$4)*(INPUT_Openings!$B:$B=A26)*(INPUT_Openings!$D:$D)*XLOOKUP(INPUT_Openings!$C:$C,Constants!$A$30:$A$200,Constants!$E$30:$E$200,"",0)*(INPUT_Openings!$E:$E="Window")), 0),IF(C26="Door Casing", IF(XLOOKUP(A26,INPUT_Rooms!$B:$B,INPUT_Rooms!$AA:$AA,"")="Y", SUMPRODUCT((INPUT_Openings!$A:$A=$B$4)*(INPUT_Openings!$B:$B=A26)*(INPUT_Openings!$D:$D)*XLOOKUP(INPUT_Openings!$C:$C,Constants!$A$30:$A$200,Constants!$E$30:$E$200,"",0)*(INPUT_Openings!$E:$E="Door")), 0),IF(C26="Doors (leaf)", IF(XLOOKUP(A26,INPUT_Rooms!$B:$B,INPUT_Rooms!$AB:$AB,"")="Y", SUMPRODUCT((INPUT_Doors!$A:$A=$B$4)*(INPUT_Doors!$B:$B=A26)*(INPUT_Doors!$D:$D)*(INPUT_Doors!$E:$E)), 0), 0))))))</f>
        <v/>
      </c>
      <c r="F26" s="6">
        <f>IF(A26="","", XLOOKUP(A26, INPUT_Rooms!$B:$B, INPUT_Rooms!$U:$U, ""))</f>
        <v/>
      </c>
      <c r="G26" s="6">
        <f>IF(A26="","", XLOOKUP(A26, INPUT_Rooms!$B:$B, INPUT_Rooms!$V:$V, ""))</f>
        <v/>
      </c>
      <c r="H26" s="6">
        <f>IF(A26="","", IF(XLOOKUP(A26, INPUT_Rooms!$B:$B, INPUT_Rooms!$W:$W, "")="", $B$5, XLOOKUP(A26, INPUT_Rooms!$B:$B, INPUT_Rooms!$W:$W, "")))</f>
        <v/>
      </c>
      <c r="I26" s="6">
        <f>IF(A26="","", IF(C26="Doors (leaf)", 0, E26*XLOOKUP(C26,Constants!$A$40:$A$200,Constants!$C$40:$C$200,0,0)*XLOOKUP(H26,Constants!$E$10:$E$30,Constants!$F$10:$F$30)))</f>
        <v/>
      </c>
      <c r="J26" s="6">
        <f>IF(A26="","", IF(C26="Doors (leaf)", 0, E26*XLOOKUP(C26,Constants!$A$40:$A$200,Constants!$D$40:$D$200,0,0)*G26))</f>
        <v/>
      </c>
      <c r="K26" s="6">
        <f>IF(A26="","", IF(C26="Doors (leaf)", 0, IF(F26="Full", E26*XLOOKUP(C26,Constants!$A$40:$A$200,Constants!$E$40:$E$200,0,0), IF(F26="Spot", E26*XLOOKUP(C26,Constants!$A$40:$A$200,Constants!$E$40:$E$200,0,0)*0.35, 0))))</f>
        <v/>
      </c>
      <c r="L26">
        <f>IF(A26="","",0)</f>
        <v/>
      </c>
      <c r="M26" s="6">
        <f>IF(A26="","", SUM(I26:K26))</f>
        <v/>
      </c>
      <c r="N26" s="6">
        <f>IF(A26="","", L26/60)</f>
        <v/>
      </c>
      <c r="O26" s="6">
        <f>IF($A26="","", IFERROR($N26*IFERROR(IF(XLOOKUP('Job Control'!$B$3, INPUT_JobSettings!$A:$A, INPUT_JobSettings!$F:$F, "")&lt;&gt;"",XLOOKUP('Job Control'!$B$3, INPUT_JobSettings!$A:$A, INPUT_JobSettings!$F:$F, ""),$B$6),$B$6),0))</f>
        <v/>
      </c>
      <c r="P26" s="6">
        <f>IF($A26="","", IFERROR(($O26+$L26)*IFERROR(IF(XLOOKUP('Job Control'!$B$3, INPUT_JobSettings!$A:$A, INPUT_JobSettings!$G:$G, "")&lt;&gt;"",XLOOKUP('Job Control'!$B$3, INPUT_JobSettings!$A:$A, INPUT_JobSettings!$G:$G, ""),$B$7),$B$7),0))</f>
        <v/>
      </c>
    </row>
    <row r="27">
      <c r="A27" s="6">
        <f>IFERROR(INDEX(FILTER(INPUT_Rooms!$B$4:$B$83, INPUT_Rooms!$A$4:$A$83=$B$4, INPUT_Rooms!$T$4:$T$83="Y"), 4), "")</f>
        <v/>
      </c>
      <c r="B27" s="6">
        <f>IF(A27="","", XLOOKUP(A27, FILTER(INPUT_Rooms!$B$4:$B$83, INPUT_Rooms!$A$4:$A$83=$B$4), FILTER(INPUT_Rooms!$C$4:$C$83, INPUT_Rooms!$A$4:$A$83=$B$4), ""))</f>
        <v/>
      </c>
      <c r="C27" s="6">
        <f>IF(A27="","", CHOOSE(2,"Baseboard","Crown","Window Casing","Door Casing","Doors (leaf)"))</f>
        <v/>
      </c>
      <c r="D27" s="6">
        <f>IF(A27="","", XLOOKUP(C27,Constants!$A$40:$A$200,Constants!$B$40:$B$200,"",0))</f>
        <v/>
      </c>
      <c r="E27" s="6">
        <f>IF(A27="","", IF(C27="Baseboard", IF(XLOOKUP(A27,INPUT_Rooms!$B:$B,INPUT_Rooms!$X:$X,"")="Y", XLOOKUP(A27,INPUT_Rooms!$B:$B,INPUT_Rooms!$AF:$AF,""), 0),IF(C27="Crown", IF(XLOOKUP(A27,INPUT_Rooms!$B:$B,INPUT_Rooms!$Y:$Y,"")="Y", XLOOKUP(A27,INPUT_Rooms!$B:$B,INPUT_Rooms!$AG:$AG,""), 0),IF(C27="Window Casing", IF(XLOOKUP(A27,INPUT_Rooms!$B:$B,INPUT_Rooms!$Z:$Z,"")="Y", SUMPRODUCT((INPUT_Openings!$A:$A=$B$4)*(INPUT_Openings!$B:$B=A27)*(INPUT_Openings!$D:$D)*XLOOKUP(INPUT_Openings!$C:$C,Constants!$A$30:$A$200,Constants!$E$30:$E$200,"",0)*(INPUT_Openings!$E:$E="Window")), 0),IF(C27="Door Casing", IF(XLOOKUP(A27,INPUT_Rooms!$B:$B,INPUT_Rooms!$AA:$AA,"")="Y", SUMPRODUCT((INPUT_Openings!$A:$A=$B$4)*(INPUT_Openings!$B:$B=A27)*(INPUT_Openings!$D:$D)*XLOOKUP(INPUT_Openings!$C:$C,Constants!$A$30:$A$200,Constants!$E$30:$E$200,"",0)*(INPUT_Openings!$E:$E="Door")), 0),IF(C27="Doors (leaf)", IF(XLOOKUP(A27,INPUT_Rooms!$B:$B,INPUT_Rooms!$AB:$AB,"")="Y", SUMPRODUCT((INPUT_Doors!$A:$A=$B$4)*(INPUT_Doors!$B:$B=A27)*(INPUT_Doors!$D:$D)*(INPUT_Doors!$E:$E)), 0), 0))))))</f>
        <v/>
      </c>
      <c r="F27" s="6">
        <f>IF(A27="","", XLOOKUP(A27, INPUT_Rooms!$B:$B, INPUT_Rooms!$U:$U, ""))</f>
        <v/>
      </c>
      <c r="G27" s="6">
        <f>IF(A27="","", XLOOKUP(A27, INPUT_Rooms!$B:$B, INPUT_Rooms!$V:$V, ""))</f>
        <v/>
      </c>
      <c r="H27" s="6">
        <f>IF(A27="","", IF(XLOOKUP(A27, INPUT_Rooms!$B:$B, INPUT_Rooms!$W:$W, "")="", $B$5, XLOOKUP(A27, INPUT_Rooms!$B:$B, INPUT_Rooms!$W:$W, "")))</f>
        <v/>
      </c>
      <c r="I27" s="6">
        <f>IF(A27="","", IF(C27="Doors (leaf)", 0, E27*XLOOKUP(C27,Constants!$A$40:$A$200,Constants!$C$40:$C$200,0,0)*XLOOKUP(H27,Constants!$E$10:$E$30,Constants!$F$10:$F$30)))</f>
        <v/>
      </c>
      <c r="J27" s="6">
        <f>IF(A27="","", IF(C27="Doors (leaf)", 0, E27*XLOOKUP(C27,Constants!$A$40:$A$200,Constants!$D$40:$D$200,0,0)*G27))</f>
        <v/>
      </c>
      <c r="K27" s="6">
        <f>IF(A27="","", IF(C27="Doors (leaf)", 0, IF(F27="Full", E27*XLOOKUP(C27,Constants!$A$40:$A$200,Constants!$E$40:$E$200,0,0), IF(F27="Spot", E27*XLOOKUP(C27,Constants!$A$40:$A$200,Constants!$E$40:$E$200,0,0)*0.35, 0))))</f>
        <v/>
      </c>
      <c r="L27">
        <f>IF(A27="","",0)</f>
        <v/>
      </c>
      <c r="M27" s="6">
        <f>IF(A27="","", SUM(I27:K27))</f>
        <v/>
      </c>
      <c r="N27" s="6">
        <f>IF(A27="","", L27/60)</f>
        <v/>
      </c>
      <c r="O27" s="6">
        <f>IF($A27="","", IFERROR($N27*IFERROR(IF(XLOOKUP('Job Control'!$B$3, INPUT_JobSettings!$A:$A, INPUT_JobSettings!$F:$F, "")&lt;&gt;"",XLOOKUP('Job Control'!$B$3, INPUT_JobSettings!$A:$A, INPUT_JobSettings!$F:$F, ""),$B$6),$B$6),0))</f>
        <v/>
      </c>
      <c r="P27" s="6">
        <f>IF($A27="","", IFERROR(($O27+$L27)*IFERROR(IF(XLOOKUP('Job Control'!$B$3, INPUT_JobSettings!$A:$A, INPUT_JobSettings!$G:$G, "")&lt;&gt;"",XLOOKUP('Job Control'!$B$3, INPUT_JobSettings!$A:$A, INPUT_JobSettings!$G:$G, ""),$B$7),$B$7),0))</f>
        <v/>
      </c>
    </row>
    <row r="28">
      <c r="A28" s="6">
        <f>IFERROR(INDEX(FILTER(INPUT_Rooms!$B$4:$B$83, INPUT_Rooms!$A$4:$A$83=$B$4, INPUT_Rooms!$T$4:$T$83="Y"), 4), "")</f>
        <v/>
      </c>
      <c r="B28" s="6">
        <f>IF(A28="","", XLOOKUP(A28, FILTER(INPUT_Rooms!$B$4:$B$83, INPUT_Rooms!$A$4:$A$83=$B$4), FILTER(INPUT_Rooms!$C$4:$C$83, INPUT_Rooms!$A$4:$A$83=$B$4), ""))</f>
        <v/>
      </c>
      <c r="C28" s="6">
        <f>IF(A28="","", CHOOSE(3,"Baseboard","Crown","Window Casing","Door Casing","Doors (leaf)"))</f>
        <v/>
      </c>
      <c r="D28" s="6">
        <f>IF(A28="","", XLOOKUP(C28,Constants!$A$40:$A$200,Constants!$B$40:$B$200,"",0))</f>
        <v/>
      </c>
      <c r="E28" s="6">
        <f>IF(A28="","", IF(C28="Baseboard", IF(XLOOKUP(A28,INPUT_Rooms!$B:$B,INPUT_Rooms!$X:$X,"")="Y", XLOOKUP(A28,INPUT_Rooms!$B:$B,INPUT_Rooms!$AF:$AF,""), 0),IF(C28="Crown", IF(XLOOKUP(A28,INPUT_Rooms!$B:$B,INPUT_Rooms!$Y:$Y,"")="Y", XLOOKUP(A28,INPUT_Rooms!$B:$B,INPUT_Rooms!$AG:$AG,""), 0),IF(C28="Window Casing", IF(XLOOKUP(A28,INPUT_Rooms!$B:$B,INPUT_Rooms!$Z:$Z,"")="Y", SUMPRODUCT((INPUT_Openings!$A:$A=$B$4)*(INPUT_Openings!$B:$B=A28)*(INPUT_Openings!$D:$D)*XLOOKUP(INPUT_Openings!$C:$C,Constants!$A$30:$A$200,Constants!$E$30:$E$200,"",0)*(INPUT_Openings!$E:$E="Window")), 0),IF(C28="Door Casing", IF(XLOOKUP(A28,INPUT_Rooms!$B:$B,INPUT_Rooms!$AA:$AA,"")="Y", SUMPRODUCT((INPUT_Openings!$A:$A=$B$4)*(INPUT_Openings!$B:$B=A28)*(INPUT_Openings!$D:$D)*XLOOKUP(INPUT_Openings!$C:$C,Constants!$A$30:$A$200,Constants!$E$30:$E$200,"",0)*(INPUT_Openings!$E:$E="Door")), 0),IF(C28="Doors (leaf)", IF(XLOOKUP(A28,INPUT_Rooms!$B:$B,INPUT_Rooms!$AB:$AB,"")="Y", SUMPRODUCT((INPUT_Doors!$A:$A=$B$4)*(INPUT_Doors!$B:$B=A28)*(INPUT_Doors!$D:$D)*(INPUT_Doors!$E:$E)), 0), 0))))))</f>
        <v/>
      </c>
      <c r="F28" s="6">
        <f>IF(A28="","", XLOOKUP(A28, INPUT_Rooms!$B:$B, INPUT_Rooms!$U:$U, ""))</f>
        <v/>
      </c>
      <c r="G28" s="6">
        <f>IF(A28="","", XLOOKUP(A28, INPUT_Rooms!$B:$B, INPUT_Rooms!$V:$V, ""))</f>
        <v/>
      </c>
      <c r="H28" s="6">
        <f>IF(A28="","", IF(XLOOKUP(A28, INPUT_Rooms!$B:$B, INPUT_Rooms!$W:$W, "")="", $B$5, XLOOKUP(A28, INPUT_Rooms!$B:$B, INPUT_Rooms!$W:$W, "")))</f>
        <v/>
      </c>
      <c r="I28" s="6">
        <f>IF(A28="","", IF(C28="Doors (leaf)", 0, E28*XLOOKUP(C28,Constants!$A$40:$A$200,Constants!$C$40:$C$200,0,0)*XLOOKUP(H28,Constants!$E$10:$E$30,Constants!$F$10:$F$30)))</f>
        <v/>
      </c>
      <c r="J28" s="6">
        <f>IF(A28="","", IF(C28="Doors (leaf)", 0, E28*XLOOKUP(C28,Constants!$A$40:$A$200,Constants!$D$40:$D$200,0,0)*G28))</f>
        <v/>
      </c>
      <c r="K28" s="6">
        <f>IF(A28="","", IF(C28="Doors (leaf)", 0, IF(F28="Full", E28*XLOOKUP(C28,Constants!$A$40:$A$200,Constants!$E$40:$E$200,0,0), IF(F28="Spot", E28*XLOOKUP(C28,Constants!$A$40:$A$200,Constants!$E$40:$E$200,0,0)*0.35, 0))))</f>
        <v/>
      </c>
      <c r="L28">
        <f>IF(A28="","",0)</f>
        <v/>
      </c>
      <c r="M28" s="6">
        <f>IF(A28="","", SUM(I28:K28))</f>
        <v/>
      </c>
      <c r="N28" s="6">
        <f>IF(A28="","", L28/60)</f>
        <v/>
      </c>
      <c r="O28" s="6">
        <f>IF($A28="","", IFERROR($N28*IFERROR(IF(XLOOKUP('Job Control'!$B$3, INPUT_JobSettings!$A:$A, INPUT_JobSettings!$F:$F, "")&lt;&gt;"",XLOOKUP('Job Control'!$B$3, INPUT_JobSettings!$A:$A, INPUT_JobSettings!$F:$F, ""),$B$6),$B$6),0))</f>
        <v/>
      </c>
      <c r="P28" s="6">
        <f>IF($A28="","", IFERROR(($O28+$L28)*IFERROR(IF(XLOOKUP('Job Control'!$B$3, INPUT_JobSettings!$A:$A, INPUT_JobSettings!$G:$G, "")&lt;&gt;"",XLOOKUP('Job Control'!$B$3, INPUT_JobSettings!$A:$A, INPUT_JobSettings!$G:$G, ""),$B$7),$B$7),0))</f>
        <v/>
      </c>
    </row>
    <row r="29">
      <c r="A29" s="6">
        <f>IFERROR(INDEX(FILTER(INPUT_Rooms!$B$4:$B$83, INPUT_Rooms!$A$4:$A$83=$B$4, INPUT_Rooms!$T$4:$T$83="Y"), 4), "")</f>
        <v/>
      </c>
      <c r="B29" s="6">
        <f>IF(A29="","", XLOOKUP(A29, FILTER(INPUT_Rooms!$B$4:$B$83, INPUT_Rooms!$A$4:$A$83=$B$4), FILTER(INPUT_Rooms!$C$4:$C$83, INPUT_Rooms!$A$4:$A$83=$B$4), ""))</f>
        <v/>
      </c>
      <c r="C29" s="6">
        <f>IF(A29="","", CHOOSE(4,"Baseboard","Crown","Window Casing","Door Casing","Doors (leaf)"))</f>
        <v/>
      </c>
      <c r="D29" s="6">
        <f>IF(A29="","", XLOOKUP(C29,Constants!$A$40:$A$200,Constants!$B$40:$B$200,"",0))</f>
        <v/>
      </c>
      <c r="E29" s="6">
        <f>IF(A29="","", IF(C29="Baseboard", IF(XLOOKUP(A29,INPUT_Rooms!$B:$B,INPUT_Rooms!$X:$X,"")="Y", XLOOKUP(A29,INPUT_Rooms!$B:$B,INPUT_Rooms!$AF:$AF,""), 0),IF(C29="Crown", IF(XLOOKUP(A29,INPUT_Rooms!$B:$B,INPUT_Rooms!$Y:$Y,"")="Y", XLOOKUP(A29,INPUT_Rooms!$B:$B,INPUT_Rooms!$AG:$AG,""), 0),IF(C29="Window Casing", IF(XLOOKUP(A29,INPUT_Rooms!$B:$B,INPUT_Rooms!$Z:$Z,"")="Y", SUMPRODUCT((INPUT_Openings!$A:$A=$B$4)*(INPUT_Openings!$B:$B=A29)*(INPUT_Openings!$D:$D)*XLOOKUP(INPUT_Openings!$C:$C,Constants!$A$30:$A$200,Constants!$E$30:$E$200,"",0)*(INPUT_Openings!$E:$E="Window")), 0),IF(C29="Door Casing", IF(XLOOKUP(A29,INPUT_Rooms!$B:$B,INPUT_Rooms!$AA:$AA,"")="Y", SUMPRODUCT((INPUT_Openings!$A:$A=$B$4)*(INPUT_Openings!$B:$B=A29)*(INPUT_Openings!$D:$D)*XLOOKUP(INPUT_Openings!$C:$C,Constants!$A$30:$A$200,Constants!$E$30:$E$200,"",0)*(INPUT_Openings!$E:$E="Door")), 0),IF(C29="Doors (leaf)", IF(XLOOKUP(A29,INPUT_Rooms!$B:$B,INPUT_Rooms!$AB:$AB,"")="Y", SUMPRODUCT((INPUT_Doors!$A:$A=$B$4)*(INPUT_Doors!$B:$B=A29)*(INPUT_Doors!$D:$D)*(INPUT_Doors!$E:$E)), 0), 0))))))</f>
        <v/>
      </c>
      <c r="F29" s="6">
        <f>IF(A29="","", XLOOKUP(A29, INPUT_Rooms!$B:$B, INPUT_Rooms!$U:$U, ""))</f>
        <v/>
      </c>
      <c r="G29" s="6">
        <f>IF(A29="","", XLOOKUP(A29, INPUT_Rooms!$B:$B, INPUT_Rooms!$V:$V, ""))</f>
        <v/>
      </c>
      <c r="H29" s="6">
        <f>IF(A29="","", IF(XLOOKUP(A29, INPUT_Rooms!$B:$B, INPUT_Rooms!$W:$W, "")="", $B$5, XLOOKUP(A29, INPUT_Rooms!$B:$B, INPUT_Rooms!$W:$W, "")))</f>
        <v/>
      </c>
      <c r="I29" s="6">
        <f>IF(A29="","", IF(C29="Doors (leaf)", 0, E29*XLOOKUP(C29,Constants!$A$40:$A$200,Constants!$C$40:$C$200,0,0)*XLOOKUP(H29,Constants!$E$10:$E$30,Constants!$F$10:$F$30)))</f>
        <v/>
      </c>
      <c r="J29" s="6">
        <f>IF(A29="","", IF(C29="Doors (leaf)", 0, E29*XLOOKUP(C29,Constants!$A$40:$A$200,Constants!$D$40:$D$200,0,0)*G29))</f>
        <v/>
      </c>
      <c r="K29" s="6">
        <f>IF(A29="","", IF(C29="Doors (leaf)", 0, IF(F29="Full", E29*XLOOKUP(C29,Constants!$A$40:$A$200,Constants!$E$40:$E$200,0,0), IF(F29="Spot", E29*XLOOKUP(C29,Constants!$A$40:$A$200,Constants!$E$40:$E$200,0,0)*0.35, 0))))</f>
        <v/>
      </c>
      <c r="L29">
        <f>IF(A29="","",0)</f>
        <v/>
      </c>
      <c r="M29" s="6">
        <f>IF(A29="","", SUM(I29:K29))</f>
        <v/>
      </c>
      <c r="N29" s="6">
        <f>IF(A29="","", L29/60)</f>
        <v/>
      </c>
      <c r="O29" s="6">
        <f>IF($A29="","", IFERROR($N29*IFERROR(IF(XLOOKUP('Job Control'!$B$3, INPUT_JobSettings!$A:$A, INPUT_JobSettings!$F:$F, "")&lt;&gt;"",XLOOKUP('Job Control'!$B$3, INPUT_JobSettings!$A:$A, INPUT_JobSettings!$F:$F, ""),$B$6),$B$6),0))</f>
        <v/>
      </c>
      <c r="P29" s="6">
        <f>IF($A29="","", IFERROR(($O29+$L29)*IFERROR(IF(XLOOKUP('Job Control'!$B$3, INPUT_JobSettings!$A:$A, INPUT_JobSettings!$G:$G, "")&lt;&gt;"",XLOOKUP('Job Control'!$B$3, INPUT_JobSettings!$A:$A, INPUT_JobSettings!$G:$G, ""),$B$7),$B$7),0))</f>
        <v/>
      </c>
    </row>
    <row r="30">
      <c r="A30" s="6">
        <f>IFERROR(INDEX(FILTER(INPUT_Rooms!$B$4:$B$83, INPUT_Rooms!$A$4:$A$83=$B$4, INPUT_Rooms!$T$4:$T$83="Y"), 4), "")</f>
        <v/>
      </c>
      <c r="B30" s="6">
        <f>IF(A30="","", XLOOKUP(A30, FILTER(INPUT_Rooms!$B$4:$B$83, INPUT_Rooms!$A$4:$A$83=$B$4), FILTER(INPUT_Rooms!$C$4:$C$83, INPUT_Rooms!$A$4:$A$83=$B$4), ""))</f>
        <v/>
      </c>
      <c r="C30" s="6">
        <f>IF(A30="","", CHOOSE(5,"Baseboard","Crown","Window Casing","Door Casing","Doors (leaf)"))</f>
        <v/>
      </c>
      <c r="D30" s="6">
        <f>IF(A30="","", XLOOKUP(C30,Constants!$A$40:$A$200,Constants!$B$40:$B$200,"",0))</f>
        <v/>
      </c>
      <c r="E30" s="6">
        <f>IF(A30="","", IF(C30="Baseboard", IF(XLOOKUP(A30,INPUT_Rooms!$B:$B,INPUT_Rooms!$X:$X,"")="Y", XLOOKUP(A30,INPUT_Rooms!$B:$B,INPUT_Rooms!$AF:$AF,""), 0),IF(C30="Crown", IF(XLOOKUP(A30,INPUT_Rooms!$B:$B,INPUT_Rooms!$Y:$Y,"")="Y", XLOOKUP(A30,INPUT_Rooms!$B:$B,INPUT_Rooms!$AG:$AG,""), 0),IF(C30="Window Casing", IF(XLOOKUP(A30,INPUT_Rooms!$B:$B,INPUT_Rooms!$Z:$Z,"")="Y", SUMPRODUCT((INPUT_Openings!$A:$A=$B$4)*(INPUT_Openings!$B:$B=A30)*(INPUT_Openings!$D:$D)*XLOOKUP(INPUT_Openings!$C:$C,Constants!$A$30:$A$200,Constants!$E$30:$E$200,"",0)*(INPUT_Openings!$E:$E="Window")), 0),IF(C30="Door Casing", IF(XLOOKUP(A30,INPUT_Rooms!$B:$B,INPUT_Rooms!$AA:$AA,"")="Y", SUMPRODUCT((INPUT_Openings!$A:$A=$B$4)*(INPUT_Openings!$B:$B=A30)*(INPUT_Openings!$D:$D)*XLOOKUP(INPUT_Openings!$C:$C,Constants!$A$30:$A$200,Constants!$E$30:$E$200,"",0)*(INPUT_Openings!$E:$E="Door")), 0),IF(C30="Doors (leaf)", IF(XLOOKUP(A30,INPUT_Rooms!$B:$B,INPUT_Rooms!$AB:$AB,"")="Y", SUMPRODUCT((INPUT_Doors!$A:$A=$B$4)*(INPUT_Doors!$B:$B=A30)*(INPUT_Doors!$D:$D)*(INPUT_Doors!$E:$E)), 0), 0))))))</f>
        <v/>
      </c>
      <c r="F30" s="6">
        <f>IF(A30="","", XLOOKUP(A30, INPUT_Rooms!$B:$B, INPUT_Rooms!$U:$U, ""))</f>
        <v/>
      </c>
      <c r="G30" s="6">
        <f>IF(A30="","", XLOOKUP(A30, INPUT_Rooms!$B:$B, INPUT_Rooms!$V:$V, ""))</f>
        <v/>
      </c>
      <c r="H30" s="6">
        <f>IF(A30="","", IF(XLOOKUP(A30, INPUT_Rooms!$B:$B, INPUT_Rooms!$W:$W, "")="", $B$5, XLOOKUP(A30, INPUT_Rooms!$B:$B, INPUT_Rooms!$W:$W, "")))</f>
        <v/>
      </c>
      <c r="I30" s="6">
        <f>IF(A30="","", IF(C30="Doors (leaf)", 0, E30*XLOOKUP(C30,Constants!$A$40:$A$200,Constants!$C$40:$C$200,0,0)*XLOOKUP(H30,Constants!$E$10:$E$30,Constants!$F$10:$F$30)))</f>
        <v/>
      </c>
      <c r="J30" s="6">
        <f>IF(A30="","", IF(C30="Doors (leaf)", 0, E30*XLOOKUP(C30,Constants!$A$40:$A$200,Constants!$D$40:$D$200,0,0)*G30))</f>
        <v/>
      </c>
      <c r="K30" s="6">
        <f>IF(A30="","", IF(C30="Doors (leaf)", 0, IF(F30="Full", E30*XLOOKUP(C30,Constants!$A$40:$A$200,Constants!$E$40:$E$200,0,0), IF(F30="Spot", E30*XLOOKUP(C30,Constants!$A$40:$A$200,Constants!$E$40:$E$200,0,0)*0.35, 0))))</f>
        <v/>
      </c>
      <c r="L30">
        <f>IF(A30="","",0)</f>
        <v/>
      </c>
      <c r="M30" s="6">
        <f>IF(A30="","", SUM(I30:K30))</f>
        <v/>
      </c>
      <c r="N30" s="6">
        <f>IF(A30="","", L30/60)</f>
        <v/>
      </c>
      <c r="O30" s="6">
        <f>IF($A30="","", IFERROR($N30*IFERROR(IF(XLOOKUP('Job Control'!$B$3, INPUT_JobSettings!$A:$A, INPUT_JobSettings!$F:$F, "")&lt;&gt;"",XLOOKUP('Job Control'!$B$3, INPUT_JobSettings!$A:$A, INPUT_JobSettings!$F:$F, ""),$B$6),$B$6),0))</f>
        <v/>
      </c>
      <c r="P30" s="6">
        <f>IF($A30="","", IFERROR(($O30+$L30)*IFERROR(IF(XLOOKUP('Job Control'!$B$3, INPUT_JobSettings!$A:$A, INPUT_JobSettings!$G:$G, "")&lt;&gt;"",XLOOKUP('Job Control'!$B$3, INPUT_JobSettings!$A:$A, INPUT_JobSettings!$G:$G, ""),$B$7),$B$7),0))</f>
        <v/>
      </c>
    </row>
    <row r="31">
      <c r="A31" s="6">
        <f>IFERROR(INDEX(FILTER(INPUT_Rooms!$B$4:$B$83, INPUT_Rooms!$A$4:$A$83=$B$4, INPUT_Rooms!$T$4:$T$83="Y"), 5), "")</f>
        <v/>
      </c>
      <c r="B31" s="6">
        <f>IF(A31="","", XLOOKUP(A31, FILTER(INPUT_Rooms!$B$4:$B$83, INPUT_Rooms!$A$4:$A$83=$B$4), FILTER(INPUT_Rooms!$C$4:$C$83, INPUT_Rooms!$A$4:$A$83=$B$4), ""))</f>
        <v/>
      </c>
      <c r="C31" s="6">
        <f>IF(A31="","", CHOOSE(1,"Baseboard","Crown","Window Casing","Door Casing","Doors (leaf)"))</f>
        <v/>
      </c>
      <c r="D31" s="6">
        <f>IF(A31="","", XLOOKUP(C31,Constants!$A$40:$A$200,Constants!$B$40:$B$200,"",0))</f>
        <v/>
      </c>
      <c r="E31" s="6">
        <f>IF(A31="","", IF(C31="Baseboard", IF(XLOOKUP(A31,INPUT_Rooms!$B:$B,INPUT_Rooms!$X:$X,"")="Y", XLOOKUP(A31,INPUT_Rooms!$B:$B,INPUT_Rooms!$AF:$AF,""), 0),IF(C31="Crown", IF(XLOOKUP(A31,INPUT_Rooms!$B:$B,INPUT_Rooms!$Y:$Y,"")="Y", XLOOKUP(A31,INPUT_Rooms!$B:$B,INPUT_Rooms!$AG:$AG,""), 0),IF(C31="Window Casing", IF(XLOOKUP(A31,INPUT_Rooms!$B:$B,INPUT_Rooms!$Z:$Z,"")="Y", SUMPRODUCT((INPUT_Openings!$A:$A=$B$4)*(INPUT_Openings!$B:$B=A31)*(INPUT_Openings!$D:$D)*XLOOKUP(INPUT_Openings!$C:$C,Constants!$A$30:$A$200,Constants!$E$30:$E$200,"",0)*(INPUT_Openings!$E:$E="Window")), 0),IF(C31="Door Casing", IF(XLOOKUP(A31,INPUT_Rooms!$B:$B,INPUT_Rooms!$AA:$AA,"")="Y", SUMPRODUCT((INPUT_Openings!$A:$A=$B$4)*(INPUT_Openings!$B:$B=A31)*(INPUT_Openings!$D:$D)*XLOOKUP(INPUT_Openings!$C:$C,Constants!$A$30:$A$200,Constants!$E$30:$E$200,"",0)*(INPUT_Openings!$E:$E="Door")), 0),IF(C31="Doors (leaf)", IF(XLOOKUP(A31,INPUT_Rooms!$B:$B,INPUT_Rooms!$AB:$AB,"")="Y", SUMPRODUCT((INPUT_Doors!$A:$A=$B$4)*(INPUT_Doors!$B:$B=A31)*(INPUT_Doors!$D:$D)*(INPUT_Doors!$E:$E)), 0), 0))))))</f>
        <v/>
      </c>
      <c r="F31" s="6">
        <f>IF(A31="","", XLOOKUP(A31, INPUT_Rooms!$B:$B, INPUT_Rooms!$U:$U, ""))</f>
        <v/>
      </c>
      <c r="G31" s="6">
        <f>IF(A31="","", XLOOKUP(A31, INPUT_Rooms!$B:$B, INPUT_Rooms!$V:$V, ""))</f>
        <v/>
      </c>
      <c r="H31" s="6">
        <f>IF(A31="","", IF(XLOOKUP(A31, INPUT_Rooms!$B:$B, INPUT_Rooms!$W:$W, "")="", $B$5, XLOOKUP(A31, INPUT_Rooms!$B:$B, INPUT_Rooms!$W:$W, "")))</f>
        <v/>
      </c>
      <c r="I31" s="6">
        <f>IF(A31="","", IF(C31="Doors (leaf)", 0, E31*XLOOKUP(C31,Constants!$A$40:$A$200,Constants!$C$40:$C$200,0,0)*XLOOKUP(H31,Constants!$E$10:$E$30,Constants!$F$10:$F$30)))</f>
        <v/>
      </c>
      <c r="J31" s="6">
        <f>IF(A31="","", IF(C31="Doors (leaf)", 0, E31*XLOOKUP(C31,Constants!$A$40:$A$200,Constants!$D$40:$D$200,0,0)*G31))</f>
        <v/>
      </c>
      <c r="K31" s="6">
        <f>IF(A31="","", IF(C31="Doors (leaf)", 0, IF(F31="Full", E31*XLOOKUP(C31,Constants!$A$40:$A$200,Constants!$E$40:$E$200,0,0), IF(F31="Spot", E31*XLOOKUP(C31,Constants!$A$40:$A$200,Constants!$E$40:$E$200,0,0)*0.35, 0))))</f>
        <v/>
      </c>
      <c r="L31">
        <f>IF(A31="","",0)</f>
        <v/>
      </c>
      <c r="M31" s="6">
        <f>IF(A31="","", SUM(I31:K31))</f>
        <v/>
      </c>
      <c r="N31" s="6">
        <f>IF(A31="","", L31/60)</f>
        <v/>
      </c>
      <c r="O31" s="6">
        <f>IF($A31="","", IFERROR($N31*IFERROR(IF(XLOOKUP('Job Control'!$B$3, INPUT_JobSettings!$A:$A, INPUT_JobSettings!$F:$F, "")&lt;&gt;"",XLOOKUP('Job Control'!$B$3, INPUT_JobSettings!$A:$A, INPUT_JobSettings!$F:$F, ""),$B$6),$B$6),0))</f>
        <v/>
      </c>
      <c r="P31" s="6">
        <f>IF($A31="","", IFERROR(($O31+$L31)*IFERROR(IF(XLOOKUP('Job Control'!$B$3, INPUT_JobSettings!$A:$A, INPUT_JobSettings!$G:$G, "")&lt;&gt;"",XLOOKUP('Job Control'!$B$3, INPUT_JobSettings!$A:$A, INPUT_JobSettings!$G:$G, ""),$B$7),$B$7),0))</f>
        <v/>
      </c>
    </row>
    <row r="32">
      <c r="A32" s="6">
        <f>IFERROR(INDEX(FILTER(INPUT_Rooms!$B$4:$B$83, INPUT_Rooms!$A$4:$A$83=$B$4, INPUT_Rooms!$T$4:$T$83="Y"), 5), "")</f>
        <v/>
      </c>
      <c r="B32" s="6">
        <f>IF(A32="","", XLOOKUP(A32, FILTER(INPUT_Rooms!$B$4:$B$83, INPUT_Rooms!$A$4:$A$83=$B$4), FILTER(INPUT_Rooms!$C$4:$C$83, INPUT_Rooms!$A$4:$A$83=$B$4), ""))</f>
        <v/>
      </c>
      <c r="C32" s="6">
        <f>IF(A32="","", CHOOSE(2,"Baseboard","Crown","Window Casing","Door Casing","Doors (leaf)"))</f>
        <v/>
      </c>
      <c r="D32" s="6">
        <f>IF(A32="","", XLOOKUP(C32,Constants!$A$40:$A$200,Constants!$B$40:$B$200,"",0))</f>
        <v/>
      </c>
      <c r="E32" s="6">
        <f>IF(A32="","", IF(C32="Baseboard", IF(XLOOKUP(A32,INPUT_Rooms!$B:$B,INPUT_Rooms!$X:$X,"")="Y", XLOOKUP(A32,INPUT_Rooms!$B:$B,INPUT_Rooms!$AF:$AF,""), 0),IF(C32="Crown", IF(XLOOKUP(A32,INPUT_Rooms!$B:$B,INPUT_Rooms!$Y:$Y,"")="Y", XLOOKUP(A32,INPUT_Rooms!$B:$B,INPUT_Rooms!$AG:$AG,""), 0),IF(C32="Window Casing", IF(XLOOKUP(A32,INPUT_Rooms!$B:$B,INPUT_Rooms!$Z:$Z,"")="Y", SUMPRODUCT((INPUT_Openings!$A:$A=$B$4)*(INPUT_Openings!$B:$B=A32)*(INPUT_Openings!$D:$D)*XLOOKUP(INPUT_Openings!$C:$C,Constants!$A$30:$A$200,Constants!$E$30:$E$200,"",0)*(INPUT_Openings!$E:$E="Window")), 0),IF(C32="Door Casing", IF(XLOOKUP(A32,INPUT_Rooms!$B:$B,INPUT_Rooms!$AA:$AA,"")="Y", SUMPRODUCT((INPUT_Openings!$A:$A=$B$4)*(INPUT_Openings!$B:$B=A32)*(INPUT_Openings!$D:$D)*XLOOKUP(INPUT_Openings!$C:$C,Constants!$A$30:$A$200,Constants!$E$30:$E$200,"",0)*(INPUT_Openings!$E:$E="Door")), 0),IF(C32="Doors (leaf)", IF(XLOOKUP(A32,INPUT_Rooms!$B:$B,INPUT_Rooms!$AB:$AB,"")="Y", SUMPRODUCT((INPUT_Doors!$A:$A=$B$4)*(INPUT_Doors!$B:$B=A32)*(INPUT_Doors!$D:$D)*(INPUT_Doors!$E:$E)), 0), 0))))))</f>
        <v/>
      </c>
      <c r="F32" s="6">
        <f>IF(A32="","", XLOOKUP(A32, INPUT_Rooms!$B:$B, INPUT_Rooms!$U:$U, ""))</f>
        <v/>
      </c>
      <c r="G32" s="6">
        <f>IF(A32="","", XLOOKUP(A32, INPUT_Rooms!$B:$B, INPUT_Rooms!$V:$V, ""))</f>
        <v/>
      </c>
      <c r="H32" s="6">
        <f>IF(A32="","", IF(XLOOKUP(A32, INPUT_Rooms!$B:$B, INPUT_Rooms!$W:$W, "")="", $B$5, XLOOKUP(A32, INPUT_Rooms!$B:$B, INPUT_Rooms!$W:$W, "")))</f>
        <v/>
      </c>
      <c r="I32" s="6">
        <f>IF(A32="","", IF(C32="Doors (leaf)", 0, E32*XLOOKUP(C32,Constants!$A$40:$A$200,Constants!$C$40:$C$200,0,0)*XLOOKUP(H32,Constants!$E$10:$E$30,Constants!$F$10:$F$30)))</f>
        <v/>
      </c>
      <c r="J32" s="6">
        <f>IF(A32="","", IF(C32="Doors (leaf)", 0, E32*XLOOKUP(C32,Constants!$A$40:$A$200,Constants!$D$40:$D$200,0,0)*G32))</f>
        <v/>
      </c>
      <c r="K32" s="6">
        <f>IF(A32="","", IF(C32="Doors (leaf)", 0, IF(F32="Full", E32*XLOOKUP(C32,Constants!$A$40:$A$200,Constants!$E$40:$E$200,0,0), IF(F32="Spot", E32*XLOOKUP(C32,Constants!$A$40:$A$200,Constants!$E$40:$E$200,0,0)*0.35, 0))))</f>
        <v/>
      </c>
      <c r="L32">
        <f>IF(A32="","",0)</f>
        <v/>
      </c>
      <c r="M32" s="6">
        <f>IF(A32="","", SUM(I32:K32))</f>
        <v/>
      </c>
      <c r="N32" s="6">
        <f>IF(A32="","", L32/60)</f>
        <v/>
      </c>
      <c r="O32" s="6">
        <f>IF($A32="","", IFERROR($N32*IFERROR(IF(XLOOKUP('Job Control'!$B$3, INPUT_JobSettings!$A:$A, INPUT_JobSettings!$F:$F, "")&lt;&gt;"",XLOOKUP('Job Control'!$B$3, INPUT_JobSettings!$A:$A, INPUT_JobSettings!$F:$F, ""),$B$6),$B$6),0))</f>
        <v/>
      </c>
      <c r="P32" s="6">
        <f>IF($A32="","", IFERROR(($O32+$L32)*IFERROR(IF(XLOOKUP('Job Control'!$B$3, INPUT_JobSettings!$A:$A, INPUT_JobSettings!$G:$G, "")&lt;&gt;"",XLOOKUP('Job Control'!$B$3, INPUT_JobSettings!$A:$A, INPUT_JobSettings!$G:$G, ""),$B$7),$B$7),0))</f>
        <v/>
      </c>
    </row>
    <row r="33">
      <c r="A33" s="6">
        <f>IFERROR(INDEX(FILTER(INPUT_Rooms!$B$4:$B$83, INPUT_Rooms!$A$4:$A$83=$B$4, INPUT_Rooms!$T$4:$T$83="Y"), 5), "")</f>
        <v/>
      </c>
      <c r="B33" s="6">
        <f>IF(A33="","", XLOOKUP(A33, FILTER(INPUT_Rooms!$B$4:$B$83, INPUT_Rooms!$A$4:$A$83=$B$4), FILTER(INPUT_Rooms!$C$4:$C$83, INPUT_Rooms!$A$4:$A$83=$B$4), ""))</f>
        <v/>
      </c>
      <c r="C33" s="6">
        <f>IF(A33="","", CHOOSE(3,"Baseboard","Crown","Window Casing","Door Casing","Doors (leaf)"))</f>
        <v/>
      </c>
      <c r="D33" s="6">
        <f>IF(A33="","", XLOOKUP(C33,Constants!$A$40:$A$200,Constants!$B$40:$B$200,"",0))</f>
        <v/>
      </c>
      <c r="E33" s="6">
        <f>IF(A33="","", IF(C33="Baseboard", IF(XLOOKUP(A33,INPUT_Rooms!$B:$B,INPUT_Rooms!$X:$X,"")="Y", XLOOKUP(A33,INPUT_Rooms!$B:$B,INPUT_Rooms!$AF:$AF,""), 0),IF(C33="Crown", IF(XLOOKUP(A33,INPUT_Rooms!$B:$B,INPUT_Rooms!$Y:$Y,"")="Y", XLOOKUP(A33,INPUT_Rooms!$B:$B,INPUT_Rooms!$AG:$AG,""), 0),IF(C33="Window Casing", IF(XLOOKUP(A33,INPUT_Rooms!$B:$B,INPUT_Rooms!$Z:$Z,"")="Y", SUMPRODUCT((INPUT_Openings!$A:$A=$B$4)*(INPUT_Openings!$B:$B=A33)*(INPUT_Openings!$D:$D)*XLOOKUP(INPUT_Openings!$C:$C,Constants!$A$30:$A$200,Constants!$E$30:$E$200,"",0)*(INPUT_Openings!$E:$E="Window")), 0),IF(C33="Door Casing", IF(XLOOKUP(A33,INPUT_Rooms!$B:$B,INPUT_Rooms!$AA:$AA,"")="Y", SUMPRODUCT((INPUT_Openings!$A:$A=$B$4)*(INPUT_Openings!$B:$B=A33)*(INPUT_Openings!$D:$D)*XLOOKUP(INPUT_Openings!$C:$C,Constants!$A$30:$A$200,Constants!$E$30:$E$200,"",0)*(INPUT_Openings!$E:$E="Door")), 0),IF(C33="Doors (leaf)", IF(XLOOKUP(A33,INPUT_Rooms!$B:$B,INPUT_Rooms!$AB:$AB,"")="Y", SUMPRODUCT((INPUT_Doors!$A:$A=$B$4)*(INPUT_Doors!$B:$B=A33)*(INPUT_Doors!$D:$D)*(INPUT_Doors!$E:$E)), 0), 0))))))</f>
        <v/>
      </c>
      <c r="F33" s="6">
        <f>IF(A33="","", XLOOKUP(A33, INPUT_Rooms!$B:$B, INPUT_Rooms!$U:$U, ""))</f>
        <v/>
      </c>
      <c r="G33" s="6">
        <f>IF(A33="","", XLOOKUP(A33, INPUT_Rooms!$B:$B, INPUT_Rooms!$V:$V, ""))</f>
        <v/>
      </c>
      <c r="H33" s="6">
        <f>IF(A33="","", IF(XLOOKUP(A33, INPUT_Rooms!$B:$B, INPUT_Rooms!$W:$W, "")="", $B$5, XLOOKUP(A33, INPUT_Rooms!$B:$B, INPUT_Rooms!$W:$W, "")))</f>
        <v/>
      </c>
      <c r="I33" s="6">
        <f>IF(A33="","", IF(C33="Doors (leaf)", 0, E33*XLOOKUP(C33,Constants!$A$40:$A$200,Constants!$C$40:$C$200,0,0)*XLOOKUP(H33,Constants!$E$10:$E$30,Constants!$F$10:$F$30)))</f>
        <v/>
      </c>
      <c r="J33" s="6">
        <f>IF(A33="","", IF(C33="Doors (leaf)", 0, E33*XLOOKUP(C33,Constants!$A$40:$A$200,Constants!$D$40:$D$200,0,0)*G33))</f>
        <v/>
      </c>
      <c r="K33" s="6">
        <f>IF(A33="","", IF(C33="Doors (leaf)", 0, IF(F33="Full", E33*XLOOKUP(C33,Constants!$A$40:$A$200,Constants!$E$40:$E$200,0,0), IF(F33="Spot", E33*XLOOKUP(C33,Constants!$A$40:$A$200,Constants!$E$40:$E$200,0,0)*0.35, 0))))</f>
        <v/>
      </c>
      <c r="L33">
        <f>IF(A33="","",0)</f>
        <v/>
      </c>
      <c r="M33" s="6">
        <f>IF(A33="","", SUM(I33:K33))</f>
        <v/>
      </c>
      <c r="N33" s="6">
        <f>IF(A33="","", L33/60)</f>
        <v/>
      </c>
      <c r="O33" s="6">
        <f>IF($A33="","", IFERROR($N33*IFERROR(IF(XLOOKUP('Job Control'!$B$3, INPUT_JobSettings!$A:$A, INPUT_JobSettings!$F:$F, "")&lt;&gt;"",XLOOKUP('Job Control'!$B$3, INPUT_JobSettings!$A:$A, INPUT_JobSettings!$F:$F, ""),$B$6),$B$6),0))</f>
        <v/>
      </c>
      <c r="P33" s="6">
        <f>IF($A33="","", IFERROR(($O33+$L33)*IFERROR(IF(XLOOKUP('Job Control'!$B$3, INPUT_JobSettings!$A:$A, INPUT_JobSettings!$G:$G, "")&lt;&gt;"",XLOOKUP('Job Control'!$B$3, INPUT_JobSettings!$A:$A, INPUT_JobSettings!$G:$G, ""),$B$7),$B$7),0))</f>
        <v/>
      </c>
    </row>
    <row r="34">
      <c r="A34" s="6">
        <f>IFERROR(INDEX(FILTER(INPUT_Rooms!$B$4:$B$83, INPUT_Rooms!$A$4:$A$83=$B$4, INPUT_Rooms!$T$4:$T$83="Y"), 5), "")</f>
        <v/>
      </c>
      <c r="B34" s="6">
        <f>IF(A34="","", XLOOKUP(A34, FILTER(INPUT_Rooms!$B$4:$B$83, INPUT_Rooms!$A$4:$A$83=$B$4), FILTER(INPUT_Rooms!$C$4:$C$83, INPUT_Rooms!$A$4:$A$83=$B$4), ""))</f>
        <v/>
      </c>
      <c r="C34" s="6">
        <f>IF(A34="","", CHOOSE(4,"Baseboard","Crown","Window Casing","Door Casing","Doors (leaf)"))</f>
        <v/>
      </c>
      <c r="D34" s="6">
        <f>IF(A34="","", XLOOKUP(C34,Constants!$A$40:$A$200,Constants!$B$40:$B$200,"",0))</f>
        <v/>
      </c>
      <c r="E34" s="6">
        <f>IF(A34="","", IF(C34="Baseboard", IF(XLOOKUP(A34,INPUT_Rooms!$B:$B,INPUT_Rooms!$X:$X,"")="Y", XLOOKUP(A34,INPUT_Rooms!$B:$B,INPUT_Rooms!$AF:$AF,""), 0),IF(C34="Crown", IF(XLOOKUP(A34,INPUT_Rooms!$B:$B,INPUT_Rooms!$Y:$Y,"")="Y", XLOOKUP(A34,INPUT_Rooms!$B:$B,INPUT_Rooms!$AG:$AG,""), 0),IF(C34="Window Casing", IF(XLOOKUP(A34,INPUT_Rooms!$B:$B,INPUT_Rooms!$Z:$Z,"")="Y", SUMPRODUCT((INPUT_Openings!$A:$A=$B$4)*(INPUT_Openings!$B:$B=A34)*(INPUT_Openings!$D:$D)*XLOOKUP(INPUT_Openings!$C:$C,Constants!$A$30:$A$200,Constants!$E$30:$E$200,"",0)*(INPUT_Openings!$E:$E="Window")), 0),IF(C34="Door Casing", IF(XLOOKUP(A34,INPUT_Rooms!$B:$B,INPUT_Rooms!$AA:$AA,"")="Y", SUMPRODUCT((INPUT_Openings!$A:$A=$B$4)*(INPUT_Openings!$B:$B=A34)*(INPUT_Openings!$D:$D)*XLOOKUP(INPUT_Openings!$C:$C,Constants!$A$30:$A$200,Constants!$E$30:$E$200,"",0)*(INPUT_Openings!$E:$E="Door")), 0),IF(C34="Doors (leaf)", IF(XLOOKUP(A34,INPUT_Rooms!$B:$B,INPUT_Rooms!$AB:$AB,"")="Y", SUMPRODUCT((INPUT_Doors!$A:$A=$B$4)*(INPUT_Doors!$B:$B=A34)*(INPUT_Doors!$D:$D)*(INPUT_Doors!$E:$E)), 0), 0))))))</f>
        <v/>
      </c>
      <c r="F34" s="6">
        <f>IF(A34="","", XLOOKUP(A34, INPUT_Rooms!$B:$B, INPUT_Rooms!$U:$U, ""))</f>
        <v/>
      </c>
      <c r="G34" s="6">
        <f>IF(A34="","", XLOOKUP(A34, INPUT_Rooms!$B:$B, INPUT_Rooms!$V:$V, ""))</f>
        <v/>
      </c>
      <c r="H34" s="6">
        <f>IF(A34="","", IF(XLOOKUP(A34, INPUT_Rooms!$B:$B, INPUT_Rooms!$W:$W, "")="", $B$5, XLOOKUP(A34, INPUT_Rooms!$B:$B, INPUT_Rooms!$W:$W, "")))</f>
        <v/>
      </c>
      <c r="I34" s="6">
        <f>IF(A34="","", IF(C34="Doors (leaf)", 0, E34*XLOOKUP(C34,Constants!$A$40:$A$200,Constants!$C$40:$C$200,0,0)*XLOOKUP(H34,Constants!$E$10:$E$30,Constants!$F$10:$F$30)))</f>
        <v/>
      </c>
      <c r="J34" s="6">
        <f>IF(A34="","", IF(C34="Doors (leaf)", 0, E34*XLOOKUP(C34,Constants!$A$40:$A$200,Constants!$D$40:$D$200,0,0)*G34))</f>
        <v/>
      </c>
      <c r="K34" s="6">
        <f>IF(A34="","", IF(C34="Doors (leaf)", 0, IF(F34="Full", E34*XLOOKUP(C34,Constants!$A$40:$A$200,Constants!$E$40:$E$200,0,0), IF(F34="Spot", E34*XLOOKUP(C34,Constants!$A$40:$A$200,Constants!$E$40:$E$200,0,0)*0.35, 0))))</f>
        <v/>
      </c>
      <c r="L34">
        <f>IF(A34="","",0)</f>
        <v/>
      </c>
      <c r="M34" s="6">
        <f>IF(A34="","", SUM(I34:K34))</f>
        <v/>
      </c>
      <c r="N34" s="6">
        <f>IF(A34="","", L34/60)</f>
        <v/>
      </c>
      <c r="O34" s="6">
        <f>IF($A34="","", IFERROR($N34*IFERROR(IF(XLOOKUP('Job Control'!$B$3, INPUT_JobSettings!$A:$A, INPUT_JobSettings!$F:$F, "")&lt;&gt;"",XLOOKUP('Job Control'!$B$3, INPUT_JobSettings!$A:$A, INPUT_JobSettings!$F:$F, ""),$B$6),$B$6),0))</f>
        <v/>
      </c>
      <c r="P34" s="6">
        <f>IF($A34="","", IFERROR(($O34+$L34)*IFERROR(IF(XLOOKUP('Job Control'!$B$3, INPUT_JobSettings!$A:$A, INPUT_JobSettings!$G:$G, "")&lt;&gt;"",XLOOKUP('Job Control'!$B$3, INPUT_JobSettings!$A:$A, INPUT_JobSettings!$G:$G, ""),$B$7),$B$7),0))</f>
        <v/>
      </c>
    </row>
    <row r="35">
      <c r="A35" s="6">
        <f>IFERROR(INDEX(FILTER(INPUT_Rooms!$B$4:$B$83, INPUT_Rooms!$A$4:$A$83=$B$4, INPUT_Rooms!$T$4:$T$83="Y"), 5), "")</f>
        <v/>
      </c>
      <c r="B35" s="6">
        <f>IF(A35="","", XLOOKUP(A35, FILTER(INPUT_Rooms!$B$4:$B$83, INPUT_Rooms!$A$4:$A$83=$B$4), FILTER(INPUT_Rooms!$C$4:$C$83, INPUT_Rooms!$A$4:$A$83=$B$4), ""))</f>
        <v/>
      </c>
      <c r="C35" s="6">
        <f>IF(A35="","", CHOOSE(5,"Baseboard","Crown","Window Casing","Door Casing","Doors (leaf)"))</f>
        <v/>
      </c>
      <c r="D35" s="6">
        <f>IF(A35="","", XLOOKUP(C35,Constants!$A$40:$A$200,Constants!$B$40:$B$200,"",0))</f>
        <v/>
      </c>
      <c r="E35" s="6">
        <f>IF(A35="","", IF(C35="Baseboard", IF(XLOOKUP(A35,INPUT_Rooms!$B:$B,INPUT_Rooms!$X:$X,"")="Y", XLOOKUP(A35,INPUT_Rooms!$B:$B,INPUT_Rooms!$AF:$AF,""), 0),IF(C35="Crown", IF(XLOOKUP(A35,INPUT_Rooms!$B:$B,INPUT_Rooms!$Y:$Y,"")="Y", XLOOKUP(A35,INPUT_Rooms!$B:$B,INPUT_Rooms!$AG:$AG,""), 0),IF(C35="Window Casing", IF(XLOOKUP(A35,INPUT_Rooms!$B:$B,INPUT_Rooms!$Z:$Z,"")="Y", SUMPRODUCT((INPUT_Openings!$A:$A=$B$4)*(INPUT_Openings!$B:$B=A35)*(INPUT_Openings!$D:$D)*XLOOKUP(INPUT_Openings!$C:$C,Constants!$A$30:$A$200,Constants!$E$30:$E$200,"",0)*(INPUT_Openings!$E:$E="Window")), 0),IF(C35="Door Casing", IF(XLOOKUP(A35,INPUT_Rooms!$B:$B,INPUT_Rooms!$AA:$AA,"")="Y", SUMPRODUCT((INPUT_Openings!$A:$A=$B$4)*(INPUT_Openings!$B:$B=A35)*(INPUT_Openings!$D:$D)*XLOOKUP(INPUT_Openings!$C:$C,Constants!$A$30:$A$200,Constants!$E$30:$E$200,"",0)*(INPUT_Openings!$E:$E="Door")), 0),IF(C35="Doors (leaf)", IF(XLOOKUP(A35,INPUT_Rooms!$B:$B,INPUT_Rooms!$AB:$AB,"")="Y", SUMPRODUCT((INPUT_Doors!$A:$A=$B$4)*(INPUT_Doors!$B:$B=A35)*(INPUT_Doors!$D:$D)*(INPUT_Doors!$E:$E)), 0), 0))))))</f>
        <v/>
      </c>
      <c r="F35" s="6">
        <f>IF(A35="","", XLOOKUP(A35, INPUT_Rooms!$B:$B, INPUT_Rooms!$U:$U, ""))</f>
        <v/>
      </c>
      <c r="G35" s="6">
        <f>IF(A35="","", XLOOKUP(A35, INPUT_Rooms!$B:$B, INPUT_Rooms!$V:$V, ""))</f>
        <v/>
      </c>
      <c r="H35" s="6">
        <f>IF(A35="","", IF(XLOOKUP(A35, INPUT_Rooms!$B:$B, INPUT_Rooms!$W:$W, "")="", $B$5, XLOOKUP(A35, INPUT_Rooms!$B:$B, INPUT_Rooms!$W:$W, "")))</f>
        <v/>
      </c>
      <c r="I35" s="6">
        <f>IF(A35="","", IF(C35="Doors (leaf)", 0, E35*XLOOKUP(C35,Constants!$A$40:$A$200,Constants!$C$40:$C$200,0,0)*XLOOKUP(H35,Constants!$E$10:$E$30,Constants!$F$10:$F$30)))</f>
        <v/>
      </c>
      <c r="J35" s="6">
        <f>IF(A35="","", IF(C35="Doors (leaf)", 0, E35*XLOOKUP(C35,Constants!$A$40:$A$200,Constants!$D$40:$D$200,0,0)*G35))</f>
        <v/>
      </c>
      <c r="K35" s="6">
        <f>IF(A35="","", IF(C35="Doors (leaf)", 0, IF(F35="Full", E35*XLOOKUP(C35,Constants!$A$40:$A$200,Constants!$E$40:$E$200,0,0), IF(F35="Spot", E35*XLOOKUP(C35,Constants!$A$40:$A$200,Constants!$E$40:$E$200,0,0)*0.35, 0))))</f>
        <v/>
      </c>
      <c r="L35">
        <f>IF(A35="","",0)</f>
        <v/>
      </c>
      <c r="M35" s="6">
        <f>IF(A35="","", SUM(I35:K35))</f>
        <v/>
      </c>
      <c r="N35" s="6">
        <f>IF(A35="","", L35/60)</f>
        <v/>
      </c>
      <c r="O35" s="6">
        <f>IF($A35="","", IFERROR($N35*IFERROR(IF(XLOOKUP('Job Control'!$B$3, INPUT_JobSettings!$A:$A, INPUT_JobSettings!$F:$F, "")&lt;&gt;"",XLOOKUP('Job Control'!$B$3, INPUT_JobSettings!$A:$A, INPUT_JobSettings!$F:$F, ""),$B$6),$B$6),0))</f>
        <v/>
      </c>
      <c r="P35" s="6">
        <f>IF($A35="","", IFERROR(($O35+$L35)*IFERROR(IF(XLOOKUP('Job Control'!$B$3, INPUT_JobSettings!$A:$A, INPUT_JobSettings!$G:$G, "")&lt;&gt;"",XLOOKUP('Job Control'!$B$3, INPUT_JobSettings!$A:$A, INPUT_JobSettings!$G:$G, ""),$B$7),$B$7),0))</f>
        <v/>
      </c>
    </row>
    <row r="36">
      <c r="A36" s="6">
        <f>IFERROR(INDEX(FILTER(INPUT_Rooms!$B$4:$B$83, INPUT_Rooms!$A$4:$A$83=$B$4, INPUT_Rooms!$T$4:$T$83="Y"), 6), "")</f>
        <v/>
      </c>
      <c r="B36" s="6">
        <f>IF(A36="","", XLOOKUP(A36, FILTER(INPUT_Rooms!$B$4:$B$83, INPUT_Rooms!$A$4:$A$83=$B$4), FILTER(INPUT_Rooms!$C$4:$C$83, INPUT_Rooms!$A$4:$A$83=$B$4), ""))</f>
        <v/>
      </c>
      <c r="C36" s="6">
        <f>IF(A36="","", CHOOSE(1,"Baseboard","Crown","Window Casing","Door Casing","Doors (leaf)"))</f>
        <v/>
      </c>
      <c r="D36" s="6">
        <f>IF(A36="","", XLOOKUP(C36,Constants!$A$40:$A$200,Constants!$B$40:$B$200,"",0))</f>
        <v/>
      </c>
      <c r="E36" s="6">
        <f>IF(A36="","", IF(C36="Baseboard", IF(XLOOKUP(A36,INPUT_Rooms!$B:$B,INPUT_Rooms!$X:$X,"")="Y", XLOOKUP(A36,INPUT_Rooms!$B:$B,INPUT_Rooms!$AF:$AF,""), 0),IF(C36="Crown", IF(XLOOKUP(A36,INPUT_Rooms!$B:$B,INPUT_Rooms!$Y:$Y,"")="Y", XLOOKUP(A36,INPUT_Rooms!$B:$B,INPUT_Rooms!$AG:$AG,""), 0),IF(C36="Window Casing", IF(XLOOKUP(A36,INPUT_Rooms!$B:$B,INPUT_Rooms!$Z:$Z,"")="Y", SUMPRODUCT((INPUT_Openings!$A:$A=$B$4)*(INPUT_Openings!$B:$B=A36)*(INPUT_Openings!$D:$D)*XLOOKUP(INPUT_Openings!$C:$C,Constants!$A$30:$A$200,Constants!$E$30:$E$200,"",0)*(INPUT_Openings!$E:$E="Window")), 0),IF(C36="Door Casing", IF(XLOOKUP(A36,INPUT_Rooms!$B:$B,INPUT_Rooms!$AA:$AA,"")="Y", SUMPRODUCT((INPUT_Openings!$A:$A=$B$4)*(INPUT_Openings!$B:$B=A36)*(INPUT_Openings!$D:$D)*XLOOKUP(INPUT_Openings!$C:$C,Constants!$A$30:$A$200,Constants!$E$30:$E$200,"",0)*(INPUT_Openings!$E:$E="Door")), 0),IF(C36="Doors (leaf)", IF(XLOOKUP(A36,INPUT_Rooms!$B:$B,INPUT_Rooms!$AB:$AB,"")="Y", SUMPRODUCT((INPUT_Doors!$A:$A=$B$4)*(INPUT_Doors!$B:$B=A36)*(INPUT_Doors!$D:$D)*(INPUT_Doors!$E:$E)), 0), 0))))))</f>
        <v/>
      </c>
      <c r="F36" s="6">
        <f>IF(A36="","", XLOOKUP(A36, INPUT_Rooms!$B:$B, INPUT_Rooms!$U:$U, ""))</f>
        <v/>
      </c>
      <c r="G36" s="6">
        <f>IF(A36="","", XLOOKUP(A36, INPUT_Rooms!$B:$B, INPUT_Rooms!$V:$V, ""))</f>
        <v/>
      </c>
      <c r="H36" s="6">
        <f>IF(A36="","", IF(XLOOKUP(A36, INPUT_Rooms!$B:$B, INPUT_Rooms!$W:$W, "")="", $B$5, XLOOKUP(A36, INPUT_Rooms!$B:$B, INPUT_Rooms!$W:$W, "")))</f>
        <v/>
      </c>
      <c r="I36" s="6">
        <f>IF(A36="","", IF(C36="Doors (leaf)", 0, E36*XLOOKUP(C36,Constants!$A$40:$A$200,Constants!$C$40:$C$200,0,0)*XLOOKUP(H36,Constants!$E$10:$E$30,Constants!$F$10:$F$30)))</f>
        <v/>
      </c>
      <c r="J36" s="6">
        <f>IF(A36="","", IF(C36="Doors (leaf)", 0, E36*XLOOKUP(C36,Constants!$A$40:$A$200,Constants!$D$40:$D$200,0,0)*G36))</f>
        <v/>
      </c>
      <c r="K36" s="6">
        <f>IF(A36="","", IF(C36="Doors (leaf)", 0, IF(F36="Full", E36*XLOOKUP(C36,Constants!$A$40:$A$200,Constants!$E$40:$E$200,0,0), IF(F36="Spot", E36*XLOOKUP(C36,Constants!$A$40:$A$200,Constants!$E$40:$E$200,0,0)*0.35, 0))))</f>
        <v/>
      </c>
      <c r="L36">
        <f>IF(A36="","",0)</f>
        <v/>
      </c>
      <c r="M36" s="6">
        <f>IF(A36="","", SUM(I36:K36))</f>
        <v/>
      </c>
      <c r="N36" s="6">
        <f>IF(A36="","", L36/60)</f>
        <v/>
      </c>
      <c r="O36" s="6">
        <f>IF($A36="","", IFERROR($N36*IFERROR(IF(XLOOKUP('Job Control'!$B$3, INPUT_JobSettings!$A:$A, INPUT_JobSettings!$F:$F, "")&lt;&gt;"",XLOOKUP('Job Control'!$B$3, INPUT_JobSettings!$A:$A, INPUT_JobSettings!$F:$F, ""),$B$6),$B$6),0))</f>
        <v/>
      </c>
      <c r="P36" s="6">
        <f>IF($A36="","", IFERROR(($O36+$L36)*IFERROR(IF(XLOOKUP('Job Control'!$B$3, INPUT_JobSettings!$A:$A, INPUT_JobSettings!$G:$G, "")&lt;&gt;"",XLOOKUP('Job Control'!$B$3, INPUT_JobSettings!$A:$A, INPUT_JobSettings!$G:$G, ""),$B$7),$B$7),0))</f>
        <v/>
      </c>
    </row>
    <row r="37">
      <c r="A37" s="6">
        <f>IFERROR(INDEX(FILTER(INPUT_Rooms!$B$4:$B$83, INPUT_Rooms!$A$4:$A$83=$B$4, INPUT_Rooms!$T$4:$T$83="Y"), 6), "")</f>
        <v/>
      </c>
      <c r="B37" s="6">
        <f>IF(A37="","", XLOOKUP(A37, FILTER(INPUT_Rooms!$B$4:$B$83, INPUT_Rooms!$A$4:$A$83=$B$4), FILTER(INPUT_Rooms!$C$4:$C$83, INPUT_Rooms!$A$4:$A$83=$B$4), ""))</f>
        <v/>
      </c>
      <c r="C37" s="6">
        <f>IF(A37="","", CHOOSE(2,"Baseboard","Crown","Window Casing","Door Casing","Doors (leaf)"))</f>
        <v/>
      </c>
      <c r="D37" s="6">
        <f>IF(A37="","", XLOOKUP(C37,Constants!$A$40:$A$200,Constants!$B$40:$B$200,"",0))</f>
        <v/>
      </c>
      <c r="E37" s="6">
        <f>IF(A37="","", IF(C37="Baseboard", IF(XLOOKUP(A37,INPUT_Rooms!$B:$B,INPUT_Rooms!$X:$X,"")="Y", XLOOKUP(A37,INPUT_Rooms!$B:$B,INPUT_Rooms!$AF:$AF,""), 0),IF(C37="Crown", IF(XLOOKUP(A37,INPUT_Rooms!$B:$B,INPUT_Rooms!$Y:$Y,"")="Y", XLOOKUP(A37,INPUT_Rooms!$B:$B,INPUT_Rooms!$AG:$AG,""), 0),IF(C37="Window Casing", IF(XLOOKUP(A37,INPUT_Rooms!$B:$B,INPUT_Rooms!$Z:$Z,"")="Y", SUMPRODUCT((INPUT_Openings!$A:$A=$B$4)*(INPUT_Openings!$B:$B=A37)*(INPUT_Openings!$D:$D)*XLOOKUP(INPUT_Openings!$C:$C,Constants!$A$30:$A$200,Constants!$E$30:$E$200,"",0)*(INPUT_Openings!$E:$E="Window")), 0),IF(C37="Door Casing", IF(XLOOKUP(A37,INPUT_Rooms!$B:$B,INPUT_Rooms!$AA:$AA,"")="Y", SUMPRODUCT((INPUT_Openings!$A:$A=$B$4)*(INPUT_Openings!$B:$B=A37)*(INPUT_Openings!$D:$D)*XLOOKUP(INPUT_Openings!$C:$C,Constants!$A$30:$A$200,Constants!$E$30:$E$200,"",0)*(INPUT_Openings!$E:$E="Door")), 0),IF(C37="Doors (leaf)", IF(XLOOKUP(A37,INPUT_Rooms!$B:$B,INPUT_Rooms!$AB:$AB,"")="Y", SUMPRODUCT((INPUT_Doors!$A:$A=$B$4)*(INPUT_Doors!$B:$B=A37)*(INPUT_Doors!$D:$D)*(INPUT_Doors!$E:$E)), 0), 0))))))</f>
        <v/>
      </c>
      <c r="F37" s="6">
        <f>IF(A37="","", XLOOKUP(A37, INPUT_Rooms!$B:$B, INPUT_Rooms!$U:$U, ""))</f>
        <v/>
      </c>
      <c r="G37" s="6">
        <f>IF(A37="","", XLOOKUP(A37, INPUT_Rooms!$B:$B, INPUT_Rooms!$V:$V, ""))</f>
        <v/>
      </c>
      <c r="H37" s="6">
        <f>IF(A37="","", IF(XLOOKUP(A37, INPUT_Rooms!$B:$B, INPUT_Rooms!$W:$W, "")="", $B$5, XLOOKUP(A37, INPUT_Rooms!$B:$B, INPUT_Rooms!$W:$W, "")))</f>
        <v/>
      </c>
      <c r="I37" s="6">
        <f>IF(A37="","", IF(C37="Doors (leaf)", 0, E37*XLOOKUP(C37,Constants!$A$40:$A$200,Constants!$C$40:$C$200,0,0)*XLOOKUP(H37,Constants!$E$10:$E$30,Constants!$F$10:$F$30)))</f>
        <v/>
      </c>
      <c r="J37" s="6">
        <f>IF(A37="","", IF(C37="Doors (leaf)", 0, E37*XLOOKUP(C37,Constants!$A$40:$A$200,Constants!$D$40:$D$200,0,0)*G37))</f>
        <v/>
      </c>
      <c r="K37" s="6">
        <f>IF(A37="","", IF(C37="Doors (leaf)", 0, IF(F37="Full", E37*XLOOKUP(C37,Constants!$A$40:$A$200,Constants!$E$40:$E$200,0,0), IF(F37="Spot", E37*XLOOKUP(C37,Constants!$A$40:$A$200,Constants!$E$40:$E$200,0,0)*0.35, 0))))</f>
        <v/>
      </c>
      <c r="L37">
        <f>IF(A37="","",0)</f>
        <v/>
      </c>
      <c r="M37" s="6">
        <f>IF(A37="","", SUM(I37:K37))</f>
        <v/>
      </c>
      <c r="N37" s="6">
        <f>IF(A37="","", L37/60)</f>
        <v/>
      </c>
      <c r="O37" s="6">
        <f>IF($A37="","", IFERROR($N37*IFERROR(IF(XLOOKUP('Job Control'!$B$3, INPUT_JobSettings!$A:$A, INPUT_JobSettings!$F:$F, "")&lt;&gt;"",XLOOKUP('Job Control'!$B$3, INPUT_JobSettings!$A:$A, INPUT_JobSettings!$F:$F, ""),$B$6),$B$6),0))</f>
        <v/>
      </c>
      <c r="P37" s="6">
        <f>IF($A37="","", IFERROR(($O37+$L37)*IFERROR(IF(XLOOKUP('Job Control'!$B$3, INPUT_JobSettings!$A:$A, INPUT_JobSettings!$G:$G, "")&lt;&gt;"",XLOOKUP('Job Control'!$B$3, INPUT_JobSettings!$A:$A, INPUT_JobSettings!$G:$G, ""),$B$7),$B$7),0))</f>
        <v/>
      </c>
    </row>
    <row r="38">
      <c r="A38" s="6">
        <f>IFERROR(INDEX(FILTER(INPUT_Rooms!$B$4:$B$83, INPUT_Rooms!$A$4:$A$83=$B$4, INPUT_Rooms!$T$4:$T$83="Y"), 6), "")</f>
        <v/>
      </c>
      <c r="B38" s="6">
        <f>IF(A38="","", XLOOKUP(A38, FILTER(INPUT_Rooms!$B$4:$B$83, INPUT_Rooms!$A$4:$A$83=$B$4), FILTER(INPUT_Rooms!$C$4:$C$83, INPUT_Rooms!$A$4:$A$83=$B$4), ""))</f>
        <v/>
      </c>
      <c r="C38" s="6">
        <f>IF(A38="","", CHOOSE(3,"Baseboard","Crown","Window Casing","Door Casing","Doors (leaf)"))</f>
        <v/>
      </c>
      <c r="D38" s="6">
        <f>IF(A38="","", XLOOKUP(C38,Constants!$A$40:$A$200,Constants!$B$40:$B$200,"",0))</f>
        <v/>
      </c>
      <c r="E38" s="6">
        <f>IF(A38="","", IF(C38="Baseboard", IF(XLOOKUP(A38,INPUT_Rooms!$B:$B,INPUT_Rooms!$X:$X,"")="Y", XLOOKUP(A38,INPUT_Rooms!$B:$B,INPUT_Rooms!$AF:$AF,""), 0),IF(C38="Crown", IF(XLOOKUP(A38,INPUT_Rooms!$B:$B,INPUT_Rooms!$Y:$Y,"")="Y", XLOOKUP(A38,INPUT_Rooms!$B:$B,INPUT_Rooms!$AG:$AG,""), 0),IF(C38="Window Casing", IF(XLOOKUP(A38,INPUT_Rooms!$B:$B,INPUT_Rooms!$Z:$Z,"")="Y", SUMPRODUCT((INPUT_Openings!$A:$A=$B$4)*(INPUT_Openings!$B:$B=A38)*(INPUT_Openings!$D:$D)*XLOOKUP(INPUT_Openings!$C:$C,Constants!$A$30:$A$200,Constants!$E$30:$E$200,"",0)*(INPUT_Openings!$E:$E="Window")), 0),IF(C38="Door Casing", IF(XLOOKUP(A38,INPUT_Rooms!$B:$B,INPUT_Rooms!$AA:$AA,"")="Y", SUMPRODUCT((INPUT_Openings!$A:$A=$B$4)*(INPUT_Openings!$B:$B=A38)*(INPUT_Openings!$D:$D)*XLOOKUP(INPUT_Openings!$C:$C,Constants!$A$30:$A$200,Constants!$E$30:$E$200,"",0)*(INPUT_Openings!$E:$E="Door")), 0),IF(C38="Doors (leaf)", IF(XLOOKUP(A38,INPUT_Rooms!$B:$B,INPUT_Rooms!$AB:$AB,"")="Y", SUMPRODUCT((INPUT_Doors!$A:$A=$B$4)*(INPUT_Doors!$B:$B=A38)*(INPUT_Doors!$D:$D)*(INPUT_Doors!$E:$E)), 0), 0))))))</f>
        <v/>
      </c>
      <c r="F38" s="6">
        <f>IF(A38="","", XLOOKUP(A38, INPUT_Rooms!$B:$B, INPUT_Rooms!$U:$U, ""))</f>
        <v/>
      </c>
      <c r="G38" s="6">
        <f>IF(A38="","", XLOOKUP(A38, INPUT_Rooms!$B:$B, INPUT_Rooms!$V:$V, ""))</f>
        <v/>
      </c>
      <c r="H38" s="6">
        <f>IF(A38="","", IF(XLOOKUP(A38, INPUT_Rooms!$B:$B, INPUT_Rooms!$W:$W, "")="", $B$5, XLOOKUP(A38, INPUT_Rooms!$B:$B, INPUT_Rooms!$W:$W, "")))</f>
        <v/>
      </c>
      <c r="I38" s="6">
        <f>IF(A38="","", IF(C38="Doors (leaf)", 0, E38*XLOOKUP(C38,Constants!$A$40:$A$200,Constants!$C$40:$C$200,0,0)*XLOOKUP(H38,Constants!$E$10:$E$30,Constants!$F$10:$F$30)))</f>
        <v/>
      </c>
      <c r="J38" s="6">
        <f>IF(A38="","", IF(C38="Doors (leaf)", 0, E38*XLOOKUP(C38,Constants!$A$40:$A$200,Constants!$D$40:$D$200,0,0)*G38))</f>
        <v/>
      </c>
      <c r="K38" s="6">
        <f>IF(A38="","", IF(C38="Doors (leaf)", 0, IF(F38="Full", E38*XLOOKUP(C38,Constants!$A$40:$A$200,Constants!$E$40:$E$200,0,0), IF(F38="Spot", E38*XLOOKUP(C38,Constants!$A$40:$A$200,Constants!$E$40:$E$200,0,0)*0.35, 0))))</f>
        <v/>
      </c>
      <c r="L38">
        <f>IF(A38="","",0)</f>
        <v/>
      </c>
      <c r="M38" s="6">
        <f>IF(A38="","", SUM(I38:K38))</f>
        <v/>
      </c>
      <c r="N38" s="6">
        <f>IF(A38="","", L38/60)</f>
        <v/>
      </c>
      <c r="O38" s="6">
        <f>IF($A38="","", IFERROR($N38*IFERROR(IF(XLOOKUP('Job Control'!$B$3, INPUT_JobSettings!$A:$A, INPUT_JobSettings!$F:$F, "")&lt;&gt;"",XLOOKUP('Job Control'!$B$3, INPUT_JobSettings!$A:$A, INPUT_JobSettings!$F:$F, ""),$B$6),$B$6),0))</f>
        <v/>
      </c>
      <c r="P38" s="6">
        <f>IF($A38="","", IFERROR(($O38+$L38)*IFERROR(IF(XLOOKUP('Job Control'!$B$3, INPUT_JobSettings!$A:$A, INPUT_JobSettings!$G:$G, "")&lt;&gt;"",XLOOKUP('Job Control'!$B$3, INPUT_JobSettings!$A:$A, INPUT_JobSettings!$G:$G, ""),$B$7),$B$7),0))</f>
        <v/>
      </c>
    </row>
    <row r="39">
      <c r="A39" s="6">
        <f>IFERROR(INDEX(FILTER(INPUT_Rooms!$B$4:$B$83, INPUT_Rooms!$A$4:$A$83=$B$4, INPUT_Rooms!$T$4:$T$83="Y"), 6), "")</f>
        <v/>
      </c>
      <c r="B39" s="6">
        <f>IF(A39="","", XLOOKUP(A39, FILTER(INPUT_Rooms!$B$4:$B$83, INPUT_Rooms!$A$4:$A$83=$B$4), FILTER(INPUT_Rooms!$C$4:$C$83, INPUT_Rooms!$A$4:$A$83=$B$4), ""))</f>
        <v/>
      </c>
      <c r="C39" s="6">
        <f>IF(A39="","", CHOOSE(4,"Baseboard","Crown","Window Casing","Door Casing","Doors (leaf)"))</f>
        <v/>
      </c>
      <c r="D39" s="6">
        <f>IF(A39="","", XLOOKUP(C39,Constants!$A$40:$A$200,Constants!$B$40:$B$200,"",0))</f>
        <v/>
      </c>
      <c r="E39" s="6">
        <f>IF(A39="","", IF(C39="Baseboard", IF(XLOOKUP(A39,INPUT_Rooms!$B:$B,INPUT_Rooms!$X:$X,"")="Y", XLOOKUP(A39,INPUT_Rooms!$B:$B,INPUT_Rooms!$AF:$AF,""), 0),IF(C39="Crown", IF(XLOOKUP(A39,INPUT_Rooms!$B:$B,INPUT_Rooms!$Y:$Y,"")="Y", XLOOKUP(A39,INPUT_Rooms!$B:$B,INPUT_Rooms!$AG:$AG,""), 0),IF(C39="Window Casing", IF(XLOOKUP(A39,INPUT_Rooms!$B:$B,INPUT_Rooms!$Z:$Z,"")="Y", SUMPRODUCT((INPUT_Openings!$A:$A=$B$4)*(INPUT_Openings!$B:$B=A39)*(INPUT_Openings!$D:$D)*XLOOKUP(INPUT_Openings!$C:$C,Constants!$A$30:$A$200,Constants!$E$30:$E$200,"",0)*(INPUT_Openings!$E:$E="Window")), 0),IF(C39="Door Casing", IF(XLOOKUP(A39,INPUT_Rooms!$B:$B,INPUT_Rooms!$AA:$AA,"")="Y", SUMPRODUCT((INPUT_Openings!$A:$A=$B$4)*(INPUT_Openings!$B:$B=A39)*(INPUT_Openings!$D:$D)*XLOOKUP(INPUT_Openings!$C:$C,Constants!$A$30:$A$200,Constants!$E$30:$E$200,"",0)*(INPUT_Openings!$E:$E="Door")), 0),IF(C39="Doors (leaf)", IF(XLOOKUP(A39,INPUT_Rooms!$B:$B,INPUT_Rooms!$AB:$AB,"")="Y", SUMPRODUCT((INPUT_Doors!$A:$A=$B$4)*(INPUT_Doors!$B:$B=A39)*(INPUT_Doors!$D:$D)*(INPUT_Doors!$E:$E)), 0), 0))))))</f>
        <v/>
      </c>
      <c r="F39" s="6">
        <f>IF(A39="","", XLOOKUP(A39, INPUT_Rooms!$B:$B, INPUT_Rooms!$U:$U, ""))</f>
        <v/>
      </c>
      <c r="G39" s="6">
        <f>IF(A39="","", XLOOKUP(A39, INPUT_Rooms!$B:$B, INPUT_Rooms!$V:$V, ""))</f>
        <v/>
      </c>
      <c r="H39" s="6">
        <f>IF(A39="","", IF(XLOOKUP(A39, INPUT_Rooms!$B:$B, INPUT_Rooms!$W:$W, "")="", $B$5, XLOOKUP(A39, INPUT_Rooms!$B:$B, INPUT_Rooms!$W:$W, "")))</f>
        <v/>
      </c>
      <c r="I39" s="6">
        <f>IF(A39="","", IF(C39="Doors (leaf)", 0, E39*XLOOKUP(C39,Constants!$A$40:$A$200,Constants!$C$40:$C$200,0,0)*XLOOKUP(H39,Constants!$E$10:$E$30,Constants!$F$10:$F$30)))</f>
        <v/>
      </c>
      <c r="J39" s="6">
        <f>IF(A39="","", IF(C39="Doors (leaf)", 0, E39*XLOOKUP(C39,Constants!$A$40:$A$200,Constants!$D$40:$D$200,0,0)*G39))</f>
        <v/>
      </c>
      <c r="K39" s="6">
        <f>IF(A39="","", IF(C39="Doors (leaf)", 0, IF(F39="Full", E39*XLOOKUP(C39,Constants!$A$40:$A$200,Constants!$E$40:$E$200,0,0), IF(F39="Spot", E39*XLOOKUP(C39,Constants!$A$40:$A$200,Constants!$E$40:$E$200,0,0)*0.35, 0))))</f>
        <v/>
      </c>
      <c r="L39">
        <f>IF(A39="","",0)</f>
        <v/>
      </c>
      <c r="M39" s="6">
        <f>IF(A39="","", SUM(I39:K39))</f>
        <v/>
      </c>
      <c r="N39" s="6">
        <f>IF(A39="","", L39/60)</f>
        <v/>
      </c>
      <c r="O39" s="6">
        <f>IF($A39="","", IFERROR($N39*IFERROR(IF(XLOOKUP('Job Control'!$B$3, INPUT_JobSettings!$A:$A, INPUT_JobSettings!$F:$F, "")&lt;&gt;"",XLOOKUP('Job Control'!$B$3, INPUT_JobSettings!$A:$A, INPUT_JobSettings!$F:$F, ""),$B$6),$B$6),0))</f>
        <v/>
      </c>
      <c r="P39" s="6">
        <f>IF($A39="","", IFERROR(($O39+$L39)*IFERROR(IF(XLOOKUP('Job Control'!$B$3, INPUT_JobSettings!$A:$A, INPUT_JobSettings!$G:$G, "")&lt;&gt;"",XLOOKUP('Job Control'!$B$3, INPUT_JobSettings!$A:$A, INPUT_JobSettings!$G:$G, ""),$B$7),$B$7),0))</f>
        <v/>
      </c>
    </row>
    <row r="40">
      <c r="A40" s="6">
        <f>IFERROR(INDEX(FILTER(INPUT_Rooms!$B$4:$B$83, INPUT_Rooms!$A$4:$A$83=$B$4, INPUT_Rooms!$T$4:$T$83="Y"), 6), "")</f>
        <v/>
      </c>
      <c r="B40" s="6">
        <f>IF(A40="","", XLOOKUP(A40, FILTER(INPUT_Rooms!$B$4:$B$83, INPUT_Rooms!$A$4:$A$83=$B$4), FILTER(INPUT_Rooms!$C$4:$C$83, INPUT_Rooms!$A$4:$A$83=$B$4), ""))</f>
        <v/>
      </c>
      <c r="C40" s="6">
        <f>IF(A40="","", CHOOSE(5,"Baseboard","Crown","Window Casing","Door Casing","Doors (leaf)"))</f>
        <v/>
      </c>
      <c r="D40" s="6">
        <f>IF(A40="","", XLOOKUP(C40,Constants!$A$40:$A$200,Constants!$B$40:$B$200,"",0))</f>
        <v/>
      </c>
      <c r="E40" s="6">
        <f>IF(A40="","", IF(C40="Baseboard", IF(XLOOKUP(A40,INPUT_Rooms!$B:$B,INPUT_Rooms!$X:$X,"")="Y", XLOOKUP(A40,INPUT_Rooms!$B:$B,INPUT_Rooms!$AF:$AF,""), 0),IF(C40="Crown", IF(XLOOKUP(A40,INPUT_Rooms!$B:$B,INPUT_Rooms!$Y:$Y,"")="Y", XLOOKUP(A40,INPUT_Rooms!$B:$B,INPUT_Rooms!$AG:$AG,""), 0),IF(C40="Window Casing", IF(XLOOKUP(A40,INPUT_Rooms!$B:$B,INPUT_Rooms!$Z:$Z,"")="Y", SUMPRODUCT((INPUT_Openings!$A:$A=$B$4)*(INPUT_Openings!$B:$B=A40)*(INPUT_Openings!$D:$D)*XLOOKUP(INPUT_Openings!$C:$C,Constants!$A$30:$A$200,Constants!$E$30:$E$200,"",0)*(INPUT_Openings!$E:$E="Window")), 0),IF(C40="Door Casing", IF(XLOOKUP(A40,INPUT_Rooms!$B:$B,INPUT_Rooms!$AA:$AA,"")="Y", SUMPRODUCT((INPUT_Openings!$A:$A=$B$4)*(INPUT_Openings!$B:$B=A40)*(INPUT_Openings!$D:$D)*XLOOKUP(INPUT_Openings!$C:$C,Constants!$A$30:$A$200,Constants!$E$30:$E$200,"",0)*(INPUT_Openings!$E:$E="Door")), 0),IF(C40="Doors (leaf)", IF(XLOOKUP(A40,INPUT_Rooms!$B:$B,INPUT_Rooms!$AB:$AB,"")="Y", SUMPRODUCT((INPUT_Doors!$A:$A=$B$4)*(INPUT_Doors!$B:$B=A40)*(INPUT_Doors!$D:$D)*(INPUT_Doors!$E:$E)), 0), 0))))))</f>
        <v/>
      </c>
      <c r="F40" s="6">
        <f>IF(A40="","", XLOOKUP(A40, INPUT_Rooms!$B:$B, INPUT_Rooms!$U:$U, ""))</f>
        <v/>
      </c>
      <c r="G40" s="6">
        <f>IF(A40="","", XLOOKUP(A40, INPUT_Rooms!$B:$B, INPUT_Rooms!$V:$V, ""))</f>
        <v/>
      </c>
      <c r="H40" s="6">
        <f>IF(A40="","", IF(XLOOKUP(A40, INPUT_Rooms!$B:$B, INPUT_Rooms!$W:$W, "")="", $B$5, XLOOKUP(A40, INPUT_Rooms!$B:$B, INPUT_Rooms!$W:$W, "")))</f>
        <v/>
      </c>
      <c r="I40" s="6">
        <f>IF(A40="","", IF(C40="Doors (leaf)", 0, E40*XLOOKUP(C40,Constants!$A$40:$A$200,Constants!$C$40:$C$200,0,0)*XLOOKUP(H40,Constants!$E$10:$E$30,Constants!$F$10:$F$30)))</f>
        <v/>
      </c>
      <c r="J40" s="6">
        <f>IF(A40="","", IF(C40="Doors (leaf)", 0, E40*XLOOKUP(C40,Constants!$A$40:$A$200,Constants!$D$40:$D$200,0,0)*G40))</f>
        <v/>
      </c>
      <c r="K40" s="6">
        <f>IF(A40="","", IF(C40="Doors (leaf)", 0, IF(F40="Full", E40*XLOOKUP(C40,Constants!$A$40:$A$200,Constants!$E$40:$E$200,0,0), IF(F40="Spot", E40*XLOOKUP(C40,Constants!$A$40:$A$200,Constants!$E$40:$E$200,0,0)*0.35, 0))))</f>
        <v/>
      </c>
      <c r="L40">
        <f>IF(A40="","",0)</f>
        <v/>
      </c>
      <c r="M40" s="6">
        <f>IF(A40="","", SUM(I40:K40))</f>
        <v/>
      </c>
      <c r="N40" s="6">
        <f>IF(A40="","", L40/60)</f>
        <v/>
      </c>
      <c r="O40" s="6">
        <f>IF($A40="","", IFERROR($N40*IFERROR(IF(XLOOKUP('Job Control'!$B$3, INPUT_JobSettings!$A:$A, INPUT_JobSettings!$F:$F, "")&lt;&gt;"",XLOOKUP('Job Control'!$B$3, INPUT_JobSettings!$A:$A, INPUT_JobSettings!$F:$F, ""),$B$6),$B$6),0))</f>
        <v/>
      </c>
      <c r="P40" s="6">
        <f>IF($A40="","", IFERROR(($O40+$L40)*IFERROR(IF(XLOOKUP('Job Control'!$B$3, INPUT_JobSettings!$A:$A, INPUT_JobSettings!$G:$G, "")&lt;&gt;"",XLOOKUP('Job Control'!$B$3, INPUT_JobSettings!$A:$A, INPUT_JobSettings!$G:$G, ""),$B$7),$B$7),0))</f>
        <v/>
      </c>
    </row>
    <row r="41">
      <c r="A41" s="6">
        <f>IFERROR(INDEX(FILTER(INPUT_Rooms!$B$4:$B$83, INPUT_Rooms!$A$4:$A$83=$B$4, INPUT_Rooms!$T$4:$T$83="Y"), 7), "")</f>
        <v/>
      </c>
      <c r="B41" s="6">
        <f>IF(A41="","", XLOOKUP(A41, FILTER(INPUT_Rooms!$B$4:$B$83, INPUT_Rooms!$A$4:$A$83=$B$4), FILTER(INPUT_Rooms!$C$4:$C$83, INPUT_Rooms!$A$4:$A$83=$B$4), ""))</f>
        <v/>
      </c>
      <c r="C41" s="6">
        <f>IF(A41="","", CHOOSE(1,"Baseboard","Crown","Window Casing","Door Casing","Doors (leaf)"))</f>
        <v/>
      </c>
      <c r="D41" s="6">
        <f>IF(A41="","", XLOOKUP(C41,Constants!$A$40:$A$200,Constants!$B$40:$B$200,"",0))</f>
        <v/>
      </c>
      <c r="E41" s="6">
        <f>IF(A41="","", IF(C41="Baseboard", IF(XLOOKUP(A41,INPUT_Rooms!$B:$B,INPUT_Rooms!$X:$X,"")="Y", XLOOKUP(A41,INPUT_Rooms!$B:$B,INPUT_Rooms!$AF:$AF,""), 0),IF(C41="Crown", IF(XLOOKUP(A41,INPUT_Rooms!$B:$B,INPUT_Rooms!$Y:$Y,"")="Y", XLOOKUP(A41,INPUT_Rooms!$B:$B,INPUT_Rooms!$AG:$AG,""), 0),IF(C41="Window Casing", IF(XLOOKUP(A41,INPUT_Rooms!$B:$B,INPUT_Rooms!$Z:$Z,"")="Y", SUMPRODUCT((INPUT_Openings!$A:$A=$B$4)*(INPUT_Openings!$B:$B=A41)*(INPUT_Openings!$D:$D)*XLOOKUP(INPUT_Openings!$C:$C,Constants!$A$30:$A$200,Constants!$E$30:$E$200,"",0)*(INPUT_Openings!$E:$E="Window")), 0),IF(C41="Door Casing", IF(XLOOKUP(A41,INPUT_Rooms!$B:$B,INPUT_Rooms!$AA:$AA,"")="Y", SUMPRODUCT((INPUT_Openings!$A:$A=$B$4)*(INPUT_Openings!$B:$B=A41)*(INPUT_Openings!$D:$D)*XLOOKUP(INPUT_Openings!$C:$C,Constants!$A$30:$A$200,Constants!$E$30:$E$200,"",0)*(INPUT_Openings!$E:$E="Door")), 0),IF(C41="Doors (leaf)", IF(XLOOKUP(A41,INPUT_Rooms!$B:$B,INPUT_Rooms!$AB:$AB,"")="Y", SUMPRODUCT((INPUT_Doors!$A:$A=$B$4)*(INPUT_Doors!$B:$B=A41)*(INPUT_Doors!$D:$D)*(INPUT_Doors!$E:$E)), 0), 0))))))</f>
        <v/>
      </c>
      <c r="F41" s="6">
        <f>IF(A41="","", XLOOKUP(A41, INPUT_Rooms!$B:$B, INPUT_Rooms!$U:$U, ""))</f>
        <v/>
      </c>
      <c r="G41" s="6">
        <f>IF(A41="","", XLOOKUP(A41, INPUT_Rooms!$B:$B, INPUT_Rooms!$V:$V, ""))</f>
        <v/>
      </c>
      <c r="H41" s="6">
        <f>IF(A41="","", IF(XLOOKUP(A41, INPUT_Rooms!$B:$B, INPUT_Rooms!$W:$W, "")="", $B$5, XLOOKUP(A41, INPUT_Rooms!$B:$B, INPUT_Rooms!$W:$W, "")))</f>
        <v/>
      </c>
      <c r="I41" s="6">
        <f>IF(A41="","", IF(C41="Doors (leaf)", 0, E41*XLOOKUP(C41,Constants!$A$40:$A$200,Constants!$C$40:$C$200,0,0)*XLOOKUP(H41,Constants!$E$10:$E$30,Constants!$F$10:$F$30)))</f>
        <v/>
      </c>
      <c r="J41" s="6">
        <f>IF(A41="","", IF(C41="Doors (leaf)", 0, E41*XLOOKUP(C41,Constants!$A$40:$A$200,Constants!$D$40:$D$200,0,0)*G41))</f>
        <v/>
      </c>
      <c r="K41" s="6">
        <f>IF(A41="","", IF(C41="Doors (leaf)", 0, IF(F41="Full", E41*XLOOKUP(C41,Constants!$A$40:$A$200,Constants!$E$40:$E$200,0,0), IF(F41="Spot", E41*XLOOKUP(C41,Constants!$A$40:$A$200,Constants!$E$40:$E$200,0,0)*0.35, 0))))</f>
        <v/>
      </c>
      <c r="L41">
        <f>IF(A41="","",0)</f>
        <v/>
      </c>
      <c r="M41" s="6">
        <f>IF(A41="","", SUM(I41:K41))</f>
        <v/>
      </c>
      <c r="N41" s="6">
        <f>IF(A41="","", L41/60)</f>
        <v/>
      </c>
      <c r="O41" s="6">
        <f>IF($A41="","", IFERROR($N41*IFERROR(IF(XLOOKUP('Job Control'!$B$3, INPUT_JobSettings!$A:$A, INPUT_JobSettings!$F:$F, "")&lt;&gt;"",XLOOKUP('Job Control'!$B$3, INPUT_JobSettings!$A:$A, INPUT_JobSettings!$F:$F, ""),$B$6),$B$6),0))</f>
        <v/>
      </c>
      <c r="P41" s="6">
        <f>IF($A41="","", IFERROR(($O41+$L41)*IFERROR(IF(XLOOKUP('Job Control'!$B$3, INPUT_JobSettings!$A:$A, INPUT_JobSettings!$G:$G, "")&lt;&gt;"",XLOOKUP('Job Control'!$B$3, INPUT_JobSettings!$A:$A, INPUT_JobSettings!$G:$G, ""),$B$7),$B$7),0))</f>
        <v/>
      </c>
    </row>
    <row r="42">
      <c r="A42" s="6">
        <f>IFERROR(INDEX(FILTER(INPUT_Rooms!$B$4:$B$83, INPUT_Rooms!$A$4:$A$83=$B$4, INPUT_Rooms!$T$4:$T$83="Y"), 7), "")</f>
        <v/>
      </c>
      <c r="B42" s="6">
        <f>IF(A42="","", XLOOKUP(A42, FILTER(INPUT_Rooms!$B$4:$B$83, INPUT_Rooms!$A$4:$A$83=$B$4), FILTER(INPUT_Rooms!$C$4:$C$83, INPUT_Rooms!$A$4:$A$83=$B$4), ""))</f>
        <v/>
      </c>
      <c r="C42" s="6">
        <f>IF(A42="","", CHOOSE(2,"Baseboard","Crown","Window Casing","Door Casing","Doors (leaf)"))</f>
        <v/>
      </c>
      <c r="D42" s="6">
        <f>IF(A42="","", XLOOKUP(C42,Constants!$A$40:$A$200,Constants!$B$40:$B$200,"",0))</f>
        <v/>
      </c>
      <c r="E42" s="6">
        <f>IF(A42="","", IF(C42="Baseboard", IF(XLOOKUP(A42,INPUT_Rooms!$B:$B,INPUT_Rooms!$X:$X,"")="Y", XLOOKUP(A42,INPUT_Rooms!$B:$B,INPUT_Rooms!$AF:$AF,""), 0),IF(C42="Crown", IF(XLOOKUP(A42,INPUT_Rooms!$B:$B,INPUT_Rooms!$Y:$Y,"")="Y", XLOOKUP(A42,INPUT_Rooms!$B:$B,INPUT_Rooms!$AG:$AG,""), 0),IF(C42="Window Casing", IF(XLOOKUP(A42,INPUT_Rooms!$B:$B,INPUT_Rooms!$Z:$Z,"")="Y", SUMPRODUCT((INPUT_Openings!$A:$A=$B$4)*(INPUT_Openings!$B:$B=A42)*(INPUT_Openings!$D:$D)*XLOOKUP(INPUT_Openings!$C:$C,Constants!$A$30:$A$200,Constants!$E$30:$E$200,"",0)*(INPUT_Openings!$E:$E="Window")), 0),IF(C42="Door Casing", IF(XLOOKUP(A42,INPUT_Rooms!$B:$B,INPUT_Rooms!$AA:$AA,"")="Y", SUMPRODUCT((INPUT_Openings!$A:$A=$B$4)*(INPUT_Openings!$B:$B=A42)*(INPUT_Openings!$D:$D)*XLOOKUP(INPUT_Openings!$C:$C,Constants!$A$30:$A$200,Constants!$E$30:$E$200,"",0)*(INPUT_Openings!$E:$E="Door")), 0),IF(C42="Doors (leaf)", IF(XLOOKUP(A42,INPUT_Rooms!$B:$B,INPUT_Rooms!$AB:$AB,"")="Y", SUMPRODUCT((INPUT_Doors!$A:$A=$B$4)*(INPUT_Doors!$B:$B=A42)*(INPUT_Doors!$D:$D)*(INPUT_Doors!$E:$E)), 0), 0))))))</f>
        <v/>
      </c>
      <c r="F42" s="6">
        <f>IF(A42="","", XLOOKUP(A42, INPUT_Rooms!$B:$B, INPUT_Rooms!$U:$U, ""))</f>
        <v/>
      </c>
      <c r="G42" s="6">
        <f>IF(A42="","", XLOOKUP(A42, INPUT_Rooms!$B:$B, INPUT_Rooms!$V:$V, ""))</f>
        <v/>
      </c>
      <c r="H42" s="6">
        <f>IF(A42="","", IF(XLOOKUP(A42, INPUT_Rooms!$B:$B, INPUT_Rooms!$W:$W, "")="", $B$5, XLOOKUP(A42, INPUT_Rooms!$B:$B, INPUT_Rooms!$W:$W, "")))</f>
        <v/>
      </c>
      <c r="I42" s="6">
        <f>IF(A42="","", IF(C42="Doors (leaf)", 0, E42*XLOOKUP(C42,Constants!$A$40:$A$200,Constants!$C$40:$C$200,0,0)*XLOOKUP(H42,Constants!$E$10:$E$30,Constants!$F$10:$F$30)))</f>
        <v/>
      </c>
      <c r="J42" s="6">
        <f>IF(A42="","", IF(C42="Doors (leaf)", 0, E42*XLOOKUP(C42,Constants!$A$40:$A$200,Constants!$D$40:$D$200,0,0)*G42))</f>
        <v/>
      </c>
      <c r="K42" s="6">
        <f>IF(A42="","", IF(C42="Doors (leaf)", 0, IF(F42="Full", E42*XLOOKUP(C42,Constants!$A$40:$A$200,Constants!$E$40:$E$200,0,0), IF(F42="Spot", E42*XLOOKUP(C42,Constants!$A$40:$A$200,Constants!$E$40:$E$200,0,0)*0.35, 0))))</f>
        <v/>
      </c>
      <c r="L42">
        <f>IF(A42="","",0)</f>
        <v/>
      </c>
      <c r="M42" s="6">
        <f>IF(A42="","", SUM(I42:K42))</f>
        <v/>
      </c>
      <c r="N42" s="6">
        <f>IF(A42="","", L42/60)</f>
        <v/>
      </c>
      <c r="O42" s="6">
        <f>IF($A42="","", IFERROR($N42*IFERROR(IF(XLOOKUP('Job Control'!$B$3, INPUT_JobSettings!$A:$A, INPUT_JobSettings!$F:$F, "")&lt;&gt;"",XLOOKUP('Job Control'!$B$3, INPUT_JobSettings!$A:$A, INPUT_JobSettings!$F:$F, ""),$B$6),$B$6),0))</f>
        <v/>
      </c>
      <c r="P42" s="6">
        <f>IF($A42="","", IFERROR(($O42+$L42)*IFERROR(IF(XLOOKUP('Job Control'!$B$3, INPUT_JobSettings!$A:$A, INPUT_JobSettings!$G:$G, "")&lt;&gt;"",XLOOKUP('Job Control'!$B$3, INPUT_JobSettings!$A:$A, INPUT_JobSettings!$G:$G, ""),$B$7),$B$7),0))</f>
        <v/>
      </c>
    </row>
    <row r="43">
      <c r="A43" s="6">
        <f>IFERROR(INDEX(FILTER(INPUT_Rooms!$B$4:$B$83, INPUT_Rooms!$A$4:$A$83=$B$4, INPUT_Rooms!$T$4:$T$83="Y"), 7), "")</f>
        <v/>
      </c>
      <c r="B43" s="6">
        <f>IF(A43="","", XLOOKUP(A43, FILTER(INPUT_Rooms!$B$4:$B$83, INPUT_Rooms!$A$4:$A$83=$B$4), FILTER(INPUT_Rooms!$C$4:$C$83, INPUT_Rooms!$A$4:$A$83=$B$4), ""))</f>
        <v/>
      </c>
      <c r="C43" s="6">
        <f>IF(A43="","", CHOOSE(3,"Baseboard","Crown","Window Casing","Door Casing","Doors (leaf)"))</f>
        <v/>
      </c>
      <c r="D43" s="6">
        <f>IF(A43="","", XLOOKUP(C43,Constants!$A$40:$A$200,Constants!$B$40:$B$200,"",0))</f>
        <v/>
      </c>
      <c r="E43" s="6">
        <f>IF(A43="","", IF(C43="Baseboard", IF(XLOOKUP(A43,INPUT_Rooms!$B:$B,INPUT_Rooms!$X:$X,"")="Y", XLOOKUP(A43,INPUT_Rooms!$B:$B,INPUT_Rooms!$AF:$AF,""), 0),IF(C43="Crown", IF(XLOOKUP(A43,INPUT_Rooms!$B:$B,INPUT_Rooms!$Y:$Y,"")="Y", XLOOKUP(A43,INPUT_Rooms!$B:$B,INPUT_Rooms!$AG:$AG,""), 0),IF(C43="Window Casing", IF(XLOOKUP(A43,INPUT_Rooms!$B:$B,INPUT_Rooms!$Z:$Z,"")="Y", SUMPRODUCT((INPUT_Openings!$A:$A=$B$4)*(INPUT_Openings!$B:$B=A43)*(INPUT_Openings!$D:$D)*XLOOKUP(INPUT_Openings!$C:$C,Constants!$A$30:$A$200,Constants!$E$30:$E$200,"",0)*(INPUT_Openings!$E:$E="Window")), 0),IF(C43="Door Casing", IF(XLOOKUP(A43,INPUT_Rooms!$B:$B,INPUT_Rooms!$AA:$AA,"")="Y", SUMPRODUCT((INPUT_Openings!$A:$A=$B$4)*(INPUT_Openings!$B:$B=A43)*(INPUT_Openings!$D:$D)*XLOOKUP(INPUT_Openings!$C:$C,Constants!$A$30:$A$200,Constants!$E$30:$E$200,"",0)*(INPUT_Openings!$E:$E="Door")), 0),IF(C43="Doors (leaf)", IF(XLOOKUP(A43,INPUT_Rooms!$B:$B,INPUT_Rooms!$AB:$AB,"")="Y", SUMPRODUCT((INPUT_Doors!$A:$A=$B$4)*(INPUT_Doors!$B:$B=A43)*(INPUT_Doors!$D:$D)*(INPUT_Doors!$E:$E)), 0), 0))))))</f>
        <v/>
      </c>
      <c r="F43" s="6">
        <f>IF(A43="","", XLOOKUP(A43, INPUT_Rooms!$B:$B, INPUT_Rooms!$U:$U, ""))</f>
        <v/>
      </c>
      <c r="G43" s="6">
        <f>IF(A43="","", XLOOKUP(A43, INPUT_Rooms!$B:$B, INPUT_Rooms!$V:$V, ""))</f>
        <v/>
      </c>
      <c r="H43" s="6">
        <f>IF(A43="","", IF(XLOOKUP(A43, INPUT_Rooms!$B:$B, INPUT_Rooms!$W:$W, "")="", $B$5, XLOOKUP(A43, INPUT_Rooms!$B:$B, INPUT_Rooms!$W:$W, "")))</f>
        <v/>
      </c>
      <c r="I43" s="6">
        <f>IF(A43="","", IF(C43="Doors (leaf)", 0, E43*XLOOKUP(C43,Constants!$A$40:$A$200,Constants!$C$40:$C$200,0,0)*XLOOKUP(H43,Constants!$E$10:$E$30,Constants!$F$10:$F$30)))</f>
        <v/>
      </c>
      <c r="J43" s="6">
        <f>IF(A43="","", IF(C43="Doors (leaf)", 0, E43*XLOOKUP(C43,Constants!$A$40:$A$200,Constants!$D$40:$D$200,0,0)*G43))</f>
        <v/>
      </c>
      <c r="K43" s="6">
        <f>IF(A43="","", IF(C43="Doors (leaf)", 0, IF(F43="Full", E43*XLOOKUP(C43,Constants!$A$40:$A$200,Constants!$E$40:$E$200,0,0), IF(F43="Spot", E43*XLOOKUP(C43,Constants!$A$40:$A$200,Constants!$E$40:$E$200,0,0)*0.35, 0))))</f>
        <v/>
      </c>
      <c r="L43">
        <f>IF(A43="","",0)</f>
        <v/>
      </c>
      <c r="M43" s="6">
        <f>IF(A43="","", SUM(I43:K43))</f>
        <v/>
      </c>
      <c r="N43" s="6">
        <f>IF(A43="","", L43/60)</f>
        <v/>
      </c>
      <c r="O43" s="6">
        <f>IF($A43="","", IFERROR($N43*IFERROR(IF(XLOOKUP('Job Control'!$B$3, INPUT_JobSettings!$A:$A, INPUT_JobSettings!$F:$F, "")&lt;&gt;"",XLOOKUP('Job Control'!$B$3, INPUT_JobSettings!$A:$A, INPUT_JobSettings!$F:$F, ""),$B$6),$B$6),0))</f>
        <v/>
      </c>
      <c r="P43" s="6">
        <f>IF($A43="","", IFERROR(($O43+$L43)*IFERROR(IF(XLOOKUP('Job Control'!$B$3, INPUT_JobSettings!$A:$A, INPUT_JobSettings!$G:$G, "")&lt;&gt;"",XLOOKUP('Job Control'!$B$3, INPUT_JobSettings!$A:$A, INPUT_JobSettings!$G:$G, ""),$B$7),$B$7),0))</f>
        <v/>
      </c>
    </row>
    <row r="44">
      <c r="A44" s="6">
        <f>IFERROR(INDEX(FILTER(INPUT_Rooms!$B$4:$B$83, INPUT_Rooms!$A$4:$A$83=$B$4, INPUT_Rooms!$T$4:$T$83="Y"), 7), "")</f>
        <v/>
      </c>
      <c r="B44" s="6">
        <f>IF(A44="","", XLOOKUP(A44, FILTER(INPUT_Rooms!$B$4:$B$83, INPUT_Rooms!$A$4:$A$83=$B$4), FILTER(INPUT_Rooms!$C$4:$C$83, INPUT_Rooms!$A$4:$A$83=$B$4), ""))</f>
        <v/>
      </c>
      <c r="C44" s="6">
        <f>IF(A44="","", CHOOSE(4,"Baseboard","Crown","Window Casing","Door Casing","Doors (leaf)"))</f>
        <v/>
      </c>
      <c r="D44" s="6">
        <f>IF(A44="","", XLOOKUP(C44,Constants!$A$40:$A$200,Constants!$B$40:$B$200,"",0))</f>
        <v/>
      </c>
      <c r="E44" s="6">
        <f>IF(A44="","", IF(C44="Baseboard", IF(XLOOKUP(A44,INPUT_Rooms!$B:$B,INPUT_Rooms!$X:$X,"")="Y", XLOOKUP(A44,INPUT_Rooms!$B:$B,INPUT_Rooms!$AF:$AF,""), 0),IF(C44="Crown", IF(XLOOKUP(A44,INPUT_Rooms!$B:$B,INPUT_Rooms!$Y:$Y,"")="Y", XLOOKUP(A44,INPUT_Rooms!$B:$B,INPUT_Rooms!$AG:$AG,""), 0),IF(C44="Window Casing", IF(XLOOKUP(A44,INPUT_Rooms!$B:$B,INPUT_Rooms!$Z:$Z,"")="Y", SUMPRODUCT((INPUT_Openings!$A:$A=$B$4)*(INPUT_Openings!$B:$B=A44)*(INPUT_Openings!$D:$D)*XLOOKUP(INPUT_Openings!$C:$C,Constants!$A$30:$A$200,Constants!$E$30:$E$200,"",0)*(INPUT_Openings!$E:$E="Window")), 0),IF(C44="Door Casing", IF(XLOOKUP(A44,INPUT_Rooms!$B:$B,INPUT_Rooms!$AA:$AA,"")="Y", SUMPRODUCT((INPUT_Openings!$A:$A=$B$4)*(INPUT_Openings!$B:$B=A44)*(INPUT_Openings!$D:$D)*XLOOKUP(INPUT_Openings!$C:$C,Constants!$A$30:$A$200,Constants!$E$30:$E$200,"",0)*(INPUT_Openings!$E:$E="Door")), 0),IF(C44="Doors (leaf)", IF(XLOOKUP(A44,INPUT_Rooms!$B:$B,INPUT_Rooms!$AB:$AB,"")="Y", SUMPRODUCT((INPUT_Doors!$A:$A=$B$4)*(INPUT_Doors!$B:$B=A44)*(INPUT_Doors!$D:$D)*(INPUT_Doors!$E:$E)), 0), 0))))))</f>
        <v/>
      </c>
      <c r="F44" s="6">
        <f>IF(A44="","", XLOOKUP(A44, INPUT_Rooms!$B:$B, INPUT_Rooms!$U:$U, ""))</f>
        <v/>
      </c>
      <c r="G44" s="6">
        <f>IF(A44="","", XLOOKUP(A44, INPUT_Rooms!$B:$B, INPUT_Rooms!$V:$V, ""))</f>
        <v/>
      </c>
      <c r="H44" s="6">
        <f>IF(A44="","", IF(XLOOKUP(A44, INPUT_Rooms!$B:$B, INPUT_Rooms!$W:$W, "")="", $B$5, XLOOKUP(A44, INPUT_Rooms!$B:$B, INPUT_Rooms!$W:$W, "")))</f>
        <v/>
      </c>
      <c r="I44" s="6">
        <f>IF(A44="","", IF(C44="Doors (leaf)", 0, E44*XLOOKUP(C44,Constants!$A$40:$A$200,Constants!$C$40:$C$200,0,0)*XLOOKUP(H44,Constants!$E$10:$E$30,Constants!$F$10:$F$30)))</f>
        <v/>
      </c>
      <c r="J44" s="6">
        <f>IF(A44="","", IF(C44="Doors (leaf)", 0, E44*XLOOKUP(C44,Constants!$A$40:$A$200,Constants!$D$40:$D$200,0,0)*G44))</f>
        <v/>
      </c>
      <c r="K44" s="6">
        <f>IF(A44="","", IF(C44="Doors (leaf)", 0, IF(F44="Full", E44*XLOOKUP(C44,Constants!$A$40:$A$200,Constants!$E$40:$E$200,0,0), IF(F44="Spot", E44*XLOOKUP(C44,Constants!$A$40:$A$200,Constants!$E$40:$E$200,0,0)*0.35, 0))))</f>
        <v/>
      </c>
      <c r="L44">
        <f>IF(A44="","",0)</f>
        <v/>
      </c>
      <c r="M44" s="6">
        <f>IF(A44="","", SUM(I44:K44))</f>
        <v/>
      </c>
      <c r="N44" s="6">
        <f>IF(A44="","", L44/60)</f>
        <v/>
      </c>
      <c r="O44" s="6">
        <f>IF($A44="","", IFERROR($N44*IFERROR(IF(XLOOKUP('Job Control'!$B$3, INPUT_JobSettings!$A:$A, INPUT_JobSettings!$F:$F, "")&lt;&gt;"",XLOOKUP('Job Control'!$B$3, INPUT_JobSettings!$A:$A, INPUT_JobSettings!$F:$F, ""),$B$6),$B$6),0))</f>
        <v/>
      </c>
      <c r="P44" s="6">
        <f>IF($A44="","", IFERROR(($O44+$L44)*IFERROR(IF(XLOOKUP('Job Control'!$B$3, INPUT_JobSettings!$A:$A, INPUT_JobSettings!$G:$G, "")&lt;&gt;"",XLOOKUP('Job Control'!$B$3, INPUT_JobSettings!$A:$A, INPUT_JobSettings!$G:$G, ""),$B$7),$B$7),0))</f>
        <v/>
      </c>
    </row>
    <row r="45">
      <c r="A45" s="6">
        <f>IFERROR(INDEX(FILTER(INPUT_Rooms!$B$4:$B$83, INPUT_Rooms!$A$4:$A$83=$B$4, INPUT_Rooms!$T$4:$T$83="Y"), 7), "")</f>
        <v/>
      </c>
      <c r="B45" s="6">
        <f>IF(A45="","", XLOOKUP(A45, FILTER(INPUT_Rooms!$B$4:$B$83, INPUT_Rooms!$A$4:$A$83=$B$4), FILTER(INPUT_Rooms!$C$4:$C$83, INPUT_Rooms!$A$4:$A$83=$B$4), ""))</f>
        <v/>
      </c>
      <c r="C45" s="6">
        <f>IF(A45="","", CHOOSE(5,"Baseboard","Crown","Window Casing","Door Casing","Doors (leaf)"))</f>
        <v/>
      </c>
      <c r="D45" s="6">
        <f>IF(A45="","", XLOOKUP(C45,Constants!$A$40:$A$200,Constants!$B$40:$B$200,"",0))</f>
        <v/>
      </c>
      <c r="E45" s="6">
        <f>IF(A45="","", IF(C45="Baseboard", IF(XLOOKUP(A45,INPUT_Rooms!$B:$B,INPUT_Rooms!$X:$X,"")="Y", XLOOKUP(A45,INPUT_Rooms!$B:$B,INPUT_Rooms!$AF:$AF,""), 0),IF(C45="Crown", IF(XLOOKUP(A45,INPUT_Rooms!$B:$B,INPUT_Rooms!$Y:$Y,"")="Y", XLOOKUP(A45,INPUT_Rooms!$B:$B,INPUT_Rooms!$AG:$AG,""), 0),IF(C45="Window Casing", IF(XLOOKUP(A45,INPUT_Rooms!$B:$B,INPUT_Rooms!$Z:$Z,"")="Y", SUMPRODUCT((INPUT_Openings!$A:$A=$B$4)*(INPUT_Openings!$B:$B=A45)*(INPUT_Openings!$D:$D)*XLOOKUP(INPUT_Openings!$C:$C,Constants!$A$30:$A$200,Constants!$E$30:$E$200,"",0)*(INPUT_Openings!$E:$E="Window")), 0),IF(C45="Door Casing", IF(XLOOKUP(A45,INPUT_Rooms!$B:$B,INPUT_Rooms!$AA:$AA,"")="Y", SUMPRODUCT((INPUT_Openings!$A:$A=$B$4)*(INPUT_Openings!$B:$B=A45)*(INPUT_Openings!$D:$D)*XLOOKUP(INPUT_Openings!$C:$C,Constants!$A$30:$A$200,Constants!$E$30:$E$200,"",0)*(INPUT_Openings!$E:$E="Door")), 0),IF(C45="Doors (leaf)", IF(XLOOKUP(A45,INPUT_Rooms!$B:$B,INPUT_Rooms!$AB:$AB,"")="Y", SUMPRODUCT((INPUT_Doors!$A:$A=$B$4)*(INPUT_Doors!$B:$B=A45)*(INPUT_Doors!$D:$D)*(INPUT_Doors!$E:$E)), 0), 0))))))</f>
        <v/>
      </c>
      <c r="F45" s="6">
        <f>IF(A45="","", XLOOKUP(A45, INPUT_Rooms!$B:$B, INPUT_Rooms!$U:$U, ""))</f>
        <v/>
      </c>
      <c r="G45" s="6">
        <f>IF(A45="","", XLOOKUP(A45, INPUT_Rooms!$B:$B, INPUT_Rooms!$V:$V, ""))</f>
        <v/>
      </c>
      <c r="H45" s="6">
        <f>IF(A45="","", IF(XLOOKUP(A45, INPUT_Rooms!$B:$B, INPUT_Rooms!$W:$W, "")="", $B$5, XLOOKUP(A45, INPUT_Rooms!$B:$B, INPUT_Rooms!$W:$W, "")))</f>
        <v/>
      </c>
      <c r="I45" s="6">
        <f>IF(A45="","", IF(C45="Doors (leaf)", 0, E45*XLOOKUP(C45,Constants!$A$40:$A$200,Constants!$C$40:$C$200,0,0)*XLOOKUP(H45,Constants!$E$10:$E$30,Constants!$F$10:$F$30)))</f>
        <v/>
      </c>
      <c r="J45" s="6">
        <f>IF(A45="","", IF(C45="Doors (leaf)", 0, E45*XLOOKUP(C45,Constants!$A$40:$A$200,Constants!$D$40:$D$200,0,0)*G45))</f>
        <v/>
      </c>
      <c r="K45" s="6">
        <f>IF(A45="","", IF(C45="Doors (leaf)", 0, IF(F45="Full", E45*XLOOKUP(C45,Constants!$A$40:$A$200,Constants!$E$40:$E$200,0,0), IF(F45="Spot", E45*XLOOKUP(C45,Constants!$A$40:$A$200,Constants!$E$40:$E$200,0,0)*0.35, 0))))</f>
        <v/>
      </c>
      <c r="L45">
        <f>IF(A45="","",0)</f>
        <v/>
      </c>
      <c r="M45" s="6">
        <f>IF(A45="","", SUM(I45:K45))</f>
        <v/>
      </c>
      <c r="N45" s="6">
        <f>IF(A45="","", L45/60)</f>
        <v/>
      </c>
      <c r="O45" s="6">
        <f>IF($A45="","", IFERROR($N45*IFERROR(IF(XLOOKUP('Job Control'!$B$3, INPUT_JobSettings!$A:$A, INPUT_JobSettings!$F:$F, "")&lt;&gt;"",XLOOKUP('Job Control'!$B$3, INPUT_JobSettings!$A:$A, INPUT_JobSettings!$F:$F, ""),$B$6),$B$6),0))</f>
        <v/>
      </c>
      <c r="P45" s="6">
        <f>IF($A45="","", IFERROR(($O45+$L45)*IFERROR(IF(XLOOKUP('Job Control'!$B$3, INPUT_JobSettings!$A:$A, INPUT_JobSettings!$G:$G, "")&lt;&gt;"",XLOOKUP('Job Control'!$B$3, INPUT_JobSettings!$A:$A, INPUT_JobSettings!$G:$G, ""),$B$7),$B$7),0))</f>
        <v/>
      </c>
    </row>
    <row r="46">
      <c r="A46" s="6">
        <f>IFERROR(INDEX(FILTER(INPUT_Rooms!$B$4:$B$83, INPUT_Rooms!$A$4:$A$83=$B$4, INPUT_Rooms!$T$4:$T$83="Y"), 8), "")</f>
        <v/>
      </c>
      <c r="B46" s="6">
        <f>IF(A46="","", XLOOKUP(A46, FILTER(INPUT_Rooms!$B$4:$B$83, INPUT_Rooms!$A$4:$A$83=$B$4), FILTER(INPUT_Rooms!$C$4:$C$83, INPUT_Rooms!$A$4:$A$83=$B$4), ""))</f>
        <v/>
      </c>
      <c r="C46" s="6">
        <f>IF(A46="","", CHOOSE(1,"Baseboard","Crown","Window Casing","Door Casing","Doors (leaf)"))</f>
        <v/>
      </c>
      <c r="D46" s="6">
        <f>IF(A46="","", XLOOKUP(C46,Constants!$A$40:$A$200,Constants!$B$40:$B$200,"",0))</f>
        <v/>
      </c>
      <c r="E46" s="6">
        <f>IF(A46="","", IF(C46="Baseboard", IF(XLOOKUP(A46,INPUT_Rooms!$B:$B,INPUT_Rooms!$X:$X,"")="Y", XLOOKUP(A46,INPUT_Rooms!$B:$B,INPUT_Rooms!$AF:$AF,""), 0),IF(C46="Crown", IF(XLOOKUP(A46,INPUT_Rooms!$B:$B,INPUT_Rooms!$Y:$Y,"")="Y", XLOOKUP(A46,INPUT_Rooms!$B:$B,INPUT_Rooms!$AG:$AG,""), 0),IF(C46="Window Casing", IF(XLOOKUP(A46,INPUT_Rooms!$B:$B,INPUT_Rooms!$Z:$Z,"")="Y", SUMPRODUCT((INPUT_Openings!$A:$A=$B$4)*(INPUT_Openings!$B:$B=A46)*(INPUT_Openings!$D:$D)*XLOOKUP(INPUT_Openings!$C:$C,Constants!$A$30:$A$200,Constants!$E$30:$E$200,"",0)*(INPUT_Openings!$E:$E="Window")), 0),IF(C46="Door Casing", IF(XLOOKUP(A46,INPUT_Rooms!$B:$B,INPUT_Rooms!$AA:$AA,"")="Y", SUMPRODUCT((INPUT_Openings!$A:$A=$B$4)*(INPUT_Openings!$B:$B=A46)*(INPUT_Openings!$D:$D)*XLOOKUP(INPUT_Openings!$C:$C,Constants!$A$30:$A$200,Constants!$E$30:$E$200,"",0)*(INPUT_Openings!$E:$E="Door")), 0),IF(C46="Doors (leaf)", IF(XLOOKUP(A46,INPUT_Rooms!$B:$B,INPUT_Rooms!$AB:$AB,"")="Y", SUMPRODUCT((INPUT_Doors!$A:$A=$B$4)*(INPUT_Doors!$B:$B=A46)*(INPUT_Doors!$D:$D)*(INPUT_Doors!$E:$E)), 0), 0))))))</f>
        <v/>
      </c>
      <c r="F46" s="6">
        <f>IF(A46="","", XLOOKUP(A46, INPUT_Rooms!$B:$B, INPUT_Rooms!$U:$U, ""))</f>
        <v/>
      </c>
      <c r="G46" s="6">
        <f>IF(A46="","", XLOOKUP(A46, INPUT_Rooms!$B:$B, INPUT_Rooms!$V:$V, ""))</f>
        <v/>
      </c>
      <c r="H46" s="6">
        <f>IF(A46="","", IF(XLOOKUP(A46, INPUT_Rooms!$B:$B, INPUT_Rooms!$W:$W, "")="", $B$5, XLOOKUP(A46, INPUT_Rooms!$B:$B, INPUT_Rooms!$W:$W, "")))</f>
        <v/>
      </c>
      <c r="I46" s="6">
        <f>IF(A46="","", IF(C46="Doors (leaf)", 0, E46*XLOOKUP(C46,Constants!$A$40:$A$200,Constants!$C$40:$C$200,0,0)*XLOOKUP(H46,Constants!$E$10:$E$30,Constants!$F$10:$F$30)))</f>
        <v/>
      </c>
      <c r="J46" s="6">
        <f>IF(A46="","", IF(C46="Doors (leaf)", 0, E46*XLOOKUP(C46,Constants!$A$40:$A$200,Constants!$D$40:$D$200,0,0)*G46))</f>
        <v/>
      </c>
      <c r="K46" s="6">
        <f>IF(A46="","", IF(C46="Doors (leaf)", 0, IF(F46="Full", E46*XLOOKUP(C46,Constants!$A$40:$A$200,Constants!$E$40:$E$200,0,0), IF(F46="Spot", E46*XLOOKUP(C46,Constants!$A$40:$A$200,Constants!$E$40:$E$200,0,0)*0.35, 0))))</f>
        <v/>
      </c>
      <c r="L46">
        <f>IF(A46="","",0)</f>
        <v/>
      </c>
      <c r="M46" s="6">
        <f>IF(A46="","", SUM(I46:K46))</f>
        <v/>
      </c>
      <c r="N46" s="6">
        <f>IF(A46="","", L46/60)</f>
        <v/>
      </c>
      <c r="O46" s="6">
        <f>IF($A46="","", IFERROR($N46*IFERROR(IF(XLOOKUP('Job Control'!$B$3, INPUT_JobSettings!$A:$A, INPUT_JobSettings!$F:$F, "")&lt;&gt;"",XLOOKUP('Job Control'!$B$3, INPUT_JobSettings!$A:$A, INPUT_JobSettings!$F:$F, ""),$B$6),$B$6),0))</f>
        <v/>
      </c>
      <c r="P46" s="6">
        <f>IF($A46="","", IFERROR(($O46+$L46)*IFERROR(IF(XLOOKUP('Job Control'!$B$3, INPUT_JobSettings!$A:$A, INPUT_JobSettings!$G:$G, "")&lt;&gt;"",XLOOKUP('Job Control'!$B$3, INPUT_JobSettings!$A:$A, INPUT_JobSettings!$G:$G, ""),$B$7),$B$7),0))</f>
        <v/>
      </c>
    </row>
    <row r="47">
      <c r="A47" s="6">
        <f>IFERROR(INDEX(FILTER(INPUT_Rooms!$B$4:$B$83, INPUT_Rooms!$A$4:$A$83=$B$4, INPUT_Rooms!$T$4:$T$83="Y"), 8), "")</f>
        <v/>
      </c>
      <c r="B47" s="6">
        <f>IF(A47="","", XLOOKUP(A47, FILTER(INPUT_Rooms!$B$4:$B$83, INPUT_Rooms!$A$4:$A$83=$B$4), FILTER(INPUT_Rooms!$C$4:$C$83, INPUT_Rooms!$A$4:$A$83=$B$4), ""))</f>
        <v/>
      </c>
      <c r="C47" s="6">
        <f>IF(A47="","", CHOOSE(2,"Baseboard","Crown","Window Casing","Door Casing","Doors (leaf)"))</f>
        <v/>
      </c>
      <c r="D47" s="6">
        <f>IF(A47="","", XLOOKUP(C47,Constants!$A$40:$A$200,Constants!$B$40:$B$200,"",0))</f>
        <v/>
      </c>
      <c r="E47" s="6">
        <f>IF(A47="","", IF(C47="Baseboard", IF(XLOOKUP(A47,INPUT_Rooms!$B:$B,INPUT_Rooms!$X:$X,"")="Y", XLOOKUP(A47,INPUT_Rooms!$B:$B,INPUT_Rooms!$AF:$AF,""), 0),IF(C47="Crown", IF(XLOOKUP(A47,INPUT_Rooms!$B:$B,INPUT_Rooms!$Y:$Y,"")="Y", XLOOKUP(A47,INPUT_Rooms!$B:$B,INPUT_Rooms!$AG:$AG,""), 0),IF(C47="Window Casing", IF(XLOOKUP(A47,INPUT_Rooms!$B:$B,INPUT_Rooms!$Z:$Z,"")="Y", SUMPRODUCT((INPUT_Openings!$A:$A=$B$4)*(INPUT_Openings!$B:$B=A47)*(INPUT_Openings!$D:$D)*XLOOKUP(INPUT_Openings!$C:$C,Constants!$A$30:$A$200,Constants!$E$30:$E$200,"",0)*(INPUT_Openings!$E:$E="Window")), 0),IF(C47="Door Casing", IF(XLOOKUP(A47,INPUT_Rooms!$B:$B,INPUT_Rooms!$AA:$AA,"")="Y", SUMPRODUCT((INPUT_Openings!$A:$A=$B$4)*(INPUT_Openings!$B:$B=A47)*(INPUT_Openings!$D:$D)*XLOOKUP(INPUT_Openings!$C:$C,Constants!$A$30:$A$200,Constants!$E$30:$E$200,"",0)*(INPUT_Openings!$E:$E="Door")), 0),IF(C47="Doors (leaf)", IF(XLOOKUP(A47,INPUT_Rooms!$B:$B,INPUT_Rooms!$AB:$AB,"")="Y", SUMPRODUCT((INPUT_Doors!$A:$A=$B$4)*(INPUT_Doors!$B:$B=A47)*(INPUT_Doors!$D:$D)*(INPUT_Doors!$E:$E)), 0), 0))))))</f>
        <v/>
      </c>
      <c r="F47" s="6">
        <f>IF(A47="","", XLOOKUP(A47, INPUT_Rooms!$B:$B, INPUT_Rooms!$U:$U, ""))</f>
        <v/>
      </c>
      <c r="G47" s="6">
        <f>IF(A47="","", XLOOKUP(A47, INPUT_Rooms!$B:$B, INPUT_Rooms!$V:$V, ""))</f>
        <v/>
      </c>
      <c r="H47" s="6">
        <f>IF(A47="","", IF(XLOOKUP(A47, INPUT_Rooms!$B:$B, INPUT_Rooms!$W:$W, "")="", $B$5, XLOOKUP(A47, INPUT_Rooms!$B:$B, INPUT_Rooms!$W:$W, "")))</f>
        <v/>
      </c>
      <c r="I47" s="6">
        <f>IF(A47="","", IF(C47="Doors (leaf)", 0, E47*XLOOKUP(C47,Constants!$A$40:$A$200,Constants!$C$40:$C$200,0,0)*XLOOKUP(H47,Constants!$E$10:$E$30,Constants!$F$10:$F$30)))</f>
        <v/>
      </c>
      <c r="J47" s="6">
        <f>IF(A47="","", IF(C47="Doors (leaf)", 0, E47*XLOOKUP(C47,Constants!$A$40:$A$200,Constants!$D$40:$D$200,0,0)*G47))</f>
        <v/>
      </c>
      <c r="K47" s="6">
        <f>IF(A47="","", IF(C47="Doors (leaf)", 0, IF(F47="Full", E47*XLOOKUP(C47,Constants!$A$40:$A$200,Constants!$E$40:$E$200,0,0), IF(F47="Spot", E47*XLOOKUP(C47,Constants!$A$40:$A$200,Constants!$E$40:$E$200,0,0)*0.35, 0))))</f>
        <v/>
      </c>
      <c r="L47">
        <f>IF(A47="","",0)</f>
        <v/>
      </c>
      <c r="M47" s="6">
        <f>IF(A47="","", SUM(I47:K47))</f>
        <v/>
      </c>
      <c r="N47" s="6">
        <f>IF(A47="","", L47/60)</f>
        <v/>
      </c>
      <c r="O47" s="6">
        <f>IF($A47="","", IFERROR($N47*IFERROR(IF(XLOOKUP('Job Control'!$B$3, INPUT_JobSettings!$A:$A, INPUT_JobSettings!$F:$F, "")&lt;&gt;"",XLOOKUP('Job Control'!$B$3, INPUT_JobSettings!$A:$A, INPUT_JobSettings!$F:$F, ""),$B$6),$B$6),0))</f>
        <v/>
      </c>
      <c r="P47" s="6">
        <f>IF($A47="","", IFERROR(($O47+$L47)*IFERROR(IF(XLOOKUP('Job Control'!$B$3, INPUT_JobSettings!$A:$A, INPUT_JobSettings!$G:$G, "")&lt;&gt;"",XLOOKUP('Job Control'!$B$3, INPUT_JobSettings!$A:$A, INPUT_JobSettings!$G:$G, ""),$B$7),$B$7),0))</f>
        <v/>
      </c>
    </row>
    <row r="48">
      <c r="A48" s="6">
        <f>IFERROR(INDEX(FILTER(INPUT_Rooms!$B$4:$B$83, INPUT_Rooms!$A$4:$A$83=$B$4, INPUT_Rooms!$T$4:$T$83="Y"), 8), "")</f>
        <v/>
      </c>
      <c r="B48" s="6">
        <f>IF(A48="","", XLOOKUP(A48, FILTER(INPUT_Rooms!$B$4:$B$83, INPUT_Rooms!$A$4:$A$83=$B$4), FILTER(INPUT_Rooms!$C$4:$C$83, INPUT_Rooms!$A$4:$A$83=$B$4), ""))</f>
        <v/>
      </c>
      <c r="C48" s="6">
        <f>IF(A48="","", CHOOSE(3,"Baseboard","Crown","Window Casing","Door Casing","Doors (leaf)"))</f>
        <v/>
      </c>
      <c r="D48" s="6">
        <f>IF(A48="","", XLOOKUP(C48,Constants!$A$40:$A$200,Constants!$B$40:$B$200,"",0))</f>
        <v/>
      </c>
      <c r="E48" s="6">
        <f>IF(A48="","", IF(C48="Baseboard", IF(XLOOKUP(A48,INPUT_Rooms!$B:$B,INPUT_Rooms!$X:$X,"")="Y", XLOOKUP(A48,INPUT_Rooms!$B:$B,INPUT_Rooms!$AF:$AF,""), 0),IF(C48="Crown", IF(XLOOKUP(A48,INPUT_Rooms!$B:$B,INPUT_Rooms!$Y:$Y,"")="Y", XLOOKUP(A48,INPUT_Rooms!$B:$B,INPUT_Rooms!$AG:$AG,""), 0),IF(C48="Window Casing", IF(XLOOKUP(A48,INPUT_Rooms!$B:$B,INPUT_Rooms!$Z:$Z,"")="Y", SUMPRODUCT((INPUT_Openings!$A:$A=$B$4)*(INPUT_Openings!$B:$B=A48)*(INPUT_Openings!$D:$D)*XLOOKUP(INPUT_Openings!$C:$C,Constants!$A$30:$A$200,Constants!$E$30:$E$200,"",0)*(INPUT_Openings!$E:$E="Window")), 0),IF(C48="Door Casing", IF(XLOOKUP(A48,INPUT_Rooms!$B:$B,INPUT_Rooms!$AA:$AA,"")="Y", SUMPRODUCT((INPUT_Openings!$A:$A=$B$4)*(INPUT_Openings!$B:$B=A48)*(INPUT_Openings!$D:$D)*XLOOKUP(INPUT_Openings!$C:$C,Constants!$A$30:$A$200,Constants!$E$30:$E$200,"",0)*(INPUT_Openings!$E:$E="Door")), 0),IF(C48="Doors (leaf)", IF(XLOOKUP(A48,INPUT_Rooms!$B:$B,INPUT_Rooms!$AB:$AB,"")="Y", SUMPRODUCT((INPUT_Doors!$A:$A=$B$4)*(INPUT_Doors!$B:$B=A48)*(INPUT_Doors!$D:$D)*(INPUT_Doors!$E:$E)), 0), 0))))))</f>
        <v/>
      </c>
      <c r="F48" s="6">
        <f>IF(A48="","", XLOOKUP(A48, INPUT_Rooms!$B:$B, INPUT_Rooms!$U:$U, ""))</f>
        <v/>
      </c>
      <c r="G48" s="6">
        <f>IF(A48="","", XLOOKUP(A48, INPUT_Rooms!$B:$B, INPUT_Rooms!$V:$V, ""))</f>
        <v/>
      </c>
      <c r="H48" s="6">
        <f>IF(A48="","", IF(XLOOKUP(A48, INPUT_Rooms!$B:$B, INPUT_Rooms!$W:$W, "")="", $B$5, XLOOKUP(A48, INPUT_Rooms!$B:$B, INPUT_Rooms!$W:$W, "")))</f>
        <v/>
      </c>
      <c r="I48" s="6">
        <f>IF(A48="","", IF(C48="Doors (leaf)", 0, E48*XLOOKUP(C48,Constants!$A$40:$A$200,Constants!$C$40:$C$200,0,0)*XLOOKUP(H48,Constants!$E$10:$E$30,Constants!$F$10:$F$30)))</f>
        <v/>
      </c>
      <c r="J48" s="6">
        <f>IF(A48="","", IF(C48="Doors (leaf)", 0, E48*XLOOKUP(C48,Constants!$A$40:$A$200,Constants!$D$40:$D$200,0,0)*G48))</f>
        <v/>
      </c>
      <c r="K48" s="6">
        <f>IF(A48="","", IF(C48="Doors (leaf)", 0, IF(F48="Full", E48*XLOOKUP(C48,Constants!$A$40:$A$200,Constants!$E$40:$E$200,0,0), IF(F48="Spot", E48*XLOOKUP(C48,Constants!$A$40:$A$200,Constants!$E$40:$E$200,0,0)*0.35, 0))))</f>
        <v/>
      </c>
      <c r="L48">
        <f>IF(A48="","",0)</f>
        <v/>
      </c>
      <c r="M48" s="6">
        <f>IF(A48="","", SUM(I48:K48))</f>
        <v/>
      </c>
      <c r="N48" s="6">
        <f>IF(A48="","", L48/60)</f>
        <v/>
      </c>
      <c r="O48" s="6">
        <f>IF($A48="","", IFERROR($N48*IFERROR(IF(XLOOKUP('Job Control'!$B$3, INPUT_JobSettings!$A:$A, INPUT_JobSettings!$F:$F, "")&lt;&gt;"",XLOOKUP('Job Control'!$B$3, INPUT_JobSettings!$A:$A, INPUT_JobSettings!$F:$F, ""),$B$6),$B$6),0))</f>
        <v/>
      </c>
      <c r="P48" s="6">
        <f>IF($A48="","", IFERROR(($O48+$L48)*IFERROR(IF(XLOOKUP('Job Control'!$B$3, INPUT_JobSettings!$A:$A, INPUT_JobSettings!$G:$G, "")&lt;&gt;"",XLOOKUP('Job Control'!$B$3, INPUT_JobSettings!$A:$A, INPUT_JobSettings!$G:$G, ""),$B$7),$B$7),0))</f>
        <v/>
      </c>
    </row>
    <row r="49">
      <c r="A49" s="6">
        <f>IFERROR(INDEX(FILTER(INPUT_Rooms!$B$4:$B$83, INPUT_Rooms!$A$4:$A$83=$B$4, INPUT_Rooms!$T$4:$T$83="Y"), 8), "")</f>
        <v/>
      </c>
      <c r="B49" s="6">
        <f>IF(A49="","", XLOOKUP(A49, FILTER(INPUT_Rooms!$B$4:$B$83, INPUT_Rooms!$A$4:$A$83=$B$4), FILTER(INPUT_Rooms!$C$4:$C$83, INPUT_Rooms!$A$4:$A$83=$B$4), ""))</f>
        <v/>
      </c>
      <c r="C49" s="6">
        <f>IF(A49="","", CHOOSE(4,"Baseboard","Crown","Window Casing","Door Casing","Doors (leaf)"))</f>
        <v/>
      </c>
      <c r="D49" s="6">
        <f>IF(A49="","", XLOOKUP(C49,Constants!$A$40:$A$200,Constants!$B$40:$B$200,"",0))</f>
        <v/>
      </c>
      <c r="E49" s="6">
        <f>IF(A49="","", IF(C49="Baseboard", IF(XLOOKUP(A49,INPUT_Rooms!$B:$B,INPUT_Rooms!$X:$X,"")="Y", XLOOKUP(A49,INPUT_Rooms!$B:$B,INPUT_Rooms!$AF:$AF,""), 0),IF(C49="Crown", IF(XLOOKUP(A49,INPUT_Rooms!$B:$B,INPUT_Rooms!$Y:$Y,"")="Y", XLOOKUP(A49,INPUT_Rooms!$B:$B,INPUT_Rooms!$AG:$AG,""), 0),IF(C49="Window Casing", IF(XLOOKUP(A49,INPUT_Rooms!$B:$B,INPUT_Rooms!$Z:$Z,"")="Y", SUMPRODUCT((INPUT_Openings!$A:$A=$B$4)*(INPUT_Openings!$B:$B=A49)*(INPUT_Openings!$D:$D)*XLOOKUP(INPUT_Openings!$C:$C,Constants!$A$30:$A$200,Constants!$E$30:$E$200,"",0)*(INPUT_Openings!$E:$E="Window")), 0),IF(C49="Door Casing", IF(XLOOKUP(A49,INPUT_Rooms!$B:$B,INPUT_Rooms!$AA:$AA,"")="Y", SUMPRODUCT((INPUT_Openings!$A:$A=$B$4)*(INPUT_Openings!$B:$B=A49)*(INPUT_Openings!$D:$D)*XLOOKUP(INPUT_Openings!$C:$C,Constants!$A$30:$A$200,Constants!$E$30:$E$200,"",0)*(INPUT_Openings!$E:$E="Door")), 0),IF(C49="Doors (leaf)", IF(XLOOKUP(A49,INPUT_Rooms!$B:$B,INPUT_Rooms!$AB:$AB,"")="Y", SUMPRODUCT((INPUT_Doors!$A:$A=$B$4)*(INPUT_Doors!$B:$B=A49)*(INPUT_Doors!$D:$D)*(INPUT_Doors!$E:$E)), 0), 0))))))</f>
        <v/>
      </c>
      <c r="F49" s="6">
        <f>IF(A49="","", XLOOKUP(A49, INPUT_Rooms!$B:$B, INPUT_Rooms!$U:$U, ""))</f>
        <v/>
      </c>
      <c r="G49" s="6">
        <f>IF(A49="","", XLOOKUP(A49, INPUT_Rooms!$B:$B, INPUT_Rooms!$V:$V, ""))</f>
        <v/>
      </c>
      <c r="H49" s="6">
        <f>IF(A49="","", IF(XLOOKUP(A49, INPUT_Rooms!$B:$B, INPUT_Rooms!$W:$W, "")="", $B$5, XLOOKUP(A49, INPUT_Rooms!$B:$B, INPUT_Rooms!$W:$W, "")))</f>
        <v/>
      </c>
      <c r="I49" s="6">
        <f>IF(A49="","", IF(C49="Doors (leaf)", 0, E49*XLOOKUP(C49,Constants!$A$40:$A$200,Constants!$C$40:$C$200,0,0)*XLOOKUP(H49,Constants!$E$10:$E$30,Constants!$F$10:$F$30)))</f>
        <v/>
      </c>
      <c r="J49" s="6">
        <f>IF(A49="","", IF(C49="Doors (leaf)", 0, E49*XLOOKUP(C49,Constants!$A$40:$A$200,Constants!$D$40:$D$200,0,0)*G49))</f>
        <v/>
      </c>
      <c r="K49" s="6">
        <f>IF(A49="","", IF(C49="Doors (leaf)", 0, IF(F49="Full", E49*XLOOKUP(C49,Constants!$A$40:$A$200,Constants!$E$40:$E$200,0,0), IF(F49="Spot", E49*XLOOKUP(C49,Constants!$A$40:$A$200,Constants!$E$40:$E$200,0,0)*0.35, 0))))</f>
        <v/>
      </c>
      <c r="L49">
        <f>IF(A49="","",0)</f>
        <v/>
      </c>
      <c r="M49" s="6">
        <f>IF(A49="","", SUM(I49:K49))</f>
        <v/>
      </c>
      <c r="N49" s="6">
        <f>IF(A49="","", L49/60)</f>
        <v/>
      </c>
      <c r="O49" s="6">
        <f>IF($A49="","", IFERROR($N49*IFERROR(IF(XLOOKUP('Job Control'!$B$3, INPUT_JobSettings!$A:$A, INPUT_JobSettings!$F:$F, "")&lt;&gt;"",XLOOKUP('Job Control'!$B$3, INPUT_JobSettings!$A:$A, INPUT_JobSettings!$F:$F, ""),$B$6),$B$6),0))</f>
        <v/>
      </c>
      <c r="P49" s="6">
        <f>IF($A49="","", IFERROR(($O49+$L49)*IFERROR(IF(XLOOKUP('Job Control'!$B$3, INPUT_JobSettings!$A:$A, INPUT_JobSettings!$G:$G, "")&lt;&gt;"",XLOOKUP('Job Control'!$B$3, INPUT_JobSettings!$A:$A, INPUT_JobSettings!$G:$G, ""),$B$7),$B$7),0))</f>
        <v/>
      </c>
    </row>
    <row r="50">
      <c r="A50" s="6">
        <f>IFERROR(INDEX(FILTER(INPUT_Rooms!$B$4:$B$83, INPUT_Rooms!$A$4:$A$83=$B$4, INPUT_Rooms!$T$4:$T$83="Y"), 8), "")</f>
        <v/>
      </c>
      <c r="B50" s="6">
        <f>IF(A50="","", XLOOKUP(A50, FILTER(INPUT_Rooms!$B$4:$B$83, INPUT_Rooms!$A$4:$A$83=$B$4), FILTER(INPUT_Rooms!$C$4:$C$83, INPUT_Rooms!$A$4:$A$83=$B$4), ""))</f>
        <v/>
      </c>
      <c r="C50" s="6">
        <f>IF(A50="","", CHOOSE(5,"Baseboard","Crown","Window Casing","Door Casing","Doors (leaf)"))</f>
        <v/>
      </c>
      <c r="D50" s="6">
        <f>IF(A50="","", XLOOKUP(C50,Constants!$A$40:$A$200,Constants!$B$40:$B$200,"",0))</f>
        <v/>
      </c>
      <c r="E50" s="6">
        <f>IF(A50="","", IF(C50="Baseboard", IF(XLOOKUP(A50,INPUT_Rooms!$B:$B,INPUT_Rooms!$X:$X,"")="Y", XLOOKUP(A50,INPUT_Rooms!$B:$B,INPUT_Rooms!$AF:$AF,""), 0),IF(C50="Crown", IF(XLOOKUP(A50,INPUT_Rooms!$B:$B,INPUT_Rooms!$Y:$Y,"")="Y", XLOOKUP(A50,INPUT_Rooms!$B:$B,INPUT_Rooms!$AG:$AG,""), 0),IF(C50="Window Casing", IF(XLOOKUP(A50,INPUT_Rooms!$B:$B,INPUT_Rooms!$Z:$Z,"")="Y", SUMPRODUCT((INPUT_Openings!$A:$A=$B$4)*(INPUT_Openings!$B:$B=A50)*(INPUT_Openings!$D:$D)*XLOOKUP(INPUT_Openings!$C:$C,Constants!$A$30:$A$200,Constants!$E$30:$E$200,"",0)*(INPUT_Openings!$E:$E="Window")), 0),IF(C50="Door Casing", IF(XLOOKUP(A50,INPUT_Rooms!$B:$B,INPUT_Rooms!$AA:$AA,"")="Y", SUMPRODUCT((INPUT_Openings!$A:$A=$B$4)*(INPUT_Openings!$B:$B=A50)*(INPUT_Openings!$D:$D)*XLOOKUP(INPUT_Openings!$C:$C,Constants!$A$30:$A$200,Constants!$E$30:$E$200,"",0)*(INPUT_Openings!$E:$E="Door")), 0),IF(C50="Doors (leaf)", IF(XLOOKUP(A50,INPUT_Rooms!$B:$B,INPUT_Rooms!$AB:$AB,"")="Y", SUMPRODUCT((INPUT_Doors!$A:$A=$B$4)*(INPUT_Doors!$B:$B=A50)*(INPUT_Doors!$D:$D)*(INPUT_Doors!$E:$E)), 0), 0))))))</f>
        <v/>
      </c>
      <c r="F50" s="6">
        <f>IF(A50="","", XLOOKUP(A50, INPUT_Rooms!$B:$B, INPUT_Rooms!$U:$U, ""))</f>
        <v/>
      </c>
      <c r="G50" s="6">
        <f>IF(A50="","", XLOOKUP(A50, INPUT_Rooms!$B:$B, INPUT_Rooms!$V:$V, ""))</f>
        <v/>
      </c>
      <c r="H50" s="6">
        <f>IF(A50="","", IF(XLOOKUP(A50, INPUT_Rooms!$B:$B, INPUT_Rooms!$W:$W, "")="", $B$5, XLOOKUP(A50, INPUT_Rooms!$B:$B, INPUT_Rooms!$W:$W, "")))</f>
        <v/>
      </c>
      <c r="I50" s="6">
        <f>IF(A50="","", IF(C50="Doors (leaf)", 0, E50*XLOOKUP(C50,Constants!$A$40:$A$200,Constants!$C$40:$C$200,0,0)*XLOOKUP(H50,Constants!$E$10:$E$30,Constants!$F$10:$F$30)))</f>
        <v/>
      </c>
      <c r="J50" s="6">
        <f>IF(A50="","", IF(C50="Doors (leaf)", 0, E50*XLOOKUP(C50,Constants!$A$40:$A$200,Constants!$D$40:$D$200,0,0)*G50))</f>
        <v/>
      </c>
      <c r="K50" s="6">
        <f>IF(A50="","", IF(C50="Doors (leaf)", 0, IF(F50="Full", E50*XLOOKUP(C50,Constants!$A$40:$A$200,Constants!$E$40:$E$200,0,0), IF(F50="Spot", E50*XLOOKUP(C50,Constants!$A$40:$A$200,Constants!$E$40:$E$200,0,0)*0.35, 0))))</f>
        <v/>
      </c>
      <c r="L50">
        <f>IF(A50="","",0)</f>
        <v/>
      </c>
      <c r="M50" s="6">
        <f>IF(A50="","", SUM(I50:K50))</f>
        <v/>
      </c>
      <c r="N50" s="6">
        <f>IF(A50="","", L50/60)</f>
        <v/>
      </c>
      <c r="O50" s="6">
        <f>IF($A50="","", IFERROR($N50*IFERROR(IF(XLOOKUP('Job Control'!$B$3, INPUT_JobSettings!$A:$A, INPUT_JobSettings!$F:$F, "")&lt;&gt;"",XLOOKUP('Job Control'!$B$3, INPUT_JobSettings!$A:$A, INPUT_JobSettings!$F:$F, ""),$B$6),$B$6),0))</f>
        <v/>
      </c>
      <c r="P50" s="6">
        <f>IF($A50="","", IFERROR(($O50+$L50)*IFERROR(IF(XLOOKUP('Job Control'!$B$3, INPUT_JobSettings!$A:$A, INPUT_JobSettings!$G:$G, "")&lt;&gt;"",XLOOKUP('Job Control'!$B$3, INPUT_JobSettings!$A:$A, INPUT_JobSettings!$G:$G, ""),$B$7),$B$7),0))</f>
        <v/>
      </c>
    </row>
    <row r="51">
      <c r="A51" s="6">
        <f>IFERROR(INDEX(FILTER(INPUT_Rooms!$B$4:$B$83, INPUT_Rooms!$A$4:$A$83=$B$4, INPUT_Rooms!$T$4:$T$83="Y"), 9), "")</f>
        <v/>
      </c>
      <c r="B51" s="6">
        <f>IF(A51="","", XLOOKUP(A51, FILTER(INPUT_Rooms!$B$4:$B$83, INPUT_Rooms!$A$4:$A$83=$B$4), FILTER(INPUT_Rooms!$C$4:$C$83, INPUT_Rooms!$A$4:$A$83=$B$4), ""))</f>
        <v/>
      </c>
      <c r="C51" s="6">
        <f>IF(A51="","", CHOOSE(1,"Baseboard","Crown","Window Casing","Door Casing","Doors (leaf)"))</f>
        <v/>
      </c>
      <c r="D51" s="6">
        <f>IF(A51="","", XLOOKUP(C51,Constants!$A$40:$A$200,Constants!$B$40:$B$200,"",0))</f>
        <v/>
      </c>
      <c r="E51" s="6">
        <f>IF(A51="","", IF(C51="Baseboard", IF(XLOOKUP(A51,INPUT_Rooms!$B:$B,INPUT_Rooms!$X:$X,"")="Y", XLOOKUP(A51,INPUT_Rooms!$B:$B,INPUT_Rooms!$AF:$AF,""), 0),IF(C51="Crown", IF(XLOOKUP(A51,INPUT_Rooms!$B:$B,INPUT_Rooms!$Y:$Y,"")="Y", XLOOKUP(A51,INPUT_Rooms!$B:$B,INPUT_Rooms!$AG:$AG,""), 0),IF(C51="Window Casing", IF(XLOOKUP(A51,INPUT_Rooms!$B:$B,INPUT_Rooms!$Z:$Z,"")="Y", SUMPRODUCT((INPUT_Openings!$A:$A=$B$4)*(INPUT_Openings!$B:$B=A51)*(INPUT_Openings!$D:$D)*XLOOKUP(INPUT_Openings!$C:$C,Constants!$A$30:$A$200,Constants!$E$30:$E$200,"",0)*(INPUT_Openings!$E:$E="Window")), 0),IF(C51="Door Casing", IF(XLOOKUP(A51,INPUT_Rooms!$B:$B,INPUT_Rooms!$AA:$AA,"")="Y", SUMPRODUCT((INPUT_Openings!$A:$A=$B$4)*(INPUT_Openings!$B:$B=A51)*(INPUT_Openings!$D:$D)*XLOOKUP(INPUT_Openings!$C:$C,Constants!$A$30:$A$200,Constants!$E$30:$E$200,"",0)*(INPUT_Openings!$E:$E="Door")), 0),IF(C51="Doors (leaf)", IF(XLOOKUP(A51,INPUT_Rooms!$B:$B,INPUT_Rooms!$AB:$AB,"")="Y", SUMPRODUCT((INPUT_Doors!$A:$A=$B$4)*(INPUT_Doors!$B:$B=A51)*(INPUT_Doors!$D:$D)*(INPUT_Doors!$E:$E)), 0), 0))))))</f>
        <v/>
      </c>
      <c r="F51" s="6">
        <f>IF(A51="","", XLOOKUP(A51, INPUT_Rooms!$B:$B, INPUT_Rooms!$U:$U, ""))</f>
        <v/>
      </c>
      <c r="G51" s="6">
        <f>IF(A51="","", XLOOKUP(A51, INPUT_Rooms!$B:$B, INPUT_Rooms!$V:$V, ""))</f>
        <v/>
      </c>
      <c r="H51" s="6">
        <f>IF(A51="","", IF(XLOOKUP(A51, INPUT_Rooms!$B:$B, INPUT_Rooms!$W:$W, "")="", $B$5, XLOOKUP(A51, INPUT_Rooms!$B:$B, INPUT_Rooms!$W:$W, "")))</f>
        <v/>
      </c>
      <c r="I51" s="6">
        <f>IF(A51="","", IF(C51="Doors (leaf)", 0, E51*XLOOKUP(C51,Constants!$A$40:$A$200,Constants!$C$40:$C$200,0,0)*XLOOKUP(H51,Constants!$E$10:$E$30,Constants!$F$10:$F$30)))</f>
        <v/>
      </c>
      <c r="J51" s="6">
        <f>IF(A51="","", IF(C51="Doors (leaf)", 0, E51*XLOOKUP(C51,Constants!$A$40:$A$200,Constants!$D$40:$D$200,0,0)*G51))</f>
        <v/>
      </c>
      <c r="K51" s="6">
        <f>IF(A51="","", IF(C51="Doors (leaf)", 0, IF(F51="Full", E51*XLOOKUP(C51,Constants!$A$40:$A$200,Constants!$E$40:$E$200,0,0), IF(F51="Spot", E51*XLOOKUP(C51,Constants!$A$40:$A$200,Constants!$E$40:$E$200,0,0)*0.35, 0))))</f>
        <v/>
      </c>
      <c r="L51">
        <f>IF(A51="","",0)</f>
        <v/>
      </c>
      <c r="M51" s="6">
        <f>IF(A51="","", SUM(I51:K51))</f>
        <v/>
      </c>
      <c r="N51" s="6">
        <f>IF(A51="","", L51/60)</f>
        <v/>
      </c>
      <c r="O51" s="6">
        <f>IF($A51="","", IFERROR($N51*IFERROR(IF(XLOOKUP('Job Control'!$B$3, INPUT_JobSettings!$A:$A, INPUT_JobSettings!$F:$F, "")&lt;&gt;"",XLOOKUP('Job Control'!$B$3, INPUT_JobSettings!$A:$A, INPUT_JobSettings!$F:$F, ""),$B$6),$B$6),0))</f>
        <v/>
      </c>
      <c r="P51" s="6">
        <f>IF($A51="","", IFERROR(($O51+$L51)*IFERROR(IF(XLOOKUP('Job Control'!$B$3, INPUT_JobSettings!$A:$A, INPUT_JobSettings!$G:$G, "")&lt;&gt;"",XLOOKUP('Job Control'!$B$3, INPUT_JobSettings!$A:$A, INPUT_JobSettings!$G:$G, ""),$B$7),$B$7),0))</f>
        <v/>
      </c>
    </row>
    <row r="52">
      <c r="A52" s="6">
        <f>IFERROR(INDEX(FILTER(INPUT_Rooms!$B$4:$B$83, INPUT_Rooms!$A$4:$A$83=$B$4, INPUT_Rooms!$T$4:$T$83="Y"), 9), "")</f>
        <v/>
      </c>
      <c r="B52" s="6">
        <f>IF(A52="","", XLOOKUP(A52, FILTER(INPUT_Rooms!$B$4:$B$83, INPUT_Rooms!$A$4:$A$83=$B$4), FILTER(INPUT_Rooms!$C$4:$C$83, INPUT_Rooms!$A$4:$A$83=$B$4), ""))</f>
        <v/>
      </c>
      <c r="C52" s="6">
        <f>IF(A52="","", CHOOSE(2,"Baseboard","Crown","Window Casing","Door Casing","Doors (leaf)"))</f>
        <v/>
      </c>
      <c r="D52" s="6">
        <f>IF(A52="","", XLOOKUP(C52,Constants!$A$40:$A$200,Constants!$B$40:$B$200,"",0))</f>
        <v/>
      </c>
      <c r="E52" s="6">
        <f>IF(A52="","", IF(C52="Baseboard", IF(XLOOKUP(A52,INPUT_Rooms!$B:$B,INPUT_Rooms!$X:$X,"")="Y", XLOOKUP(A52,INPUT_Rooms!$B:$B,INPUT_Rooms!$AF:$AF,""), 0),IF(C52="Crown", IF(XLOOKUP(A52,INPUT_Rooms!$B:$B,INPUT_Rooms!$Y:$Y,"")="Y", XLOOKUP(A52,INPUT_Rooms!$B:$B,INPUT_Rooms!$AG:$AG,""), 0),IF(C52="Window Casing", IF(XLOOKUP(A52,INPUT_Rooms!$B:$B,INPUT_Rooms!$Z:$Z,"")="Y", SUMPRODUCT((INPUT_Openings!$A:$A=$B$4)*(INPUT_Openings!$B:$B=A52)*(INPUT_Openings!$D:$D)*XLOOKUP(INPUT_Openings!$C:$C,Constants!$A$30:$A$200,Constants!$E$30:$E$200,"",0)*(INPUT_Openings!$E:$E="Window")), 0),IF(C52="Door Casing", IF(XLOOKUP(A52,INPUT_Rooms!$B:$B,INPUT_Rooms!$AA:$AA,"")="Y", SUMPRODUCT((INPUT_Openings!$A:$A=$B$4)*(INPUT_Openings!$B:$B=A52)*(INPUT_Openings!$D:$D)*XLOOKUP(INPUT_Openings!$C:$C,Constants!$A$30:$A$200,Constants!$E$30:$E$200,"",0)*(INPUT_Openings!$E:$E="Door")), 0),IF(C52="Doors (leaf)", IF(XLOOKUP(A52,INPUT_Rooms!$B:$B,INPUT_Rooms!$AB:$AB,"")="Y", SUMPRODUCT((INPUT_Doors!$A:$A=$B$4)*(INPUT_Doors!$B:$B=A52)*(INPUT_Doors!$D:$D)*(INPUT_Doors!$E:$E)), 0), 0))))))</f>
        <v/>
      </c>
      <c r="F52" s="6">
        <f>IF(A52="","", XLOOKUP(A52, INPUT_Rooms!$B:$B, INPUT_Rooms!$U:$U, ""))</f>
        <v/>
      </c>
      <c r="G52" s="6">
        <f>IF(A52="","", XLOOKUP(A52, INPUT_Rooms!$B:$B, INPUT_Rooms!$V:$V, ""))</f>
        <v/>
      </c>
      <c r="H52" s="6">
        <f>IF(A52="","", IF(XLOOKUP(A52, INPUT_Rooms!$B:$B, INPUT_Rooms!$W:$W, "")="", $B$5, XLOOKUP(A52, INPUT_Rooms!$B:$B, INPUT_Rooms!$W:$W, "")))</f>
        <v/>
      </c>
      <c r="I52" s="6">
        <f>IF(A52="","", IF(C52="Doors (leaf)", 0, E52*XLOOKUP(C52,Constants!$A$40:$A$200,Constants!$C$40:$C$200,0,0)*XLOOKUP(H52,Constants!$E$10:$E$30,Constants!$F$10:$F$30)))</f>
        <v/>
      </c>
      <c r="J52" s="6">
        <f>IF(A52="","", IF(C52="Doors (leaf)", 0, E52*XLOOKUP(C52,Constants!$A$40:$A$200,Constants!$D$40:$D$200,0,0)*G52))</f>
        <v/>
      </c>
      <c r="K52" s="6">
        <f>IF(A52="","", IF(C52="Doors (leaf)", 0, IF(F52="Full", E52*XLOOKUP(C52,Constants!$A$40:$A$200,Constants!$E$40:$E$200,0,0), IF(F52="Spot", E52*XLOOKUP(C52,Constants!$A$40:$A$200,Constants!$E$40:$E$200,0,0)*0.35, 0))))</f>
        <v/>
      </c>
      <c r="L52">
        <f>IF(A52="","",0)</f>
        <v/>
      </c>
      <c r="M52" s="6">
        <f>IF(A52="","", SUM(I52:K52))</f>
        <v/>
      </c>
      <c r="N52" s="6">
        <f>IF(A52="","", L52/60)</f>
        <v/>
      </c>
      <c r="O52" s="6">
        <f>IF($A52="","", IFERROR($N52*IFERROR(IF(XLOOKUP('Job Control'!$B$3, INPUT_JobSettings!$A:$A, INPUT_JobSettings!$F:$F, "")&lt;&gt;"",XLOOKUP('Job Control'!$B$3, INPUT_JobSettings!$A:$A, INPUT_JobSettings!$F:$F, ""),$B$6),$B$6),0))</f>
        <v/>
      </c>
      <c r="P52" s="6">
        <f>IF($A52="","", IFERROR(($O52+$L52)*IFERROR(IF(XLOOKUP('Job Control'!$B$3, INPUT_JobSettings!$A:$A, INPUT_JobSettings!$G:$G, "")&lt;&gt;"",XLOOKUP('Job Control'!$B$3, INPUT_JobSettings!$A:$A, INPUT_JobSettings!$G:$G, ""),$B$7),$B$7),0))</f>
        <v/>
      </c>
    </row>
    <row r="53">
      <c r="A53" s="6">
        <f>IFERROR(INDEX(FILTER(INPUT_Rooms!$B$4:$B$83, INPUT_Rooms!$A$4:$A$83=$B$4, INPUT_Rooms!$T$4:$T$83="Y"), 9), "")</f>
        <v/>
      </c>
      <c r="B53" s="6">
        <f>IF(A53="","", XLOOKUP(A53, FILTER(INPUT_Rooms!$B$4:$B$83, INPUT_Rooms!$A$4:$A$83=$B$4), FILTER(INPUT_Rooms!$C$4:$C$83, INPUT_Rooms!$A$4:$A$83=$B$4), ""))</f>
        <v/>
      </c>
      <c r="C53" s="6">
        <f>IF(A53="","", CHOOSE(3,"Baseboard","Crown","Window Casing","Door Casing","Doors (leaf)"))</f>
        <v/>
      </c>
      <c r="D53" s="6">
        <f>IF(A53="","", XLOOKUP(C53,Constants!$A$40:$A$200,Constants!$B$40:$B$200,"",0))</f>
        <v/>
      </c>
      <c r="E53" s="6">
        <f>IF(A53="","", IF(C53="Baseboard", IF(XLOOKUP(A53,INPUT_Rooms!$B:$B,INPUT_Rooms!$X:$X,"")="Y", XLOOKUP(A53,INPUT_Rooms!$B:$B,INPUT_Rooms!$AF:$AF,""), 0),IF(C53="Crown", IF(XLOOKUP(A53,INPUT_Rooms!$B:$B,INPUT_Rooms!$Y:$Y,"")="Y", XLOOKUP(A53,INPUT_Rooms!$B:$B,INPUT_Rooms!$AG:$AG,""), 0),IF(C53="Window Casing", IF(XLOOKUP(A53,INPUT_Rooms!$B:$B,INPUT_Rooms!$Z:$Z,"")="Y", SUMPRODUCT((INPUT_Openings!$A:$A=$B$4)*(INPUT_Openings!$B:$B=A53)*(INPUT_Openings!$D:$D)*XLOOKUP(INPUT_Openings!$C:$C,Constants!$A$30:$A$200,Constants!$E$30:$E$200,"",0)*(INPUT_Openings!$E:$E="Window")), 0),IF(C53="Door Casing", IF(XLOOKUP(A53,INPUT_Rooms!$B:$B,INPUT_Rooms!$AA:$AA,"")="Y", SUMPRODUCT((INPUT_Openings!$A:$A=$B$4)*(INPUT_Openings!$B:$B=A53)*(INPUT_Openings!$D:$D)*XLOOKUP(INPUT_Openings!$C:$C,Constants!$A$30:$A$200,Constants!$E$30:$E$200,"",0)*(INPUT_Openings!$E:$E="Door")), 0),IF(C53="Doors (leaf)", IF(XLOOKUP(A53,INPUT_Rooms!$B:$B,INPUT_Rooms!$AB:$AB,"")="Y", SUMPRODUCT((INPUT_Doors!$A:$A=$B$4)*(INPUT_Doors!$B:$B=A53)*(INPUT_Doors!$D:$D)*(INPUT_Doors!$E:$E)), 0), 0))))))</f>
        <v/>
      </c>
      <c r="F53" s="6">
        <f>IF(A53="","", XLOOKUP(A53, INPUT_Rooms!$B:$B, INPUT_Rooms!$U:$U, ""))</f>
        <v/>
      </c>
      <c r="G53" s="6">
        <f>IF(A53="","", XLOOKUP(A53, INPUT_Rooms!$B:$B, INPUT_Rooms!$V:$V, ""))</f>
        <v/>
      </c>
      <c r="H53" s="6">
        <f>IF(A53="","", IF(XLOOKUP(A53, INPUT_Rooms!$B:$B, INPUT_Rooms!$W:$W, "")="", $B$5, XLOOKUP(A53, INPUT_Rooms!$B:$B, INPUT_Rooms!$W:$W, "")))</f>
        <v/>
      </c>
      <c r="I53" s="6">
        <f>IF(A53="","", IF(C53="Doors (leaf)", 0, E53*XLOOKUP(C53,Constants!$A$40:$A$200,Constants!$C$40:$C$200,0,0)*XLOOKUP(H53,Constants!$E$10:$E$30,Constants!$F$10:$F$30)))</f>
        <v/>
      </c>
      <c r="J53" s="6">
        <f>IF(A53="","", IF(C53="Doors (leaf)", 0, E53*XLOOKUP(C53,Constants!$A$40:$A$200,Constants!$D$40:$D$200,0,0)*G53))</f>
        <v/>
      </c>
      <c r="K53" s="6">
        <f>IF(A53="","", IF(C53="Doors (leaf)", 0, IF(F53="Full", E53*XLOOKUP(C53,Constants!$A$40:$A$200,Constants!$E$40:$E$200,0,0), IF(F53="Spot", E53*XLOOKUP(C53,Constants!$A$40:$A$200,Constants!$E$40:$E$200,0,0)*0.35, 0))))</f>
        <v/>
      </c>
      <c r="L53">
        <f>IF(A53="","",0)</f>
        <v/>
      </c>
      <c r="M53" s="6">
        <f>IF(A53="","", SUM(I53:K53))</f>
        <v/>
      </c>
      <c r="N53" s="6">
        <f>IF(A53="","", L53/60)</f>
        <v/>
      </c>
      <c r="O53" s="6">
        <f>IF($A53="","", IFERROR($N53*IFERROR(IF(XLOOKUP('Job Control'!$B$3, INPUT_JobSettings!$A:$A, INPUT_JobSettings!$F:$F, "")&lt;&gt;"",XLOOKUP('Job Control'!$B$3, INPUT_JobSettings!$A:$A, INPUT_JobSettings!$F:$F, ""),$B$6),$B$6),0))</f>
        <v/>
      </c>
      <c r="P53" s="6">
        <f>IF($A53="","", IFERROR(($O53+$L53)*IFERROR(IF(XLOOKUP('Job Control'!$B$3, INPUT_JobSettings!$A:$A, INPUT_JobSettings!$G:$G, "")&lt;&gt;"",XLOOKUP('Job Control'!$B$3, INPUT_JobSettings!$A:$A, INPUT_JobSettings!$G:$G, ""),$B$7),$B$7),0))</f>
        <v/>
      </c>
    </row>
    <row r="54">
      <c r="A54" s="6">
        <f>IFERROR(INDEX(FILTER(INPUT_Rooms!$B$4:$B$83, INPUT_Rooms!$A$4:$A$83=$B$4, INPUT_Rooms!$T$4:$T$83="Y"), 9), "")</f>
        <v/>
      </c>
      <c r="B54" s="6">
        <f>IF(A54="","", XLOOKUP(A54, FILTER(INPUT_Rooms!$B$4:$B$83, INPUT_Rooms!$A$4:$A$83=$B$4), FILTER(INPUT_Rooms!$C$4:$C$83, INPUT_Rooms!$A$4:$A$83=$B$4), ""))</f>
        <v/>
      </c>
      <c r="C54" s="6">
        <f>IF(A54="","", CHOOSE(4,"Baseboard","Crown","Window Casing","Door Casing","Doors (leaf)"))</f>
        <v/>
      </c>
      <c r="D54" s="6">
        <f>IF(A54="","", XLOOKUP(C54,Constants!$A$40:$A$200,Constants!$B$40:$B$200,"",0))</f>
        <v/>
      </c>
      <c r="E54" s="6">
        <f>IF(A54="","", IF(C54="Baseboard", IF(XLOOKUP(A54,INPUT_Rooms!$B:$B,INPUT_Rooms!$X:$X,"")="Y", XLOOKUP(A54,INPUT_Rooms!$B:$B,INPUT_Rooms!$AF:$AF,""), 0),IF(C54="Crown", IF(XLOOKUP(A54,INPUT_Rooms!$B:$B,INPUT_Rooms!$Y:$Y,"")="Y", XLOOKUP(A54,INPUT_Rooms!$B:$B,INPUT_Rooms!$AG:$AG,""), 0),IF(C54="Window Casing", IF(XLOOKUP(A54,INPUT_Rooms!$B:$B,INPUT_Rooms!$Z:$Z,"")="Y", SUMPRODUCT((INPUT_Openings!$A:$A=$B$4)*(INPUT_Openings!$B:$B=A54)*(INPUT_Openings!$D:$D)*XLOOKUP(INPUT_Openings!$C:$C,Constants!$A$30:$A$200,Constants!$E$30:$E$200,"",0)*(INPUT_Openings!$E:$E="Window")), 0),IF(C54="Door Casing", IF(XLOOKUP(A54,INPUT_Rooms!$B:$B,INPUT_Rooms!$AA:$AA,"")="Y", SUMPRODUCT((INPUT_Openings!$A:$A=$B$4)*(INPUT_Openings!$B:$B=A54)*(INPUT_Openings!$D:$D)*XLOOKUP(INPUT_Openings!$C:$C,Constants!$A$30:$A$200,Constants!$E$30:$E$200,"",0)*(INPUT_Openings!$E:$E="Door")), 0),IF(C54="Doors (leaf)", IF(XLOOKUP(A54,INPUT_Rooms!$B:$B,INPUT_Rooms!$AB:$AB,"")="Y", SUMPRODUCT((INPUT_Doors!$A:$A=$B$4)*(INPUT_Doors!$B:$B=A54)*(INPUT_Doors!$D:$D)*(INPUT_Doors!$E:$E)), 0), 0))))))</f>
        <v/>
      </c>
      <c r="F54" s="6">
        <f>IF(A54="","", XLOOKUP(A54, INPUT_Rooms!$B:$B, INPUT_Rooms!$U:$U, ""))</f>
        <v/>
      </c>
      <c r="G54" s="6">
        <f>IF(A54="","", XLOOKUP(A54, INPUT_Rooms!$B:$B, INPUT_Rooms!$V:$V, ""))</f>
        <v/>
      </c>
      <c r="H54" s="6">
        <f>IF(A54="","", IF(XLOOKUP(A54, INPUT_Rooms!$B:$B, INPUT_Rooms!$W:$W, "")="", $B$5, XLOOKUP(A54, INPUT_Rooms!$B:$B, INPUT_Rooms!$W:$W, "")))</f>
        <v/>
      </c>
      <c r="I54" s="6">
        <f>IF(A54="","", IF(C54="Doors (leaf)", 0, E54*XLOOKUP(C54,Constants!$A$40:$A$200,Constants!$C$40:$C$200,0,0)*XLOOKUP(H54,Constants!$E$10:$E$30,Constants!$F$10:$F$30)))</f>
        <v/>
      </c>
      <c r="J54" s="6">
        <f>IF(A54="","", IF(C54="Doors (leaf)", 0, E54*XLOOKUP(C54,Constants!$A$40:$A$200,Constants!$D$40:$D$200,0,0)*G54))</f>
        <v/>
      </c>
      <c r="K54" s="6">
        <f>IF(A54="","", IF(C54="Doors (leaf)", 0, IF(F54="Full", E54*XLOOKUP(C54,Constants!$A$40:$A$200,Constants!$E$40:$E$200,0,0), IF(F54="Spot", E54*XLOOKUP(C54,Constants!$A$40:$A$200,Constants!$E$40:$E$200,0,0)*0.35, 0))))</f>
        <v/>
      </c>
      <c r="L54">
        <f>IF(A54="","",0)</f>
        <v/>
      </c>
      <c r="M54" s="6">
        <f>IF(A54="","", SUM(I54:K54))</f>
        <v/>
      </c>
      <c r="N54" s="6">
        <f>IF(A54="","", L54/60)</f>
        <v/>
      </c>
      <c r="O54" s="6">
        <f>IF($A54="","", IFERROR($N54*IFERROR(IF(XLOOKUP('Job Control'!$B$3, INPUT_JobSettings!$A:$A, INPUT_JobSettings!$F:$F, "")&lt;&gt;"",XLOOKUP('Job Control'!$B$3, INPUT_JobSettings!$A:$A, INPUT_JobSettings!$F:$F, ""),$B$6),$B$6),0))</f>
        <v/>
      </c>
      <c r="P54" s="6">
        <f>IF($A54="","", IFERROR(($O54+$L54)*IFERROR(IF(XLOOKUP('Job Control'!$B$3, INPUT_JobSettings!$A:$A, INPUT_JobSettings!$G:$G, "")&lt;&gt;"",XLOOKUP('Job Control'!$B$3, INPUT_JobSettings!$A:$A, INPUT_JobSettings!$G:$G, ""),$B$7),$B$7),0))</f>
        <v/>
      </c>
    </row>
    <row r="55">
      <c r="A55" s="6">
        <f>IFERROR(INDEX(FILTER(INPUT_Rooms!$B$4:$B$83, INPUT_Rooms!$A$4:$A$83=$B$4, INPUT_Rooms!$T$4:$T$83="Y"), 9), "")</f>
        <v/>
      </c>
      <c r="B55" s="6">
        <f>IF(A55="","", XLOOKUP(A55, FILTER(INPUT_Rooms!$B$4:$B$83, INPUT_Rooms!$A$4:$A$83=$B$4), FILTER(INPUT_Rooms!$C$4:$C$83, INPUT_Rooms!$A$4:$A$83=$B$4), ""))</f>
        <v/>
      </c>
      <c r="C55" s="6">
        <f>IF(A55="","", CHOOSE(5,"Baseboard","Crown","Window Casing","Door Casing","Doors (leaf)"))</f>
        <v/>
      </c>
      <c r="D55" s="6">
        <f>IF(A55="","", XLOOKUP(C55,Constants!$A$40:$A$200,Constants!$B$40:$B$200,"",0))</f>
        <v/>
      </c>
      <c r="E55" s="6">
        <f>IF(A55="","", IF(C55="Baseboard", IF(XLOOKUP(A55,INPUT_Rooms!$B:$B,INPUT_Rooms!$X:$X,"")="Y", XLOOKUP(A55,INPUT_Rooms!$B:$B,INPUT_Rooms!$AF:$AF,""), 0),IF(C55="Crown", IF(XLOOKUP(A55,INPUT_Rooms!$B:$B,INPUT_Rooms!$Y:$Y,"")="Y", XLOOKUP(A55,INPUT_Rooms!$B:$B,INPUT_Rooms!$AG:$AG,""), 0),IF(C55="Window Casing", IF(XLOOKUP(A55,INPUT_Rooms!$B:$B,INPUT_Rooms!$Z:$Z,"")="Y", SUMPRODUCT((INPUT_Openings!$A:$A=$B$4)*(INPUT_Openings!$B:$B=A55)*(INPUT_Openings!$D:$D)*XLOOKUP(INPUT_Openings!$C:$C,Constants!$A$30:$A$200,Constants!$E$30:$E$200,"",0)*(INPUT_Openings!$E:$E="Window")), 0),IF(C55="Door Casing", IF(XLOOKUP(A55,INPUT_Rooms!$B:$B,INPUT_Rooms!$AA:$AA,"")="Y", SUMPRODUCT((INPUT_Openings!$A:$A=$B$4)*(INPUT_Openings!$B:$B=A55)*(INPUT_Openings!$D:$D)*XLOOKUP(INPUT_Openings!$C:$C,Constants!$A$30:$A$200,Constants!$E$30:$E$200,"",0)*(INPUT_Openings!$E:$E="Door")), 0),IF(C55="Doors (leaf)", IF(XLOOKUP(A55,INPUT_Rooms!$B:$B,INPUT_Rooms!$AB:$AB,"")="Y", SUMPRODUCT((INPUT_Doors!$A:$A=$B$4)*(INPUT_Doors!$B:$B=A55)*(INPUT_Doors!$D:$D)*(INPUT_Doors!$E:$E)), 0), 0))))))</f>
        <v/>
      </c>
      <c r="F55" s="6">
        <f>IF(A55="","", XLOOKUP(A55, INPUT_Rooms!$B:$B, INPUT_Rooms!$U:$U, ""))</f>
        <v/>
      </c>
      <c r="G55" s="6">
        <f>IF(A55="","", XLOOKUP(A55, INPUT_Rooms!$B:$B, INPUT_Rooms!$V:$V, ""))</f>
        <v/>
      </c>
      <c r="H55" s="6">
        <f>IF(A55="","", IF(XLOOKUP(A55, INPUT_Rooms!$B:$B, INPUT_Rooms!$W:$W, "")="", $B$5, XLOOKUP(A55, INPUT_Rooms!$B:$B, INPUT_Rooms!$W:$W, "")))</f>
        <v/>
      </c>
      <c r="I55" s="6">
        <f>IF(A55="","", IF(C55="Doors (leaf)", 0, E55*XLOOKUP(C55,Constants!$A$40:$A$200,Constants!$C$40:$C$200,0,0)*XLOOKUP(H55,Constants!$E$10:$E$30,Constants!$F$10:$F$30)))</f>
        <v/>
      </c>
      <c r="J55" s="6">
        <f>IF(A55="","", IF(C55="Doors (leaf)", 0, E55*XLOOKUP(C55,Constants!$A$40:$A$200,Constants!$D$40:$D$200,0,0)*G55))</f>
        <v/>
      </c>
      <c r="K55" s="6">
        <f>IF(A55="","", IF(C55="Doors (leaf)", 0, IF(F55="Full", E55*XLOOKUP(C55,Constants!$A$40:$A$200,Constants!$E$40:$E$200,0,0), IF(F55="Spot", E55*XLOOKUP(C55,Constants!$A$40:$A$200,Constants!$E$40:$E$200,0,0)*0.35, 0))))</f>
        <v/>
      </c>
      <c r="L55">
        <f>IF(A55="","",0)</f>
        <v/>
      </c>
      <c r="M55" s="6">
        <f>IF(A55="","", SUM(I55:K55))</f>
        <v/>
      </c>
      <c r="N55" s="6">
        <f>IF(A55="","", L55/60)</f>
        <v/>
      </c>
      <c r="O55" s="6">
        <f>IF($A55="","", IFERROR($N55*IFERROR(IF(XLOOKUP('Job Control'!$B$3, INPUT_JobSettings!$A:$A, INPUT_JobSettings!$F:$F, "")&lt;&gt;"",XLOOKUP('Job Control'!$B$3, INPUT_JobSettings!$A:$A, INPUT_JobSettings!$F:$F, ""),$B$6),$B$6),0))</f>
        <v/>
      </c>
      <c r="P55" s="6">
        <f>IF($A55="","", IFERROR(($O55+$L55)*IFERROR(IF(XLOOKUP('Job Control'!$B$3, INPUT_JobSettings!$A:$A, INPUT_JobSettings!$G:$G, "")&lt;&gt;"",XLOOKUP('Job Control'!$B$3, INPUT_JobSettings!$A:$A, INPUT_JobSettings!$G:$G, ""),$B$7),$B$7),0))</f>
        <v/>
      </c>
    </row>
    <row r="56">
      <c r="A56" s="6">
        <f>IFERROR(INDEX(FILTER(INPUT_Rooms!$B$4:$B$83, INPUT_Rooms!$A$4:$A$83=$B$4, INPUT_Rooms!$T$4:$T$83="Y"), 10), "")</f>
        <v/>
      </c>
      <c r="B56" s="6">
        <f>IF(A56="","", XLOOKUP(A56, FILTER(INPUT_Rooms!$B$4:$B$83, INPUT_Rooms!$A$4:$A$83=$B$4), FILTER(INPUT_Rooms!$C$4:$C$83, INPUT_Rooms!$A$4:$A$83=$B$4), ""))</f>
        <v/>
      </c>
      <c r="C56" s="6">
        <f>IF(A56="","", CHOOSE(1,"Baseboard","Crown","Window Casing","Door Casing","Doors (leaf)"))</f>
        <v/>
      </c>
      <c r="D56" s="6">
        <f>IF(A56="","", XLOOKUP(C56,Constants!$A$40:$A$200,Constants!$B$40:$B$200,"",0))</f>
        <v/>
      </c>
      <c r="E56" s="6">
        <f>IF(A56="","", IF(C56="Baseboard", IF(XLOOKUP(A56,INPUT_Rooms!$B:$B,INPUT_Rooms!$X:$X,"")="Y", XLOOKUP(A56,INPUT_Rooms!$B:$B,INPUT_Rooms!$AF:$AF,""), 0),IF(C56="Crown", IF(XLOOKUP(A56,INPUT_Rooms!$B:$B,INPUT_Rooms!$Y:$Y,"")="Y", XLOOKUP(A56,INPUT_Rooms!$B:$B,INPUT_Rooms!$AG:$AG,""), 0),IF(C56="Window Casing", IF(XLOOKUP(A56,INPUT_Rooms!$B:$B,INPUT_Rooms!$Z:$Z,"")="Y", SUMPRODUCT((INPUT_Openings!$A:$A=$B$4)*(INPUT_Openings!$B:$B=A56)*(INPUT_Openings!$D:$D)*XLOOKUP(INPUT_Openings!$C:$C,Constants!$A$30:$A$200,Constants!$E$30:$E$200,"",0)*(INPUT_Openings!$E:$E="Window")), 0),IF(C56="Door Casing", IF(XLOOKUP(A56,INPUT_Rooms!$B:$B,INPUT_Rooms!$AA:$AA,"")="Y", SUMPRODUCT((INPUT_Openings!$A:$A=$B$4)*(INPUT_Openings!$B:$B=A56)*(INPUT_Openings!$D:$D)*XLOOKUP(INPUT_Openings!$C:$C,Constants!$A$30:$A$200,Constants!$E$30:$E$200,"",0)*(INPUT_Openings!$E:$E="Door")), 0),IF(C56="Doors (leaf)", IF(XLOOKUP(A56,INPUT_Rooms!$B:$B,INPUT_Rooms!$AB:$AB,"")="Y", SUMPRODUCT((INPUT_Doors!$A:$A=$B$4)*(INPUT_Doors!$B:$B=A56)*(INPUT_Doors!$D:$D)*(INPUT_Doors!$E:$E)), 0), 0))))))</f>
        <v/>
      </c>
      <c r="F56" s="6">
        <f>IF(A56="","", XLOOKUP(A56, INPUT_Rooms!$B:$B, INPUT_Rooms!$U:$U, ""))</f>
        <v/>
      </c>
      <c r="G56" s="6">
        <f>IF(A56="","", XLOOKUP(A56, INPUT_Rooms!$B:$B, INPUT_Rooms!$V:$V, ""))</f>
        <v/>
      </c>
      <c r="H56" s="6">
        <f>IF(A56="","", IF(XLOOKUP(A56, INPUT_Rooms!$B:$B, INPUT_Rooms!$W:$W, "")="", $B$5, XLOOKUP(A56, INPUT_Rooms!$B:$B, INPUT_Rooms!$W:$W, "")))</f>
        <v/>
      </c>
      <c r="I56" s="6">
        <f>IF(A56="","", IF(C56="Doors (leaf)", 0, E56*XLOOKUP(C56,Constants!$A$40:$A$200,Constants!$C$40:$C$200,0,0)*XLOOKUP(H56,Constants!$E$10:$E$30,Constants!$F$10:$F$30)))</f>
        <v/>
      </c>
      <c r="J56" s="6">
        <f>IF(A56="","", IF(C56="Doors (leaf)", 0, E56*XLOOKUP(C56,Constants!$A$40:$A$200,Constants!$D$40:$D$200,0,0)*G56))</f>
        <v/>
      </c>
      <c r="K56" s="6">
        <f>IF(A56="","", IF(C56="Doors (leaf)", 0, IF(F56="Full", E56*XLOOKUP(C56,Constants!$A$40:$A$200,Constants!$E$40:$E$200,0,0), IF(F56="Spot", E56*XLOOKUP(C56,Constants!$A$40:$A$200,Constants!$E$40:$E$200,0,0)*0.35, 0))))</f>
        <v/>
      </c>
      <c r="L56">
        <f>IF(A56="","",0)</f>
        <v/>
      </c>
      <c r="M56" s="6">
        <f>IF(A56="","", SUM(I56:K56))</f>
        <v/>
      </c>
      <c r="N56" s="6">
        <f>IF(A56="","", L56/60)</f>
        <v/>
      </c>
      <c r="O56" s="6">
        <f>IF($A56="","", IFERROR($N56*IFERROR(IF(XLOOKUP('Job Control'!$B$3, INPUT_JobSettings!$A:$A, INPUT_JobSettings!$F:$F, "")&lt;&gt;"",XLOOKUP('Job Control'!$B$3, INPUT_JobSettings!$A:$A, INPUT_JobSettings!$F:$F, ""),$B$6),$B$6),0))</f>
        <v/>
      </c>
      <c r="P56" s="6">
        <f>IF($A56="","", IFERROR(($O56+$L56)*IFERROR(IF(XLOOKUP('Job Control'!$B$3, INPUT_JobSettings!$A:$A, INPUT_JobSettings!$G:$G, "")&lt;&gt;"",XLOOKUP('Job Control'!$B$3, INPUT_JobSettings!$A:$A, INPUT_JobSettings!$G:$G, ""),$B$7),$B$7),0))</f>
        <v/>
      </c>
    </row>
    <row r="57">
      <c r="A57" s="6">
        <f>IFERROR(INDEX(FILTER(INPUT_Rooms!$B$4:$B$83, INPUT_Rooms!$A$4:$A$83=$B$4, INPUT_Rooms!$T$4:$T$83="Y"), 10), "")</f>
        <v/>
      </c>
      <c r="B57" s="6">
        <f>IF(A57="","", XLOOKUP(A57, FILTER(INPUT_Rooms!$B$4:$B$83, INPUT_Rooms!$A$4:$A$83=$B$4), FILTER(INPUT_Rooms!$C$4:$C$83, INPUT_Rooms!$A$4:$A$83=$B$4), ""))</f>
        <v/>
      </c>
      <c r="C57" s="6">
        <f>IF(A57="","", CHOOSE(2,"Baseboard","Crown","Window Casing","Door Casing","Doors (leaf)"))</f>
        <v/>
      </c>
      <c r="D57" s="6">
        <f>IF(A57="","", XLOOKUP(C57,Constants!$A$40:$A$200,Constants!$B$40:$B$200,"",0))</f>
        <v/>
      </c>
      <c r="E57" s="6">
        <f>IF(A57="","", IF(C57="Baseboard", IF(XLOOKUP(A57,INPUT_Rooms!$B:$B,INPUT_Rooms!$X:$X,"")="Y", XLOOKUP(A57,INPUT_Rooms!$B:$B,INPUT_Rooms!$AF:$AF,""), 0),IF(C57="Crown", IF(XLOOKUP(A57,INPUT_Rooms!$B:$B,INPUT_Rooms!$Y:$Y,"")="Y", XLOOKUP(A57,INPUT_Rooms!$B:$B,INPUT_Rooms!$AG:$AG,""), 0),IF(C57="Window Casing", IF(XLOOKUP(A57,INPUT_Rooms!$B:$B,INPUT_Rooms!$Z:$Z,"")="Y", SUMPRODUCT((INPUT_Openings!$A:$A=$B$4)*(INPUT_Openings!$B:$B=A57)*(INPUT_Openings!$D:$D)*XLOOKUP(INPUT_Openings!$C:$C,Constants!$A$30:$A$200,Constants!$E$30:$E$200,"",0)*(INPUT_Openings!$E:$E="Window")), 0),IF(C57="Door Casing", IF(XLOOKUP(A57,INPUT_Rooms!$B:$B,INPUT_Rooms!$AA:$AA,"")="Y", SUMPRODUCT((INPUT_Openings!$A:$A=$B$4)*(INPUT_Openings!$B:$B=A57)*(INPUT_Openings!$D:$D)*XLOOKUP(INPUT_Openings!$C:$C,Constants!$A$30:$A$200,Constants!$E$30:$E$200,"",0)*(INPUT_Openings!$E:$E="Door")), 0),IF(C57="Doors (leaf)", IF(XLOOKUP(A57,INPUT_Rooms!$B:$B,INPUT_Rooms!$AB:$AB,"")="Y", SUMPRODUCT((INPUT_Doors!$A:$A=$B$4)*(INPUT_Doors!$B:$B=A57)*(INPUT_Doors!$D:$D)*(INPUT_Doors!$E:$E)), 0), 0))))))</f>
        <v/>
      </c>
      <c r="F57" s="6">
        <f>IF(A57="","", XLOOKUP(A57, INPUT_Rooms!$B:$B, INPUT_Rooms!$U:$U, ""))</f>
        <v/>
      </c>
      <c r="G57" s="6">
        <f>IF(A57="","", XLOOKUP(A57, INPUT_Rooms!$B:$B, INPUT_Rooms!$V:$V, ""))</f>
        <v/>
      </c>
      <c r="H57" s="6">
        <f>IF(A57="","", IF(XLOOKUP(A57, INPUT_Rooms!$B:$B, INPUT_Rooms!$W:$W, "")="", $B$5, XLOOKUP(A57, INPUT_Rooms!$B:$B, INPUT_Rooms!$W:$W, "")))</f>
        <v/>
      </c>
      <c r="I57" s="6">
        <f>IF(A57="","", IF(C57="Doors (leaf)", 0, E57*XLOOKUP(C57,Constants!$A$40:$A$200,Constants!$C$40:$C$200,0,0)*XLOOKUP(H57,Constants!$E$10:$E$30,Constants!$F$10:$F$30)))</f>
        <v/>
      </c>
      <c r="J57" s="6">
        <f>IF(A57="","", IF(C57="Doors (leaf)", 0, E57*XLOOKUP(C57,Constants!$A$40:$A$200,Constants!$D$40:$D$200,0,0)*G57))</f>
        <v/>
      </c>
      <c r="K57" s="6">
        <f>IF(A57="","", IF(C57="Doors (leaf)", 0, IF(F57="Full", E57*XLOOKUP(C57,Constants!$A$40:$A$200,Constants!$E$40:$E$200,0,0), IF(F57="Spot", E57*XLOOKUP(C57,Constants!$A$40:$A$200,Constants!$E$40:$E$200,0,0)*0.35, 0))))</f>
        <v/>
      </c>
      <c r="L57">
        <f>IF(A57="","",0)</f>
        <v/>
      </c>
      <c r="M57" s="6">
        <f>IF(A57="","", SUM(I57:K57))</f>
        <v/>
      </c>
      <c r="N57" s="6">
        <f>IF(A57="","", L57/60)</f>
        <v/>
      </c>
      <c r="O57" s="6">
        <f>IF($A57="","", IFERROR($N57*IFERROR(IF(XLOOKUP('Job Control'!$B$3, INPUT_JobSettings!$A:$A, INPUT_JobSettings!$F:$F, "")&lt;&gt;"",XLOOKUP('Job Control'!$B$3, INPUT_JobSettings!$A:$A, INPUT_JobSettings!$F:$F, ""),$B$6),$B$6),0))</f>
        <v/>
      </c>
      <c r="P57" s="6">
        <f>IF($A57="","", IFERROR(($O57+$L57)*IFERROR(IF(XLOOKUP('Job Control'!$B$3, INPUT_JobSettings!$A:$A, INPUT_JobSettings!$G:$G, "")&lt;&gt;"",XLOOKUP('Job Control'!$B$3, INPUT_JobSettings!$A:$A, INPUT_JobSettings!$G:$G, ""),$B$7),$B$7),0))</f>
        <v/>
      </c>
    </row>
    <row r="58">
      <c r="A58" s="6">
        <f>IFERROR(INDEX(FILTER(INPUT_Rooms!$B$4:$B$83, INPUT_Rooms!$A$4:$A$83=$B$4, INPUT_Rooms!$T$4:$T$83="Y"), 10), "")</f>
        <v/>
      </c>
      <c r="B58" s="6">
        <f>IF(A58="","", XLOOKUP(A58, FILTER(INPUT_Rooms!$B$4:$B$83, INPUT_Rooms!$A$4:$A$83=$B$4), FILTER(INPUT_Rooms!$C$4:$C$83, INPUT_Rooms!$A$4:$A$83=$B$4), ""))</f>
        <v/>
      </c>
      <c r="C58" s="6">
        <f>IF(A58="","", CHOOSE(3,"Baseboard","Crown","Window Casing","Door Casing","Doors (leaf)"))</f>
        <v/>
      </c>
      <c r="D58" s="6">
        <f>IF(A58="","", XLOOKUP(C58,Constants!$A$40:$A$200,Constants!$B$40:$B$200,"",0))</f>
        <v/>
      </c>
      <c r="E58" s="6">
        <f>IF(A58="","", IF(C58="Baseboard", IF(XLOOKUP(A58,INPUT_Rooms!$B:$B,INPUT_Rooms!$X:$X,"")="Y", XLOOKUP(A58,INPUT_Rooms!$B:$B,INPUT_Rooms!$AF:$AF,""), 0),IF(C58="Crown", IF(XLOOKUP(A58,INPUT_Rooms!$B:$B,INPUT_Rooms!$Y:$Y,"")="Y", XLOOKUP(A58,INPUT_Rooms!$B:$B,INPUT_Rooms!$AG:$AG,""), 0),IF(C58="Window Casing", IF(XLOOKUP(A58,INPUT_Rooms!$B:$B,INPUT_Rooms!$Z:$Z,"")="Y", SUMPRODUCT((INPUT_Openings!$A:$A=$B$4)*(INPUT_Openings!$B:$B=A58)*(INPUT_Openings!$D:$D)*XLOOKUP(INPUT_Openings!$C:$C,Constants!$A$30:$A$200,Constants!$E$30:$E$200,"",0)*(INPUT_Openings!$E:$E="Window")), 0),IF(C58="Door Casing", IF(XLOOKUP(A58,INPUT_Rooms!$B:$B,INPUT_Rooms!$AA:$AA,"")="Y", SUMPRODUCT((INPUT_Openings!$A:$A=$B$4)*(INPUT_Openings!$B:$B=A58)*(INPUT_Openings!$D:$D)*XLOOKUP(INPUT_Openings!$C:$C,Constants!$A$30:$A$200,Constants!$E$30:$E$200,"",0)*(INPUT_Openings!$E:$E="Door")), 0),IF(C58="Doors (leaf)", IF(XLOOKUP(A58,INPUT_Rooms!$B:$B,INPUT_Rooms!$AB:$AB,"")="Y", SUMPRODUCT((INPUT_Doors!$A:$A=$B$4)*(INPUT_Doors!$B:$B=A58)*(INPUT_Doors!$D:$D)*(INPUT_Doors!$E:$E)), 0), 0))))))</f>
        <v/>
      </c>
      <c r="F58" s="6">
        <f>IF(A58="","", XLOOKUP(A58, INPUT_Rooms!$B:$B, INPUT_Rooms!$U:$U, ""))</f>
        <v/>
      </c>
      <c r="G58" s="6">
        <f>IF(A58="","", XLOOKUP(A58, INPUT_Rooms!$B:$B, INPUT_Rooms!$V:$V, ""))</f>
        <v/>
      </c>
      <c r="H58" s="6">
        <f>IF(A58="","", IF(XLOOKUP(A58, INPUT_Rooms!$B:$B, INPUT_Rooms!$W:$W, "")="", $B$5, XLOOKUP(A58, INPUT_Rooms!$B:$B, INPUT_Rooms!$W:$W, "")))</f>
        <v/>
      </c>
      <c r="I58" s="6">
        <f>IF(A58="","", IF(C58="Doors (leaf)", 0, E58*XLOOKUP(C58,Constants!$A$40:$A$200,Constants!$C$40:$C$200,0,0)*XLOOKUP(H58,Constants!$E$10:$E$30,Constants!$F$10:$F$30)))</f>
        <v/>
      </c>
      <c r="J58" s="6">
        <f>IF(A58="","", IF(C58="Doors (leaf)", 0, E58*XLOOKUP(C58,Constants!$A$40:$A$200,Constants!$D$40:$D$200,0,0)*G58))</f>
        <v/>
      </c>
      <c r="K58" s="6">
        <f>IF(A58="","", IF(C58="Doors (leaf)", 0, IF(F58="Full", E58*XLOOKUP(C58,Constants!$A$40:$A$200,Constants!$E$40:$E$200,0,0), IF(F58="Spot", E58*XLOOKUP(C58,Constants!$A$40:$A$200,Constants!$E$40:$E$200,0,0)*0.35, 0))))</f>
        <v/>
      </c>
      <c r="L58">
        <f>IF(A58="","",0)</f>
        <v/>
      </c>
      <c r="M58" s="6">
        <f>IF(A58="","", SUM(I58:K58))</f>
        <v/>
      </c>
      <c r="N58" s="6">
        <f>IF(A58="","", L58/60)</f>
        <v/>
      </c>
      <c r="O58" s="6">
        <f>IF($A58="","", IFERROR($N58*IFERROR(IF(XLOOKUP('Job Control'!$B$3, INPUT_JobSettings!$A:$A, INPUT_JobSettings!$F:$F, "")&lt;&gt;"",XLOOKUP('Job Control'!$B$3, INPUT_JobSettings!$A:$A, INPUT_JobSettings!$F:$F, ""),$B$6),$B$6),0))</f>
        <v/>
      </c>
      <c r="P58" s="6">
        <f>IF($A58="","", IFERROR(($O58+$L58)*IFERROR(IF(XLOOKUP('Job Control'!$B$3, INPUT_JobSettings!$A:$A, INPUT_JobSettings!$G:$G, "")&lt;&gt;"",XLOOKUP('Job Control'!$B$3, INPUT_JobSettings!$A:$A, INPUT_JobSettings!$G:$G, ""),$B$7),$B$7),0))</f>
        <v/>
      </c>
    </row>
    <row r="59">
      <c r="A59" s="6">
        <f>IFERROR(INDEX(FILTER(INPUT_Rooms!$B$4:$B$83, INPUT_Rooms!$A$4:$A$83=$B$4, INPUT_Rooms!$T$4:$T$83="Y"), 10), "")</f>
        <v/>
      </c>
      <c r="B59" s="6">
        <f>IF(A59="","", XLOOKUP(A59, FILTER(INPUT_Rooms!$B$4:$B$83, INPUT_Rooms!$A$4:$A$83=$B$4), FILTER(INPUT_Rooms!$C$4:$C$83, INPUT_Rooms!$A$4:$A$83=$B$4), ""))</f>
        <v/>
      </c>
      <c r="C59" s="6">
        <f>IF(A59="","", CHOOSE(4,"Baseboard","Crown","Window Casing","Door Casing","Doors (leaf)"))</f>
        <v/>
      </c>
      <c r="D59" s="6">
        <f>IF(A59="","", XLOOKUP(C59,Constants!$A$40:$A$200,Constants!$B$40:$B$200,"",0))</f>
        <v/>
      </c>
      <c r="E59" s="6">
        <f>IF(A59="","", IF(C59="Baseboard", IF(XLOOKUP(A59,INPUT_Rooms!$B:$B,INPUT_Rooms!$X:$X,"")="Y", XLOOKUP(A59,INPUT_Rooms!$B:$B,INPUT_Rooms!$AF:$AF,""), 0),IF(C59="Crown", IF(XLOOKUP(A59,INPUT_Rooms!$B:$B,INPUT_Rooms!$Y:$Y,"")="Y", XLOOKUP(A59,INPUT_Rooms!$B:$B,INPUT_Rooms!$AG:$AG,""), 0),IF(C59="Window Casing", IF(XLOOKUP(A59,INPUT_Rooms!$B:$B,INPUT_Rooms!$Z:$Z,"")="Y", SUMPRODUCT((INPUT_Openings!$A:$A=$B$4)*(INPUT_Openings!$B:$B=A59)*(INPUT_Openings!$D:$D)*XLOOKUP(INPUT_Openings!$C:$C,Constants!$A$30:$A$200,Constants!$E$30:$E$200,"",0)*(INPUT_Openings!$E:$E="Window")), 0),IF(C59="Door Casing", IF(XLOOKUP(A59,INPUT_Rooms!$B:$B,INPUT_Rooms!$AA:$AA,"")="Y", SUMPRODUCT((INPUT_Openings!$A:$A=$B$4)*(INPUT_Openings!$B:$B=A59)*(INPUT_Openings!$D:$D)*XLOOKUP(INPUT_Openings!$C:$C,Constants!$A$30:$A$200,Constants!$E$30:$E$200,"",0)*(INPUT_Openings!$E:$E="Door")), 0),IF(C59="Doors (leaf)", IF(XLOOKUP(A59,INPUT_Rooms!$B:$B,INPUT_Rooms!$AB:$AB,"")="Y", SUMPRODUCT((INPUT_Doors!$A:$A=$B$4)*(INPUT_Doors!$B:$B=A59)*(INPUT_Doors!$D:$D)*(INPUT_Doors!$E:$E)), 0), 0))))))</f>
        <v/>
      </c>
      <c r="F59" s="6">
        <f>IF(A59="","", XLOOKUP(A59, INPUT_Rooms!$B:$B, INPUT_Rooms!$U:$U, ""))</f>
        <v/>
      </c>
      <c r="G59" s="6">
        <f>IF(A59="","", XLOOKUP(A59, INPUT_Rooms!$B:$B, INPUT_Rooms!$V:$V, ""))</f>
        <v/>
      </c>
      <c r="H59" s="6">
        <f>IF(A59="","", IF(XLOOKUP(A59, INPUT_Rooms!$B:$B, INPUT_Rooms!$W:$W, "")="", $B$5, XLOOKUP(A59, INPUT_Rooms!$B:$B, INPUT_Rooms!$W:$W, "")))</f>
        <v/>
      </c>
      <c r="I59" s="6">
        <f>IF(A59="","", IF(C59="Doors (leaf)", 0, E59*XLOOKUP(C59,Constants!$A$40:$A$200,Constants!$C$40:$C$200,0,0)*XLOOKUP(H59,Constants!$E$10:$E$30,Constants!$F$10:$F$30)))</f>
        <v/>
      </c>
      <c r="J59" s="6">
        <f>IF(A59="","", IF(C59="Doors (leaf)", 0, E59*XLOOKUP(C59,Constants!$A$40:$A$200,Constants!$D$40:$D$200,0,0)*G59))</f>
        <v/>
      </c>
      <c r="K59" s="6">
        <f>IF(A59="","", IF(C59="Doors (leaf)", 0, IF(F59="Full", E59*XLOOKUP(C59,Constants!$A$40:$A$200,Constants!$E$40:$E$200,0,0), IF(F59="Spot", E59*XLOOKUP(C59,Constants!$A$40:$A$200,Constants!$E$40:$E$200,0,0)*0.35, 0))))</f>
        <v/>
      </c>
      <c r="L59">
        <f>IF(A59="","",0)</f>
        <v/>
      </c>
      <c r="M59" s="6">
        <f>IF(A59="","", SUM(I59:K59))</f>
        <v/>
      </c>
      <c r="N59" s="6">
        <f>IF(A59="","", L59/60)</f>
        <v/>
      </c>
      <c r="O59" s="6">
        <f>IF($A59="","", IFERROR($N59*IFERROR(IF(XLOOKUP('Job Control'!$B$3, INPUT_JobSettings!$A:$A, INPUT_JobSettings!$F:$F, "")&lt;&gt;"",XLOOKUP('Job Control'!$B$3, INPUT_JobSettings!$A:$A, INPUT_JobSettings!$F:$F, ""),$B$6),$B$6),0))</f>
        <v/>
      </c>
      <c r="P59" s="6">
        <f>IF($A59="","", IFERROR(($O59+$L59)*IFERROR(IF(XLOOKUP('Job Control'!$B$3, INPUT_JobSettings!$A:$A, INPUT_JobSettings!$G:$G, "")&lt;&gt;"",XLOOKUP('Job Control'!$B$3, INPUT_JobSettings!$A:$A, INPUT_JobSettings!$G:$G, ""),$B$7),$B$7),0))</f>
        <v/>
      </c>
    </row>
    <row r="60">
      <c r="A60" s="6">
        <f>IFERROR(INDEX(FILTER(INPUT_Rooms!$B$4:$B$83, INPUT_Rooms!$A$4:$A$83=$B$4, INPUT_Rooms!$T$4:$T$83="Y"), 10), "")</f>
        <v/>
      </c>
      <c r="B60" s="6">
        <f>IF(A60="","", XLOOKUP(A60, FILTER(INPUT_Rooms!$B$4:$B$83, INPUT_Rooms!$A$4:$A$83=$B$4), FILTER(INPUT_Rooms!$C$4:$C$83, INPUT_Rooms!$A$4:$A$83=$B$4), ""))</f>
        <v/>
      </c>
      <c r="C60" s="6">
        <f>IF(A60="","", CHOOSE(5,"Baseboard","Crown","Window Casing","Door Casing","Doors (leaf)"))</f>
        <v/>
      </c>
      <c r="D60" s="6">
        <f>IF(A60="","", XLOOKUP(C60,Constants!$A$40:$A$200,Constants!$B$40:$B$200,"",0))</f>
        <v/>
      </c>
      <c r="E60" s="6">
        <f>IF(A60="","", IF(C60="Baseboard", IF(XLOOKUP(A60,INPUT_Rooms!$B:$B,INPUT_Rooms!$X:$X,"")="Y", XLOOKUP(A60,INPUT_Rooms!$B:$B,INPUT_Rooms!$AF:$AF,""), 0),IF(C60="Crown", IF(XLOOKUP(A60,INPUT_Rooms!$B:$B,INPUT_Rooms!$Y:$Y,"")="Y", XLOOKUP(A60,INPUT_Rooms!$B:$B,INPUT_Rooms!$AG:$AG,""), 0),IF(C60="Window Casing", IF(XLOOKUP(A60,INPUT_Rooms!$B:$B,INPUT_Rooms!$Z:$Z,"")="Y", SUMPRODUCT((INPUT_Openings!$A:$A=$B$4)*(INPUT_Openings!$B:$B=A60)*(INPUT_Openings!$D:$D)*XLOOKUP(INPUT_Openings!$C:$C,Constants!$A$30:$A$200,Constants!$E$30:$E$200,"",0)*(INPUT_Openings!$E:$E="Window")), 0),IF(C60="Door Casing", IF(XLOOKUP(A60,INPUT_Rooms!$B:$B,INPUT_Rooms!$AA:$AA,"")="Y", SUMPRODUCT((INPUT_Openings!$A:$A=$B$4)*(INPUT_Openings!$B:$B=A60)*(INPUT_Openings!$D:$D)*XLOOKUP(INPUT_Openings!$C:$C,Constants!$A$30:$A$200,Constants!$E$30:$E$200,"",0)*(INPUT_Openings!$E:$E="Door")), 0),IF(C60="Doors (leaf)", IF(XLOOKUP(A60,INPUT_Rooms!$B:$B,INPUT_Rooms!$AB:$AB,"")="Y", SUMPRODUCT((INPUT_Doors!$A:$A=$B$4)*(INPUT_Doors!$B:$B=A60)*(INPUT_Doors!$D:$D)*(INPUT_Doors!$E:$E)), 0), 0))))))</f>
        <v/>
      </c>
      <c r="F60" s="6">
        <f>IF(A60="","", XLOOKUP(A60, INPUT_Rooms!$B:$B, INPUT_Rooms!$U:$U, ""))</f>
        <v/>
      </c>
      <c r="G60" s="6">
        <f>IF(A60="","", XLOOKUP(A60, INPUT_Rooms!$B:$B, INPUT_Rooms!$V:$V, ""))</f>
        <v/>
      </c>
      <c r="H60" s="6">
        <f>IF(A60="","", IF(XLOOKUP(A60, INPUT_Rooms!$B:$B, INPUT_Rooms!$W:$W, "")="", $B$5, XLOOKUP(A60, INPUT_Rooms!$B:$B, INPUT_Rooms!$W:$W, "")))</f>
        <v/>
      </c>
      <c r="I60" s="6">
        <f>IF(A60="","", IF(C60="Doors (leaf)", 0, E60*XLOOKUP(C60,Constants!$A$40:$A$200,Constants!$C$40:$C$200,0,0)*XLOOKUP(H60,Constants!$E$10:$E$30,Constants!$F$10:$F$30)))</f>
        <v/>
      </c>
      <c r="J60" s="6">
        <f>IF(A60="","", IF(C60="Doors (leaf)", 0, E60*XLOOKUP(C60,Constants!$A$40:$A$200,Constants!$D$40:$D$200,0,0)*G60))</f>
        <v/>
      </c>
      <c r="K60" s="6">
        <f>IF(A60="","", IF(C60="Doors (leaf)", 0, IF(F60="Full", E60*XLOOKUP(C60,Constants!$A$40:$A$200,Constants!$E$40:$E$200,0,0), IF(F60="Spot", E60*XLOOKUP(C60,Constants!$A$40:$A$200,Constants!$E$40:$E$200,0,0)*0.35, 0))))</f>
        <v/>
      </c>
      <c r="L60">
        <f>IF(A60="","",0)</f>
        <v/>
      </c>
      <c r="M60" s="6">
        <f>IF(A60="","", SUM(I60:K60))</f>
        <v/>
      </c>
      <c r="N60" s="6">
        <f>IF(A60="","", L60/60)</f>
        <v/>
      </c>
      <c r="O60" s="6">
        <f>IF($A60="","", IFERROR($N60*IFERROR(IF(XLOOKUP('Job Control'!$B$3, INPUT_JobSettings!$A:$A, INPUT_JobSettings!$F:$F, "")&lt;&gt;"",XLOOKUP('Job Control'!$B$3, INPUT_JobSettings!$A:$A, INPUT_JobSettings!$F:$F, ""),$B$6),$B$6),0))</f>
        <v/>
      </c>
      <c r="P60" s="6">
        <f>IF($A60="","", IFERROR(($O60+$L60)*IFERROR(IF(XLOOKUP('Job Control'!$B$3, INPUT_JobSettings!$A:$A, INPUT_JobSettings!$G:$G, "")&lt;&gt;"",XLOOKUP('Job Control'!$B$3, INPUT_JobSettings!$A:$A, INPUT_JobSettings!$G:$G, ""),$B$7),$B$7),0))</f>
        <v/>
      </c>
    </row>
    <row r="61">
      <c r="A61" s="6">
        <f>IFERROR(INDEX(FILTER(INPUT_Rooms!$B$4:$B$83, INPUT_Rooms!$A$4:$A$83=$B$4, INPUT_Rooms!$T$4:$T$83="Y"), 11), "")</f>
        <v/>
      </c>
      <c r="B61" s="6">
        <f>IF(A61="","", XLOOKUP(A61, FILTER(INPUT_Rooms!$B$4:$B$83, INPUT_Rooms!$A$4:$A$83=$B$4), FILTER(INPUT_Rooms!$C$4:$C$83, INPUT_Rooms!$A$4:$A$83=$B$4), ""))</f>
        <v/>
      </c>
      <c r="C61" s="6">
        <f>IF(A61="","", CHOOSE(1,"Baseboard","Crown","Window Casing","Door Casing","Doors (leaf)"))</f>
        <v/>
      </c>
      <c r="D61" s="6">
        <f>IF(A61="","", XLOOKUP(C61,Constants!$A$40:$A$200,Constants!$B$40:$B$200,"",0))</f>
        <v/>
      </c>
      <c r="E61" s="6">
        <f>IF(A61="","", IF(C61="Baseboard", IF(XLOOKUP(A61,INPUT_Rooms!$B:$B,INPUT_Rooms!$X:$X,"")="Y", XLOOKUP(A61,INPUT_Rooms!$B:$B,INPUT_Rooms!$AF:$AF,""), 0),IF(C61="Crown", IF(XLOOKUP(A61,INPUT_Rooms!$B:$B,INPUT_Rooms!$Y:$Y,"")="Y", XLOOKUP(A61,INPUT_Rooms!$B:$B,INPUT_Rooms!$AG:$AG,""), 0),IF(C61="Window Casing", IF(XLOOKUP(A61,INPUT_Rooms!$B:$B,INPUT_Rooms!$Z:$Z,"")="Y", SUMPRODUCT((INPUT_Openings!$A:$A=$B$4)*(INPUT_Openings!$B:$B=A61)*(INPUT_Openings!$D:$D)*XLOOKUP(INPUT_Openings!$C:$C,Constants!$A$30:$A$200,Constants!$E$30:$E$200,"",0)*(INPUT_Openings!$E:$E="Window")), 0),IF(C61="Door Casing", IF(XLOOKUP(A61,INPUT_Rooms!$B:$B,INPUT_Rooms!$AA:$AA,"")="Y", SUMPRODUCT((INPUT_Openings!$A:$A=$B$4)*(INPUT_Openings!$B:$B=A61)*(INPUT_Openings!$D:$D)*XLOOKUP(INPUT_Openings!$C:$C,Constants!$A$30:$A$200,Constants!$E$30:$E$200,"",0)*(INPUT_Openings!$E:$E="Door")), 0),IF(C61="Doors (leaf)", IF(XLOOKUP(A61,INPUT_Rooms!$B:$B,INPUT_Rooms!$AB:$AB,"")="Y", SUMPRODUCT((INPUT_Doors!$A:$A=$B$4)*(INPUT_Doors!$B:$B=A61)*(INPUT_Doors!$D:$D)*(INPUT_Doors!$E:$E)), 0), 0))))))</f>
        <v/>
      </c>
      <c r="F61" s="6">
        <f>IF(A61="","", XLOOKUP(A61, INPUT_Rooms!$B:$B, INPUT_Rooms!$U:$U, ""))</f>
        <v/>
      </c>
      <c r="G61" s="6">
        <f>IF(A61="","", XLOOKUP(A61, INPUT_Rooms!$B:$B, INPUT_Rooms!$V:$V, ""))</f>
        <v/>
      </c>
      <c r="H61" s="6">
        <f>IF(A61="","", IF(XLOOKUP(A61, INPUT_Rooms!$B:$B, INPUT_Rooms!$W:$W, "")="", $B$5, XLOOKUP(A61, INPUT_Rooms!$B:$B, INPUT_Rooms!$W:$W, "")))</f>
        <v/>
      </c>
      <c r="I61" s="6">
        <f>IF(A61="","", IF(C61="Doors (leaf)", 0, E61*XLOOKUP(C61,Constants!$A$40:$A$200,Constants!$C$40:$C$200,0,0)*XLOOKUP(H61,Constants!$E$10:$E$30,Constants!$F$10:$F$30)))</f>
        <v/>
      </c>
      <c r="J61" s="6">
        <f>IF(A61="","", IF(C61="Doors (leaf)", 0, E61*XLOOKUP(C61,Constants!$A$40:$A$200,Constants!$D$40:$D$200,0,0)*G61))</f>
        <v/>
      </c>
      <c r="K61" s="6">
        <f>IF(A61="","", IF(C61="Doors (leaf)", 0, IF(F61="Full", E61*XLOOKUP(C61,Constants!$A$40:$A$200,Constants!$E$40:$E$200,0,0), IF(F61="Spot", E61*XLOOKUP(C61,Constants!$A$40:$A$200,Constants!$E$40:$E$200,0,0)*0.35, 0))))</f>
        <v/>
      </c>
      <c r="L61">
        <f>IF(A61="","",0)</f>
        <v/>
      </c>
      <c r="M61" s="6">
        <f>IF(A61="","", SUM(I61:K61))</f>
        <v/>
      </c>
      <c r="N61" s="6">
        <f>IF(A61="","", L61/60)</f>
        <v/>
      </c>
      <c r="O61" s="6">
        <f>IF($A61="","", IFERROR($N61*IFERROR(IF(XLOOKUP('Job Control'!$B$3, INPUT_JobSettings!$A:$A, INPUT_JobSettings!$F:$F, "")&lt;&gt;"",XLOOKUP('Job Control'!$B$3, INPUT_JobSettings!$A:$A, INPUT_JobSettings!$F:$F, ""),$B$6),$B$6),0))</f>
        <v/>
      </c>
      <c r="P61" s="6">
        <f>IF($A61="","", IFERROR(($O61+$L61)*IFERROR(IF(XLOOKUP('Job Control'!$B$3, INPUT_JobSettings!$A:$A, INPUT_JobSettings!$G:$G, "")&lt;&gt;"",XLOOKUP('Job Control'!$B$3, INPUT_JobSettings!$A:$A, INPUT_JobSettings!$G:$G, ""),$B$7),$B$7),0))</f>
        <v/>
      </c>
    </row>
    <row r="62">
      <c r="A62" s="6">
        <f>IFERROR(INDEX(FILTER(INPUT_Rooms!$B$4:$B$83, INPUT_Rooms!$A$4:$A$83=$B$4, INPUT_Rooms!$T$4:$T$83="Y"), 11), "")</f>
        <v/>
      </c>
      <c r="B62" s="6">
        <f>IF(A62="","", XLOOKUP(A62, FILTER(INPUT_Rooms!$B$4:$B$83, INPUT_Rooms!$A$4:$A$83=$B$4), FILTER(INPUT_Rooms!$C$4:$C$83, INPUT_Rooms!$A$4:$A$83=$B$4), ""))</f>
        <v/>
      </c>
      <c r="C62" s="6">
        <f>IF(A62="","", CHOOSE(2,"Baseboard","Crown","Window Casing","Door Casing","Doors (leaf)"))</f>
        <v/>
      </c>
      <c r="D62" s="6">
        <f>IF(A62="","", XLOOKUP(C62,Constants!$A$40:$A$200,Constants!$B$40:$B$200,"",0))</f>
        <v/>
      </c>
      <c r="E62" s="6">
        <f>IF(A62="","", IF(C62="Baseboard", IF(XLOOKUP(A62,INPUT_Rooms!$B:$B,INPUT_Rooms!$X:$X,"")="Y", XLOOKUP(A62,INPUT_Rooms!$B:$B,INPUT_Rooms!$AF:$AF,""), 0),IF(C62="Crown", IF(XLOOKUP(A62,INPUT_Rooms!$B:$B,INPUT_Rooms!$Y:$Y,"")="Y", XLOOKUP(A62,INPUT_Rooms!$B:$B,INPUT_Rooms!$AG:$AG,""), 0),IF(C62="Window Casing", IF(XLOOKUP(A62,INPUT_Rooms!$B:$B,INPUT_Rooms!$Z:$Z,"")="Y", SUMPRODUCT((INPUT_Openings!$A:$A=$B$4)*(INPUT_Openings!$B:$B=A62)*(INPUT_Openings!$D:$D)*XLOOKUP(INPUT_Openings!$C:$C,Constants!$A$30:$A$200,Constants!$E$30:$E$200,"",0)*(INPUT_Openings!$E:$E="Window")), 0),IF(C62="Door Casing", IF(XLOOKUP(A62,INPUT_Rooms!$B:$B,INPUT_Rooms!$AA:$AA,"")="Y", SUMPRODUCT((INPUT_Openings!$A:$A=$B$4)*(INPUT_Openings!$B:$B=A62)*(INPUT_Openings!$D:$D)*XLOOKUP(INPUT_Openings!$C:$C,Constants!$A$30:$A$200,Constants!$E$30:$E$200,"",0)*(INPUT_Openings!$E:$E="Door")), 0),IF(C62="Doors (leaf)", IF(XLOOKUP(A62,INPUT_Rooms!$B:$B,INPUT_Rooms!$AB:$AB,"")="Y", SUMPRODUCT((INPUT_Doors!$A:$A=$B$4)*(INPUT_Doors!$B:$B=A62)*(INPUT_Doors!$D:$D)*(INPUT_Doors!$E:$E)), 0), 0))))))</f>
        <v/>
      </c>
      <c r="F62" s="6">
        <f>IF(A62="","", XLOOKUP(A62, INPUT_Rooms!$B:$B, INPUT_Rooms!$U:$U, ""))</f>
        <v/>
      </c>
      <c r="G62" s="6">
        <f>IF(A62="","", XLOOKUP(A62, INPUT_Rooms!$B:$B, INPUT_Rooms!$V:$V, ""))</f>
        <v/>
      </c>
      <c r="H62" s="6">
        <f>IF(A62="","", IF(XLOOKUP(A62, INPUT_Rooms!$B:$B, INPUT_Rooms!$W:$W, "")="", $B$5, XLOOKUP(A62, INPUT_Rooms!$B:$B, INPUT_Rooms!$W:$W, "")))</f>
        <v/>
      </c>
      <c r="I62" s="6">
        <f>IF(A62="","", IF(C62="Doors (leaf)", 0, E62*XLOOKUP(C62,Constants!$A$40:$A$200,Constants!$C$40:$C$200,0,0)*XLOOKUP(H62,Constants!$E$10:$E$30,Constants!$F$10:$F$30)))</f>
        <v/>
      </c>
      <c r="J62" s="6">
        <f>IF(A62="","", IF(C62="Doors (leaf)", 0, E62*XLOOKUP(C62,Constants!$A$40:$A$200,Constants!$D$40:$D$200,0,0)*G62))</f>
        <v/>
      </c>
      <c r="K62" s="6">
        <f>IF(A62="","", IF(C62="Doors (leaf)", 0, IF(F62="Full", E62*XLOOKUP(C62,Constants!$A$40:$A$200,Constants!$E$40:$E$200,0,0), IF(F62="Spot", E62*XLOOKUP(C62,Constants!$A$40:$A$200,Constants!$E$40:$E$200,0,0)*0.35, 0))))</f>
        <v/>
      </c>
      <c r="L62">
        <f>IF(A62="","",0)</f>
        <v/>
      </c>
      <c r="M62" s="6">
        <f>IF(A62="","", SUM(I62:K62))</f>
        <v/>
      </c>
      <c r="N62" s="6">
        <f>IF(A62="","", L62/60)</f>
        <v/>
      </c>
      <c r="O62" s="6">
        <f>IF($A62="","", IFERROR($N62*IFERROR(IF(XLOOKUP('Job Control'!$B$3, INPUT_JobSettings!$A:$A, INPUT_JobSettings!$F:$F, "")&lt;&gt;"",XLOOKUP('Job Control'!$B$3, INPUT_JobSettings!$A:$A, INPUT_JobSettings!$F:$F, ""),$B$6),$B$6),0))</f>
        <v/>
      </c>
      <c r="P62" s="6">
        <f>IF($A62="","", IFERROR(($O62+$L62)*IFERROR(IF(XLOOKUP('Job Control'!$B$3, INPUT_JobSettings!$A:$A, INPUT_JobSettings!$G:$G, "")&lt;&gt;"",XLOOKUP('Job Control'!$B$3, INPUT_JobSettings!$A:$A, INPUT_JobSettings!$G:$G, ""),$B$7),$B$7),0))</f>
        <v/>
      </c>
    </row>
    <row r="63">
      <c r="A63" s="6">
        <f>IFERROR(INDEX(FILTER(INPUT_Rooms!$B$4:$B$83, INPUT_Rooms!$A$4:$A$83=$B$4, INPUT_Rooms!$T$4:$T$83="Y"), 11), "")</f>
        <v/>
      </c>
      <c r="B63" s="6">
        <f>IF(A63="","", XLOOKUP(A63, FILTER(INPUT_Rooms!$B$4:$B$83, INPUT_Rooms!$A$4:$A$83=$B$4), FILTER(INPUT_Rooms!$C$4:$C$83, INPUT_Rooms!$A$4:$A$83=$B$4), ""))</f>
        <v/>
      </c>
      <c r="C63" s="6">
        <f>IF(A63="","", CHOOSE(3,"Baseboard","Crown","Window Casing","Door Casing","Doors (leaf)"))</f>
        <v/>
      </c>
      <c r="D63" s="6">
        <f>IF(A63="","", XLOOKUP(C63,Constants!$A$40:$A$200,Constants!$B$40:$B$200,"",0))</f>
        <v/>
      </c>
      <c r="E63" s="6">
        <f>IF(A63="","", IF(C63="Baseboard", IF(XLOOKUP(A63,INPUT_Rooms!$B:$B,INPUT_Rooms!$X:$X,"")="Y", XLOOKUP(A63,INPUT_Rooms!$B:$B,INPUT_Rooms!$AF:$AF,""), 0),IF(C63="Crown", IF(XLOOKUP(A63,INPUT_Rooms!$B:$B,INPUT_Rooms!$Y:$Y,"")="Y", XLOOKUP(A63,INPUT_Rooms!$B:$B,INPUT_Rooms!$AG:$AG,""), 0),IF(C63="Window Casing", IF(XLOOKUP(A63,INPUT_Rooms!$B:$B,INPUT_Rooms!$Z:$Z,"")="Y", SUMPRODUCT((INPUT_Openings!$A:$A=$B$4)*(INPUT_Openings!$B:$B=A63)*(INPUT_Openings!$D:$D)*XLOOKUP(INPUT_Openings!$C:$C,Constants!$A$30:$A$200,Constants!$E$30:$E$200,"",0)*(INPUT_Openings!$E:$E="Window")), 0),IF(C63="Door Casing", IF(XLOOKUP(A63,INPUT_Rooms!$B:$B,INPUT_Rooms!$AA:$AA,"")="Y", SUMPRODUCT((INPUT_Openings!$A:$A=$B$4)*(INPUT_Openings!$B:$B=A63)*(INPUT_Openings!$D:$D)*XLOOKUP(INPUT_Openings!$C:$C,Constants!$A$30:$A$200,Constants!$E$30:$E$200,"",0)*(INPUT_Openings!$E:$E="Door")), 0),IF(C63="Doors (leaf)", IF(XLOOKUP(A63,INPUT_Rooms!$B:$B,INPUT_Rooms!$AB:$AB,"")="Y", SUMPRODUCT((INPUT_Doors!$A:$A=$B$4)*(INPUT_Doors!$B:$B=A63)*(INPUT_Doors!$D:$D)*(INPUT_Doors!$E:$E)), 0), 0))))))</f>
        <v/>
      </c>
      <c r="F63" s="6">
        <f>IF(A63="","", XLOOKUP(A63, INPUT_Rooms!$B:$B, INPUT_Rooms!$U:$U, ""))</f>
        <v/>
      </c>
      <c r="G63" s="6">
        <f>IF(A63="","", XLOOKUP(A63, INPUT_Rooms!$B:$B, INPUT_Rooms!$V:$V, ""))</f>
        <v/>
      </c>
      <c r="H63" s="6">
        <f>IF(A63="","", IF(XLOOKUP(A63, INPUT_Rooms!$B:$B, INPUT_Rooms!$W:$W, "")="", $B$5, XLOOKUP(A63, INPUT_Rooms!$B:$B, INPUT_Rooms!$W:$W, "")))</f>
        <v/>
      </c>
      <c r="I63" s="6">
        <f>IF(A63="","", IF(C63="Doors (leaf)", 0, E63*XLOOKUP(C63,Constants!$A$40:$A$200,Constants!$C$40:$C$200,0,0)*XLOOKUP(H63,Constants!$E$10:$E$30,Constants!$F$10:$F$30)))</f>
        <v/>
      </c>
      <c r="J63" s="6">
        <f>IF(A63="","", IF(C63="Doors (leaf)", 0, E63*XLOOKUP(C63,Constants!$A$40:$A$200,Constants!$D$40:$D$200,0,0)*G63))</f>
        <v/>
      </c>
      <c r="K63" s="6">
        <f>IF(A63="","", IF(C63="Doors (leaf)", 0, IF(F63="Full", E63*XLOOKUP(C63,Constants!$A$40:$A$200,Constants!$E$40:$E$200,0,0), IF(F63="Spot", E63*XLOOKUP(C63,Constants!$A$40:$A$200,Constants!$E$40:$E$200,0,0)*0.35, 0))))</f>
        <v/>
      </c>
      <c r="L63">
        <f>IF(A63="","",0)</f>
        <v/>
      </c>
      <c r="M63" s="6">
        <f>IF(A63="","", SUM(I63:K63))</f>
        <v/>
      </c>
      <c r="N63" s="6">
        <f>IF(A63="","", L63/60)</f>
        <v/>
      </c>
      <c r="O63" s="6">
        <f>IF($A63="","", IFERROR($N63*IFERROR(IF(XLOOKUP('Job Control'!$B$3, INPUT_JobSettings!$A:$A, INPUT_JobSettings!$F:$F, "")&lt;&gt;"",XLOOKUP('Job Control'!$B$3, INPUT_JobSettings!$A:$A, INPUT_JobSettings!$F:$F, ""),$B$6),$B$6),0))</f>
        <v/>
      </c>
      <c r="P63" s="6">
        <f>IF($A63="","", IFERROR(($O63+$L63)*IFERROR(IF(XLOOKUP('Job Control'!$B$3, INPUT_JobSettings!$A:$A, INPUT_JobSettings!$G:$G, "")&lt;&gt;"",XLOOKUP('Job Control'!$B$3, INPUT_JobSettings!$A:$A, INPUT_JobSettings!$G:$G, ""),$B$7),$B$7),0))</f>
        <v/>
      </c>
    </row>
    <row r="64">
      <c r="A64" s="6">
        <f>IFERROR(INDEX(FILTER(INPUT_Rooms!$B$4:$B$83, INPUT_Rooms!$A$4:$A$83=$B$4, INPUT_Rooms!$T$4:$T$83="Y"), 11), "")</f>
        <v/>
      </c>
      <c r="B64" s="6">
        <f>IF(A64="","", XLOOKUP(A64, FILTER(INPUT_Rooms!$B$4:$B$83, INPUT_Rooms!$A$4:$A$83=$B$4), FILTER(INPUT_Rooms!$C$4:$C$83, INPUT_Rooms!$A$4:$A$83=$B$4), ""))</f>
        <v/>
      </c>
      <c r="C64" s="6">
        <f>IF(A64="","", CHOOSE(4,"Baseboard","Crown","Window Casing","Door Casing","Doors (leaf)"))</f>
        <v/>
      </c>
      <c r="D64" s="6">
        <f>IF(A64="","", XLOOKUP(C64,Constants!$A$40:$A$200,Constants!$B$40:$B$200,"",0))</f>
        <v/>
      </c>
      <c r="E64" s="6">
        <f>IF(A64="","", IF(C64="Baseboard", IF(XLOOKUP(A64,INPUT_Rooms!$B:$B,INPUT_Rooms!$X:$X,"")="Y", XLOOKUP(A64,INPUT_Rooms!$B:$B,INPUT_Rooms!$AF:$AF,""), 0),IF(C64="Crown", IF(XLOOKUP(A64,INPUT_Rooms!$B:$B,INPUT_Rooms!$Y:$Y,"")="Y", XLOOKUP(A64,INPUT_Rooms!$B:$B,INPUT_Rooms!$AG:$AG,""), 0),IF(C64="Window Casing", IF(XLOOKUP(A64,INPUT_Rooms!$B:$B,INPUT_Rooms!$Z:$Z,"")="Y", SUMPRODUCT((INPUT_Openings!$A:$A=$B$4)*(INPUT_Openings!$B:$B=A64)*(INPUT_Openings!$D:$D)*XLOOKUP(INPUT_Openings!$C:$C,Constants!$A$30:$A$200,Constants!$E$30:$E$200,"",0)*(INPUT_Openings!$E:$E="Window")), 0),IF(C64="Door Casing", IF(XLOOKUP(A64,INPUT_Rooms!$B:$B,INPUT_Rooms!$AA:$AA,"")="Y", SUMPRODUCT((INPUT_Openings!$A:$A=$B$4)*(INPUT_Openings!$B:$B=A64)*(INPUT_Openings!$D:$D)*XLOOKUP(INPUT_Openings!$C:$C,Constants!$A$30:$A$200,Constants!$E$30:$E$200,"",0)*(INPUT_Openings!$E:$E="Door")), 0),IF(C64="Doors (leaf)", IF(XLOOKUP(A64,INPUT_Rooms!$B:$B,INPUT_Rooms!$AB:$AB,"")="Y", SUMPRODUCT((INPUT_Doors!$A:$A=$B$4)*(INPUT_Doors!$B:$B=A64)*(INPUT_Doors!$D:$D)*(INPUT_Doors!$E:$E)), 0), 0))))))</f>
        <v/>
      </c>
      <c r="F64" s="6">
        <f>IF(A64="","", XLOOKUP(A64, INPUT_Rooms!$B:$B, INPUT_Rooms!$U:$U, ""))</f>
        <v/>
      </c>
      <c r="G64" s="6">
        <f>IF(A64="","", XLOOKUP(A64, INPUT_Rooms!$B:$B, INPUT_Rooms!$V:$V, ""))</f>
        <v/>
      </c>
      <c r="H64" s="6">
        <f>IF(A64="","", IF(XLOOKUP(A64, INPUT_Rooms!$B:$B, INPUT_Rooms!$W:$W, "")="", $B$5, XLOOKUP(A64, INPUT_Rooms!$B:$B, INPUT_Rooms!$W:$W, "")))</f>
        <v/>
      </c>
      <c r="I64" s="6">
        <f>IF(A64="","", IF(C64="Doors (leaf)", 0, E64*XLOOKUP(C64,Constants!$A$40:$A$200,Constants!$C$40:$C$200,0,0)*XLOOKUP(H64,Constants!$E$10:$E$30,Constants!$F$10:$F$30)))</f>
        <v/>
      </c>
      <c r="J64" s="6">
        <f>IF(A64="","", IF(C64="Doors (leaf)", 0, E64*XLOOKUP(C64,Constants!$A$40:$A$200,Constants!$D$40:$D$200,0,0)*G64))</f>
        <v/>
      </c>
      <c r="K64" s="6">
        <f>IF(A64="","", IF(C64="Doors (leaf)", 0, IF(F64="Full", E64*XLOOKUP(C64,Constants!$A$40:$A$200,Constants!$E$40:$E$200,0,0), IF(F64="Spot", E64*XLOOKUP(C64,Constants!$A$40:$A$200,Constants!$E$40:$E$200,0,0)*0.35, 0))))</f>
        <v/>
      </c>
      <c r="L64">
        <f>IF(A64="","",0)</f>
        <v/>
      </c>
      <c r="M64" s="6">
        <f>IF(A64="","", SUM(I64:K64))</f>
        <v/>
      </c>
      <c r="N64" s="6">
        <f>IF(A64="","", L64/60)</f>
        <v/>
      </c>
      <c r="O64" s="6">
        <f>IF($A64="","", IFERROR($N64*IFERROR(IF(XLOOKUP('Job Control'!$B$3, INPUT_JobSettings!$A:$A, INPUT_JobSettings!$F:$F, "")&lt;&gt;"",XLOOKUP('Job Control'!$B$3, INPUT_JobSettings!$A:$A, INPUT_JobSettings!$F:$F, ""),$B$6),$B$6),0))</f>
        <v/>
      </c>
      <c r="P64" s="6">
        <f>IF($A64="","", IFERROR(($O64+$L64)*IFERROR(IF(XLOOKUP('Job Control'!$B$3, INPUT_JobSettings!$A:$A, INPUT_JobSettings!$G:$G, "")&lt;&gt;"",XLOOKUP('Job Control'!$B$3, INPUT_JobSettings!$A:$A, INPUT_JobSettings!$G:$G, ""),$B$7),$B$7),0))</f>
        <v/>
      </c>
    </row>
    <row r="65">
      <c r="A65" s="6">
        <f>IFERROR(INDEX(FILTER(INPUT_Rooms!$B$4:$B$83, INPUT_Rooms!$A$4:$A$83=$B$4, INPUT_Rooms!$T$4:$T$83="Y"), 11), "")</f>
        <v/>
      </c>
      <c r="B65" s="6">
        <f>IF(A65="","", XLOOKUP(A65, FILTER(INPUT_Rooms!$B$4:$B$83, INPUT_Rooms!$A$4:$A$83=$B$4), FILTER(INPUT_Rooms!$C$4:$C$83, INPUT_Rooms!$A$4:$A$83=$B$4), ""))</f>
        <v/>
      </c>
      <c r="C65" s="6">
        <f>IF(A65="","", CHOOSE(5,"Baseboard","Crown","Window Casing","Door Casing","Doors (leaf)"))</f>
        <v/>
      </c>
      <c r="D65" s="6">
        <f>IF(A65="","", XLOOKUP(C65,Constants!$A$40:$A$200,Constants!$B$40:$B$200,"",0))</f>
        <v/>
      </c>
      <c r="E65" s="6">
        <f>IF(A65="","", IF(C65="Baseboard", IF(XLOOKUP(A65,INPUT_Rooms!$B:$B,INPUT_Rooms!$X:$X,"")="Y", XLOOKUP(A65,INPUT_Rooms!$B:$B,INPUT_Rooms!$AF:$AF,""), 0),IF(C65="Crown", IF(XLOOKUP(A65,INPUT_Rooms!$B:$B,INPUT_Rooms!$Y:$Y,"")="Y", XLOOKUP(A65,INPUT_Rooms!$B:$B,INPUT_Rooms!$AG:$AG,""), 0),IF(C65="Window Casing", IF(XLOOKUP(A65,INPUT_Rooms!$B:$B,INPUT_Rooms!$Z:$Z,"")="Y", SUMPRODUCT((INPUT_Openings!$A:$A=$B$4)*(INPUT_Openings!$B:$B=A65)*(INPUT_Openings!$D:$D)*XLOOKUP(INPUT_Openings!$C:$C,Constants!$A$30:$A$200,Constants!$E$30:$E$200,"",0)*(INPUT_Openings!$E:$E="Window")), 0),IF(C65="Door Casing", IF(XLOOKUP(A65,INPUT_Rooms!$B:$B,INPUT_Rooms!$AA:$AA,"")="Y", SUMPRODUCT((INPUT_Openings!$A:$A=$B$4)*(INPUT_Openings!$B:$B=A65)*(INPUT_Openings!$D:$D)*XLOOKUP(INPUT_Openings!$C:$C,Constants!$A$30:$A$200,Constants!$E$30:$E$200,"",0)*(INPUT_Openings!$E:$E="Door")), 0),IF(C65="Doors (leaf)", IF(XLOOKUP(A65,INPUT_Rooms!$B:$B,INPUT_Rooms!$AB:$AB,"")="Y", SUMPRODUCT((INPUT_Doors!$A:$A=$B$4)*(INPUT_Doors!$B:$B=A65)*(INPUT_Doors!$D:$D)*(INPUT_Doors!$E:$E)), 0), 0))))))</f>
        <v/>
      </c>
      <c r="F65" s="6">
        <f>IF(A65="","", XLOOKUP(A65, INPUT_Rooms!$B:$B, INPUT_Rooms!$U:$U, ""))</f>
        <v/>
      </c>
      <c r="G65" s="6">
        <f>IF(A65="","", XLOOKUP(A65, INPUT_Rooms!$B:$B, INPUT_Rooms!$V:$V, ""))</f>
        <v/>
      </c>
      <c r="H65" s="6">
        <f>IF(A65="","", IF(XLOOKUP(A65, INPUT_Rooms!$B:$B, INPUT_Rooms!$W:$W, "")="", $B$5, XLOOKUP(A65, INPUT_Rooms!$B:$B, INPUT_Rooms!$W:$W, "")))</f>
        <v/>
      </c>
      <c r="I65" s="6">
        <f>IF(A65="","", IF(C65="Doors (leaf)", 0, E65*XLOOKUP(C65,Constants!$A$40:$A$200,Constants!$C$40:$C$200,0,0)*XLOOKUP(H65,Constants!$E$10:$E$30,Constants!$F$10:$F$30)))</f>
        <v/>
      </c>
      <c r="J65" s="6">
        <f>IF(A65="","", IF(C65="Doors (leaf)", 0, E65*XLOOKUP(C65,Constants!$A$40:$A$200,Constants!$D$40:$D$200,0,0)*G65))</f>
        <v/>
      </c>
      <c r="K65" s="6">
        <f>IF(A65="","", IF(C65="Doors (leaf)", 0, IF(F65="Full", E65*XLOOKUP(C65,Constants!$A$40:$A$200,Constants!$E$40:$E$200,0,0), IF(F65="Spot", E65*XLOOKUP(C65,Constants!$A$40:$A$200,Constants!$E$40:$E$200,0,0)*0.35, 0))))</f>
        <v/>
      </c>
      <c r="L65">
        <f>IF(A65="","",0)</f>
        <v/>
      </c>
      <c r="M65" s="6">
        <f>IF(A65="","", SUM(I65:K65))</f>
        <v/>
      </c>
      <c r="N65" s="6">
        <f>IF(A65="","", L65/60)</f>
        <v/>
      </c>
      <c r="O65" s="6">
        <f>IF($A65="","", IFERROR($N65*IFERROR(IF(XLOOKUP('Job Control'!$B$3, INPUT_JobSettings!$A:$A, INPUT_JobSettings!$F:$F, "")&lt;&gt;"",XLOOKUP('Job Control'!$B$3, INPUT_JobSettings!$A:$A, INPUT_JobSettings!$F:$F, ""),$B$6),$B$6),0))</f>
        <v/>
      </c>
      <c r="P65" s="6">
        <f>IF($A65="","", IFERROR(($O65+$L65)*IFERROR(IF(XLOOKUP('Job Control'!$B$3, INPUT_JobSettings!$A:$A, INPUT_JobSettings!$G:$G, "")&lt;&gt;"",XLOOKUP('Job Control'!$B$3, INPUT_JobSettings!$A:$A, INPUT_JobSettings!$G:$G, ""),$B$7),$B$7),0))</f>
        <v/>
      </c>
    </row>
    <row r="66">
      <c r="A66" s="6">
        <f>IFERROR(INDEX(FILTER(INPUT_Rooms!$B$4:$B$83, INPUT_Rooms!$A$4:$A$83=$B$4, INPUT_Rooms!$T$4:$T$83="Y"), 12), "")</f>
        <v/>
      </c>
      <c r="B66" s="6">
        <f>IF(A66="","", XLOOKUP(A66, FILTER(INPUT_Rooms!$B$4:$B$83, INPUT_Rooms!$A$4:$A$83=$B$4), FILTER(INPUT_Rooms!$C$4:$C$83, INPUT_Rooms!$A$4:$A$83=$B$4), ""))</f>
        <v/>
      </c>
      <c r="C66" s="6">
        <f>IF(A66="","", CHOOSE(1,"Baseboard","Crown","Window Casing","Door Casing","Doors (leaf)"))</f>
        <v/>
      </c>
      <c r="D66" s="6">
        <f>IF(A66="","", XLOOKUP(C66,Constants!$A$40:$A$200,Constants!$B$40:$B$200,"",0))</f>
        <v/>
      </c>
      <c r="E66" s="6">
        <f>IF(A66="","", IF(C66="Baseboard", IF(XLOOKUP(A66,INPUT_Rooms!$B:$B,INPUT_Rooms!$X:$X,"")="Y", XLOOKUP(A66,INPUT_Rooms!$B:$B,INPUT_Rooms!$AF:$AF,""), 0),IF(C66="Crown", IF(XLOOKUP(A66,INPUT_Rooms!$B:$B,INPUT_Rooms!$Y:$Y,"")="Y", XLOOKUP(A66,INPUT_Rooms!$B:$B,INPUT_Rooms!$AG:$AG,""), 0),IF(C66="Window Casing", IF(XLOOKUP(A66,INPUT_Rooms!$B:$B,INPUT_Rooms!$Z:$Z,"")="Y", SUMPRODUCT((INPUT_Openings!$A:$A=$B$4)*(INPUT_Openings!$B:$B=A66)*(INPUT_Openings!$D:$D)*XLOOKUP(INPUT_Openings!$C:$C,Constants!$A$30:$A$200,Constants!$E$30:$E$200,"",0)*(INPUT_Openings!$E:$E="Window")), 0),IF(C66="Door Casing", IF(XLOOKUP(A66,INPUT_Rooms!$B:$B,INPUT_Rooms!$AA:$AA,"")="Y", SUMPRODUCT((INPUT_Openings!$A:$A=$B$4)*(INPUT_Openings!$B:$B=A66)*(INPUT_Openings!$D:$D)*XLOOKUP(INPUT_Openings!$C:$C,Constants!$A$30:$A$200,Constants!$E$30:$E$200,"",0)*(INPUT_Openings!$E:$E="Door")), 0),IF(C66="Doors (leaf)", IF(XLOOKUP(A66,INPUT_Rooms!$B:$B,INPUT_Rooms!$AB:$AB,"")="Y", SUMPRODUCT((INPUT_Doors!$A:$A=$B$4)*(INPUT_Doors!$B:$B=A66)*(INPUT_Doors!$D:$D)*(INPUT_Doors!$E:$E)), 0), 0))))))</f>
        <v/>
      </c>
      <c r="F66" s="6">
        <f>IF(A66="","", XLOOKUP(A66, INPUT_Rooms!$B:$B, INPUT_Rooms!$U:$U, ""))</f>
        <v/>
      </c>
      <c r="G66" s="6">
        <f>IF(A66="","", XLOOKUP(A66, INPUT_Rooms!$B:$B, INPUT_Rooms!$V:$V, ""))</f>
        <v/>
      </c>
      <c r="H66" s="6">
        <f>IF(A66="","", IF(XLOOKUP(A66, INPUT_Rooms!$B:$B, INPUT_Rooms!$W:$W, "")="", $B$5, XLOOKUP(A66, INPUT_Rooms!$B:$B, INPUT_Rooms!$W:$W, "")))</f>
        <v/>
      </c>
      <c r="I66" s="6">
        <f>IF(A66="","", IF(C66="Doors (leaf)", 0, E66*XLOOKUP(C66,Constants!$A$40:$A$200,Constants!$C$40:$C$200,0,0)*XLOOKUP(H66,Constants!$E$10:$E$30,Constants!$F$10:$F$30)))</f>
        <v/>
      </c>
      <c r="J66" s="6">
        <f>IF(A66="","", IF(C66="Doors (leaf)", 0, E66*XLOOKUP(C66,Constants!$A$40:$A$200,Constants!$D$40:$D$200,0,0)*G66))</f>
        <v/>
      </c>
      <c r="K66" s="6">
        <f>IF(A66="","", IF(C66="Doors (leaf)", 0, IF(F66="Full", E66*XLOOKUP(C66,Constants!$A$40:$A$200,Constants!$E$40:$E$200,0,0), IF(F66="Spot", E66*XLOOKUP(C66,Constants!$A$40:$A$200,Constants!$E$40:$E$200,0,0)*0.35, 0))))</f>
        <v/>
      </c>
      <c r="L66">
        <f>IF(A66="","",0)</f>
        <v/>
      </c>
      <c r="M66" s="6">
        <f>IF(A66="","", SUM(I66:K66))</f>
        <v/>
      </c>
      <c r="N66" s="6">
        <f>IF(A66="","", L66/60)</f>
        <v/>
      </c>
      <c r="O66" s="6">
        <f>IF($A66="","", IFERROR($N66*IFERROR(IF(XLOOKUP('Job Control'!$B$3, INPUT_JobSettings!$A:$A, INPUT_JobSettings!$F:$F, "")&lt;&gt;"",XLOOKUP('Job Control'!$B$3, INPUT_JobSettings!$A:$A, INPUT_JobSettings!$F:$F, ""),$B$6),$B$6),0))</f>
        <v/>
      </c>
      <c r="P66" s="6">
        <f>IF($A66="","", IFERROR(($O66+$L66)*IFERROR(IF(XLOOKUP('Job Control'!$B$3, INPUT_JobSettings!$A:$A, INPUT_JobSettings!$G:$G, "")&lt;&gt;"",XLOOKUP('Job Control'!$B$3, INPUT_JobSettings!$A:$A, INPUT_JobSettings!$G:$G, ""),$B$7),$B$7),0))</f>
        <v/>
      </c>
    </row>
    <row r="67">
      <c r="A67" s="6">
        <f>IFERROR(INDEX(FILTER(INPUT_Rooms!$B$4:$B$83, INPUT_Rooms!$A$4:$A$83=$B$4, INPUT_Rooms!$T$4:$T$83="Y"), 12), "")</f>
        <v/>
      </c>
      <c r="B67" s="6">
        <f>IF(A67="","", XLOOKUP(A67, FILTER(INPUT_Rooms!$B$4:$B$83, INPUT_Rooms!$A$4:$A$83=$B$4), FILTER(INPUT_Rooms!$C$4:$C$83, INPUT_Rooms!$A$4:$A$83=$B$4), ""))</f>
        <v/>
      </c>
      <c r="C67" s="6">
        <f>IF(A67="","", CHOOSE(2,"Baseboard","Crown","Window Casing","Door Casing","Doors (leaf)"))</f>
        <v/>
      </c>
      <c r="D67" s="6">
        <f>IF(A67="","", XLOOKUP(C67,Constants!$A$40:$A$200,Constants!$B$40:$B$200,"",0))</f>
        <v/>
      </c>
      <c r="E67" s="6">
        <f>IF(A67="","", IF(C67="Baseboard", IF(XLOOKUP(A67,INPUT_Rooms!$B:$B,INPUT_Rooms!$X:$X,"")="Y", XLOOKUP(A67,INPUT_Rooms!$B:$B,INPUT_Rooms!$AF:$AF,""), 0),IF(C67="Crown", IF(XLOOKUP(A67,INPUT_Rooms!$B:$B,INPUT_Rooms!$Y:$Y,"")="Y", XLOOKUP(A67,INPUT_Rooms!$B:$B,INPUT_Rooms!$AG:$AG,""), 0),IF(C67="Window Casing", IF(XLOOKUP(A67,INPUT_Rooms!$B:$B,INPUT_Rooms!$Z:$Z,"")="Y", SUMPRODUCT((INPUT_Openings!$A:$A=$B$4)*(INPUT_Openings!$B:$B=A67)*(INPUT_Openings!$D:$D)*XLOOKUP(INPUT_Openings!$C:$C,Constants!$A$30:$A$200,Constants!$E$30:$E$200,"",0)*(INPUT_Openings!$E:$E="Window")), 0),IF(C67="Door Casing", IF(XLOOKUP(A67,INPUT_Rooms!$B:$B,INPUT_Rooms!$AA:$AA,"")="Y", SUMPRODUCT((INPUT_Openings!$A:$A=$B$4)*(INPUT_Openings!$B:$B=A67)*(INPUT_Openings!$D:$D)*XLOOKUP(INPUT_Openings!$C:$C,Constants!$A$30:$A$200,Constants!$E$30:$E$200,"",0)*(INPUT_Openings!$E:$E="Door")), 0),IF(C67="Doors (leaf)", IF(XLOOKUP(A67,INPUT_Rooms!$B:$B,INPUT_Rooms!$AB:$AB,"")="Y", SUMPRODUCT((INPUT_Doors!$A:$A=$B$4)*(INPUT_Doors!$B:$B=A67)*(INPUT_Doors!$D:$D)*(INPUT_Doors!$E:$E)), 0), 0))))))</f>
        <v/>
      </c>
      <c r="F67" s="6">
        <f>IF(A67="","", XLOOKUP(A67, INPUT_Rooms!$B:$B, INPUT_Rooms!$U:$U, ""))</f>
        <v/>
      </c>
      <c r="G67" s="6">
        <f>IF(A67="","", XLOOKUP(A67, INPUT_Rooms!$B:$B, INPUT_Rooms!$V:$V, ""))</f>
        <v/>
      </c>
      <c r="H67" s="6">
        <f>IF(A67="","", IF(XLOOKUP(A67, INPUT_Rooms!$B:$B, INPUT_Rooms!$W:$W, "")="", $B$5, XLOOKUP(A67, INPUT_Rooms!$B:$B, INPUT_Rooms!$W:$W, "")))</f>
        <v/>
      </c>
      <c r="I67" s="6">
        <f>IF(A67="","", IF(C67="Doors (leaf)", 0, E67*XLOOKUP(C67,Constants!$A$40:$A$200,Constants!$C$40:$C$200,0,0)*XLOOKUP(H67,Constants!$E$10:$E$30,Constants!$F$10:$F$30)))</f>
        <v/>
      </c>
      <c r="J67" s="6">
        <f>IF(A67="","", IF(C67="Doors (leaf)", 0, E67*XLOOKUP(C67,Constants!$A$40:$A$200,Constants!$D$40:$D$200,0,0)*G67))</f>
        <v/>
      </c>
      <c r="K67" s="6">
        <f>IF(A67="","", IF(C67="Doors (leaf)", 0, IF(F67="Full", E67*XLOOKUP(C67,Constants!$A$40:$A$200,Constants!$E$40:$E$200,0,0), IF(F67="Spot", E67*XLOOKUP(C67,Constants!$A$40:$A$200,Constants!$E$40:$E$200,0,0)*0.35, 0))))</f>
        <v/>
      </c>
      <c r="L67">
        <f>IF(A67="","",0)</f>
        <v/>
      </c>
      <c r="M67" s="6">
        <f>IF(A67="","", SUM(I67:K67))</f>
        <v/>
      </c>
      <c r="N67" s="6">
        <f>IF(A67="","", L67/60)</f>
        <v/>
      </c>
      <c r="O67" s="6">
        <f>IF($A67="","", IFERROR($N67*IFERROR(IF(XLOOKUP('Job Control'!$B$3, INPUT_JobSettings!$A:$A, INPUT_JobSettings!$F:$F, "")&lt;&gt;"",XLOOKUP('Job Control'!$B$3, INPUT_JobSettings!$A:$A, INPUT_JobSettings!$F:$F, ""),$B$6),$B$6),0))</f>
        <v/>
      </c>
      <c r="P67" s="6">
        <f>IF($A67="","", IFERROR(($O67+$L67)*IFERROR(IF(XLOOKUP('Job Control'!$B$3, INPUT_JobSettings!$A:$A, INPUT_JobSettings!$G:$G, "")&lt;&gt;"",XLOOKUP('Job Control'!$B$3, INPUT_JobSettings!$A:$A, INPUT_JobSettings!$G:$G, ""),$B$7),$B$7),0))</f>
        <v/>
      </c>
    </row>
    <row r="68">
      <c r="A68" s="6">
        <f>IFERROR(INDEX(FILTER(INPUT_Rooms!$B$4:$B$83, INPUT_Rooms!$A$4:$A$83=$B$4, INPUT_Rooms!$T$4:$T$83="Y"), 12), "")</f>
        <v/>
      </c>
      <c r="B68" s="6">
        <f>IF(A68="","", XLOOKUP(A68, FILTER(INPUT_Rooms!$B$4:$B$83, INPUT_Rooms!$A$4:$A$83=$B$4), FILTER(INPUT_Rooms!$C$4:$C$83, INPUT_Rooms!$A$4:$A$83=$B$4), ""))</f>
        <v/>
      </c>
      <c r="C68" s="6">
        <f>IF(A68="","", CHOOSE(3,"Baseboard","Crown","Window Casing","Door Casing","Doors (leaf)"))</f>
        <v/>
      </c>
      <c r="D68" s="6">
        <f>IF(A68="","", XLOOKUP(C68,Constants!$A$40:$A$200,Constants!$B$40:$B$200,"",0))</f>
        <v/>
      </c>
      <c r="E68" s="6">
        <f>IF(A68="","", IF(C68="Baseboard", IF(XLOOKUP(A68,INPUT_Rooms!$B:$B,INPUT_Rooms!$X:$X,"")="Y", XLOOKUP(A68,INPUT_Rooms!$B:$B,INPUT_Rooms!$AF:$AF,""), 0),IF(C68="Crown", IF(XLOOKUP(A68,INPUT_Rooms!$B:$B,INPUT_Rooms!$Y:$Y,"")="Y", XLOOKUP(A68,INPUT_Rooms!$B:$B,INPUT_Rooms!$AG:$AG,""), 0),IF(C68="Window Casing", IF(XLOOKUP(A68,INPUT_Rooms!$B:$B,INPUT_Rooms!$Z:$Z,"")="Y", SUMPRODUCT((INPUT_Openings!$A:$A=$B$4)*(INPUT_Openings!$B:$B=A68)*(INPUT_Openings!$D:$D)*XLOOKUP(INPUT_Openings!$C:$C,Constants!$A$30:$A$200,Constants!$E$30:$E$200,"",0)*(INPUT_Openings!$E:$E="Window")), 0),IF(C68="Door Casing", IF(XLOOKUP(A68,INPUT_Rooms!$B:$B,INPUT_Rooms!$AA:$AA,"")="Y", SUMPRODUCT((INPUT_Openings!$A:$A=$B$4)*(INPUT_Openings!$B:$B=A68)*(INPUT_Openings!$D:$D)*XLOOKUP(INPUT_Openings!$C:$C,Constants!$A$30:$A$200,Constants!$E$30:$E$200,"",0)*(INPUT_Openings!$E:$E="Door")), 0),IF(C68="Doors (leaf)", IF(XLOOKUP(A68,INPUT_Rooms!$B:$B,INPUT_Rooms!$AB:$AB,"")="Y", SUMPRODUCT((INPUT_Doors!$A:$A=$B$4)*(INPUT_Doors!$B:$B=A68)*(INPUT_Doors!$D:$D)*(INPUT_Doors!$E:$E)), 0), 0))))))</f>
        <v/>
      </c>
      <c r="F68" s="6">
        <f>IF(A68="","", XLOOKUP(A68, INPUT_Rooms!$B:$B, INPUT_Rooms!$U:$U, ""))</f>
        <v/>
      </c>
      <c r="G68" s="6">
        <f>IF(A68="","", XLOOKUP(A68, INPUT_Rooms!$B:$B, INPUT_Rooms!$V:$V, ""))</f>
        <v/>
      </c>
      <c r="H68" s="6">
        <f>IF(A68="","", IF(XLOOKUP(A68, INPUT_Rooms!$B:$B, INPUT_Rooms!$W:$W, "")="", $B$5, XLOOKUP(A68, INPUT_Rooms!$B:$B, INPUT_Rooms!$W:$W, "")))</f>
        <v/>
      </c>
      <c r="I68" s="6">
        <f>IF(A68="","", IF(C68="Doors (leaf)", 0, E68*XLOOKUP(C68,Constants!$A$40:$A$200,Constants!$C$40:$C$200,0,0)*XLOOKUP(H68,Constants!$E$10:$E$30,Constants!$F$10:$F$30)))</f>
        <v/>
      </c>
      <c r="J68" s="6">
        <f>IF(A68="","", IF(C68="Doors (leaf)", 0, E68*XLOOKUP(C68,Constants!$A$40:$A$200,Constants!$D$40:$D$200,0,0)*G68))</f>
        <v/>
      </c>
      <c r="K68" s="6">
        <f>IF(A68="","", IF(C68="Doors (leaf)", 0, IF(F68="Full", E68*XLOOKUP(C68,Constants!$A$40:$A$200,Constants!$E$40:$E$200,0,0), IF(F68="Spot", E68*XLOOKUP(C68,Constants!$A$40:$A$200,Constants!$E$40:$E$200,0,0)*0.35, 0))))</f>
        <v/>
      </c>
      <c r="L68">
        <f>IF(A68="","",0)</f>
        <v/>
      </c>
      <c r="M68" s="6">
        <f>IF(A68="","", SUM(I68:K68))</f>
        <v/>
      </c>
      <c r="N68" s="6">
        <f>IF(A68="","", L68/60)</f>
        <v/>
      </c>
      <c r="O68" s="6">
        <f>IF($A68="","", IFERROR($N68*IFERROR(IF(XLOOKUP('Job Control'!$B$3, INPUT_JobSettings!$A:$A, INPUT_JobSettings!$F:$F, "")&lt;&gt;"",XLOOKUP('Job Control'!$B$3, INPUT_JobSettings!$A:$A, INPUT_JobSettings!$F:$F, ""),$B$6),$B$6),0))</f>
        <v/>
      </c>
      <c r="P68" s="6">
        <f>IF($A68="","", IFERROR(($O68+$L68)*IFERROR(IF(XLOOKUP('Job Control'!$B$3, INPUT_JobSettings!$A:$A, INPUT_JobSettings!$G:$G, "")&lt;&gt;"",XLOOKUP('Job Control'!$B$3, INPUT_JobSettings!$A:$A, INPUT_JobSettings!$G:$G, ""),$B$7),$B$7),0))</f>
        <v/>
      </c>
    </row>
    <row r="69">
      <c r="A69" s="6">
        <f>IFERROR(INDEX(FILTER(INPUT_Rooms!$B$4:$B$83, INPUT_Rooms!$A$4:$A$83=$B$4, INPUT_Rooms!$T$4:$T$83="Y"), 12), "")</f>
        <v/>
      </c>
      <c r="B69" s="6">
        <f>IF(A69="","", XLOOKUP(A69, FILTER(INPUT_Rooms!$B$4:$B$83, INPUT_Rooms!$A$4:$A$83=$B$4), FILTER(INPUT_Rooms!$C$4:$C$83, INPUT_Rooms!$A$4:$A$83=$B$4), ""))</f>
        <v/>
      </c>
      <c r="C69" s="6">
        <f>IF(A69="","", CHOOSE(4,"Baseboard","Crown","Window Casing","Door Casing","Doors (leaf)"))</f>
        <v/>
      </c>
      <c r="D69" s="6">
        <f>IF(A69="","", XLOOKUP(C69,Constants!$A$40:$A$200,Constants!$B$40:$B$200,"",0))</f>
        <v/>
      </c>
      <c r="E69" s="6">
        <f>IF(A69="","", IF(C69="Baseboard", IF(XLOOKUP(A69,INPUT_Rooms!$B:$B,INPUT_Rooms!$X:$X,"")="Y", XLOOKUP(A69,INPUT_Rooms!$B:$B,INPUT_Rooms!$AF:$AF,""), 0),IF(C69="Crown", IF(XLOOKUP(A69,INPUT_Rooms!$B:$B,INPUT_Rooms!$Y:$Y,"")="Y", XLOOKUP(A69,INPUT_Rooms!$B:$B,INPUT_Rooms!$AG:$AG,""), 0),IF(C69="Window Casing", IF(XLOOKUP(A69,INPUT_Rooms!$B:$B,INPUT_Rooms!$Z:$Z,"")="Y", SUMPRODUCT((INPUT_Openings!$A:$A=$B$4)*(INPUT_Openings!$B:$B=A69)*(INPUT_Openings!$D:$D)*XLOOKUP(INPUT_Openings!$C:$C,Constants!$A$30:$A$200,Constants!$E$30:$E$200,"",0)*(INPUT_Openings!$E:$E="Window")), 0),IF(C69="Door Casing", IF(XLOOKUP(A69,INPUT_Rooms!$B:$B,INPUT_Rooms!$AA:$AA,"")="Y", SUMPRODUCT((INPUT_Openings!$A:$A=$B$4)*(INPUT_Openings!$B:$B=A69)*(INPUT_Openings!$D:$D)*XLOOKUP(INPUT_Openings!$C:$C,Constants!$A$30:$A$200,Constants!$E$30:$E$200,"",0)*(INPUT_Openings!$E:$E="Door")), 0),IF(C69="Doors (leaf)", IF(XLOOKUP(A69,INPUT_Rooms!$B:$B,INPUT_Rooms!$AB:$AB,"")="Y", SUMPRODUCT((INPUT_Doors!$A:$A=$B$4)*(INPUT_Doors!$B:$B=A69)*(INPUT_Doors!$D:$D)*(INPUT_Doors!$E:$E)), 0), 0))))))</f>
        <v/>
      </c>
      <c r="F69" s="6">
        <f>IF(A69="","", XLOOKUP(A69, INPUT_Rooms!$B:$B, INPUT_Rooms!$U:$U, ""))</f>
        <v/>
      </c>
      <c r="G69" s="6">
        <f>IF(A69="","", XLOOKUP(A69, INPUT_Rooms!$B:$B, INPUT_Rooms!$V:$V, ""))</f>
        <v/>
      </c>
      <c r="H69" s="6">
        <f>IF(A69="","", IF(XLOOKUP(A69, INPUT_Rooms!$B:$B, INPUT_Rooms!$W:$W, "")="", $B$5, XLOOKUP(A69, INPUT_Rooms!$B:$B, INPUT_Rooms!$W:$W, "")))</f>
        <v/>
      </c>
      <c r="I69" s="6">
        <f>IF(A69="","", IF(C69="Doors (leaf)", 0, E69*XLOOKUP(C69,Constants!$A$40:$A$200,Constants!$C$40:$C$200,0,0)*XLOOKUP(H69,Constants!$E$10:$E$30,Constants!$F$10:$F$30)))</f>
        <v/>
      </c>
      <c r="J69" s="6">
        <f>IF(A69="","", IF(C69="Doors (leaf)", 0, E69*XLOOKUP(C69,Constants!$A$40:$A$200,Constants!$D$40:$D$200,0,0)*G69))</f>
        <v/>
      </c>
      <c r="K69" s="6">
        <f>IF(A69="","", IF(C69="Doors (leaf)", 0, IF(F69="Full", E69*XLOOKUP(C69,Constants!$A$40:$A$200,Constants!$E$40:$E$200,0,0), IF(F69="Spot", E69*XLOOKUP(C69,Constants!$A$40:$A$200,Constants!$E$40:$E$200,0,0)*0.35, 0))))</f>
        <v/>
      </c>
      <c r="L69">
        <f>IF(A69="","",0)</f>
        <v/>
      </c>
      <c r="M69" s="6">
        <f>IF(A69="","", SUM(I69:K69))</f>
        <v/>
      </c>
      <c r="N69" s="6">
        <f>IF(A69="","", L69/60)</f>
        <v/>
      </c>
      <c r="O69" s="6">
        <f>IF($A69="","", IFERROR($N69*IFERROR(IF(XLOOKUP('Job Control'!$B$3, INPUT_JobSettings!$A:$A, INPUT_JobSettings!$F:$F, "")&lt;&gt;"",XLOOKUP('Job Control'!$B$3, INPUT_JobSettings!$A:$A, INPUT_JobSettings!$F:$F, ""),$B$6),$B$6),0))</f>
        <v/>
      </c>
      <c r="P69" s="6">
        <f>IF($A69="","", IFERROR(($O69+$L69)*IFERROR(IF(XLOOKUP('Job Control'!$B$3, INPUT_JobSettings!$A:$A, INPUT_JobSettings!$G:$G, "")&lt;&gt;"",XLOOKUP('Job Control'!$B$3, INPUT_JobSettings!$A:$A, INPUT_JobSettings!$G:$G, ""),$B$7),$B$7),0))</f>
        <v/>
      </c>
    </row>
    <row r="70">
      <c r="A70" s="6">
        <f>IFERROR(INDEX(FILTER(INPUT_Rooms!$B$4:$B$83, INPUT_Rooms!$A$4:$A$83=$B$4, INPUT_Rooms!$T$4:$T$83="Y"), 12), "")</f>
        <v/>
      </c>
      <c r="B70" s="6">
        <f>IF(A70="","", XLOOKUP(A70, FILTER(INPUT_Rooms!$B$4:$B$83, INPUT_Rooms!$A$4:$A$83=$B$4), FILTER(INPUT_Rooms!$C$4:$C$83, INPUT_Rooms!$A$4:$A$83=$B$4), ""))</f>
        <v/>
      </c>
      <c r="C70" s="6">
        <f>IF(A70="","", CHOOSE(5,"Baseboard","Crown","Window Casing","Door Casing","Doors (leaf)"))</f>
        <v/>
      </c>
      <c r="D70" s="6">
        <f>IF(A70="","", XLOOKUP(C70,Constants!$A$40:$A$200,Constants!$B$40:$B$200,"",0))</f>
        <v/>
      </c>
      <c r="E70" s="6">
        <f>IF(A70="","", IF(C70="Baseboard", IF(XLOOKUP(A70,INPUT_Rooms!$B:$B,INPUT_Rooms!$X:$X,"")="Y", XLOOKUP(A70,INPUT_Rooms!$B:$B,INPUT_Rooms!$AF:$AF,""), 0),IF(C70="Crown", IF(XLOOKUP(A70,INPUT_Rooms!$B:$B,INPUT_Rooms!$Y:$Y,"")="Y", XLOOKUP(A70,INPUT_Rooms!$B:$B,INPUT_Rooms!$AG:$AG,""), 0),IF(C70="Window Casing", IF(XLOOKUP(A70,INPUT_Rooms!$B:$B,INPUT_Rooms!$Z:$Z,"")="Y", SUMPRODUCT((INPUT_Openings!$A:$A=$B$4)*(INPUT_Openings!$B:$B=A70)*(INPUT_Openings!$D:$D)*XLOOKUP(INPUT_Openings!$C:$C,Constants!$A$30:$A$200,Constants!$E$30:$E$200,"",0)*(INPUT_Openings!$E:$E="Window")), 0),IF(C70="Door Casing", IF(XLOOKUP(A70,INPUT_Rooms!$B:$B,INPUT_Rooms!$AA:$AA,"")="Y", SUMPRODUCT((INPUT_Openings!$A:$A=$B$4)*(INPUT_Openings!$B:$B=A70)*(INPUT_Openings!$D:$D)*XLOOKUP(INPUT_Openings!$C:$C,Constants!$A$30:$A$200,Constants!$E$30:$E$200,"",0)*(INPUT_Openings!$E:$E="Door")), 0),IF(C70="Doors (leaf)", IF(XLOOKUP(A70,INPUT_Rooms!$B:$B,INPUT_Rooms!$AB:$AB,"")="Y", SUMPRODUCT((INPUT_Doors!$A:$A=$B$4)*(INPUT_Doors!$B:$B=A70)*(INPUT_Doors!$D:$D)*(INPUT_Doors!$E:$E)), 0), 0))))))</f>
        <v/>
      </c>
      <c r="F70" s="6">
        <f>IF(A70="","", XLOOKUP(A70, INPUT_Rooms!$B:$B, INPUT_Rooms!$U:$U, ""))</f>
        <v/>
      </c>
      <c r="G70" s="6">
        <f>IF(A70="","", XLOOKUP(A70, INPUT_Rooms!$B:$B, INPUT_Rooms!$V:$V, ""))</f>
        <v/>
      </c>
      <c r="H70" s="6">
        <f>IF(A70="","", IF(XLOOKUP(A70, INPUT_Rooms!$B:$B, INPUT_Rooms!$W:$W, "")="", $B$5, XLOOKUP(A70, INPUT_Rooms!$B:$B, INPUT_Rooms!$W:$W, "")))</f>
        <v/>
      </c>
      <c r="I70" s="6">
        <f>IF(A70="","", IF(C70="Doors (leaf)", 0, E70*XLOOKUP(C70,Constants!$A$40:$A$200,Constants!$C$40:$C$200,0,0)*XLOOKUP(H70,Constants!$E$10:$E$30,Constants!$F$10:$F$30)))</f>
        <v/>
      </c>
      <c r="J70" s="6">
        <f>IF(A70="","", IF(C70="Doors (leaf)", 0, E70*XLOOKUP(C70,Constants!$A$40:$A$200,Constants!$D$40:$D$200,0,0)*G70))</f>
        <v/>
      </c>
      <c r="K70" s="6">
        <f>IF(A70="","", IF(C70="Doors (leaf)", 0, IF(F70="Full", E70*XLOOKUP(C70,Constants!$A$40:$A$200,Constants!$E$40:$E$200,0,0), IF(F70="Spot", E70*XLOOKUP(C70,Constants!$A$40:$A$200,Constants!$E$40:$E$200,0,0)*0.35, 0))))</f>
        <v/>
      </c>
      <c r="L70">
        <f>IF(A70="","",0)</f>
        <v/>
      </c>
      <c r="M70" s="6">
        <f>IF(A70="","", SUM(I70:K70))</f>
        <v/>
      </c>
      <c r="N70" s="6">
        <f>IF(A70="","", L70/60)</f>
        <v/>
      </c>
      <c r="O70" s="6">
        <f>IF($A70="","", IFERROR($N70*IFERROR(IF(XLOOKUP('Job Control'!$B$3, INPUT_JobSettings!$A:$A, INPUT_JobSettings!$F:$F, "")&lt;&gt;"",XLOOKUP('Job Control'!$B$3, INPUT_JobSettings!$A:$A, INPUT_JobSettings!$F:$F, ""),$B$6),$B$6),0))</f>
        <v/>
      </c>
      <c r="P70" s="6">
        <f>IF($A70="","", IFERROR(($O70+$L70)*IFERROR(IF(XLOOKUP('Job Control'!$B$3, INPUT_JobSettings!$A:$A, INPUT_JobSettings!$G:$G, "")&lt;&gt;"",XLOOKUP('Job Control'!$B$3, INPUT_JobSettings!$A:$A, INPUT_JobSettings!$G:$G, ""),$B$7),$B$7),0))</f>
        <v/>
      </c>
    </row>
    <row r="71">
      <c r="A71" s="6">
        <f>IFERROR(INDEX(FILTER(INPUT_Rooms!$B$4:$B$83, INPUT_Rooms!$A$4:$A$83=$B$4, INPUT_Rooms!$T$4:$T$83="Y"), 13), "")</f>
        <v/>
      </c>
      <c r="B71" s="6">
        <f>IF(A71="","", XLOOKUP(A71, FILTER(INPUT_Rooms!$B$4:$B$83, INPUT_Rooms!$A$4:$A$83=$B$4), FILTER(INPUT_Rooms!$C$4:$C$83, INPUT_Rooms!$A$4:$A$83=$B$4), ""))</f>
        <v/>
      </c>
      <c r="C71" s="6">
        <f>IF(A71="","", CHOOSE(1,"Baseboard","Crown","Window Casing","Door Casing","Doors (leaf)"))</f>
        <v/>
      </c>
      <c r="D71" s="6">
        <f>IF(A71="","", XLOOKUP(C71,Constants!$A$40:$A$200,Constants!$B$40:$B$200,"",0))</f>
        <v/>
      </c>
      <c r="E71" s="6">
        <f>IF(A71="","", IF(C71="Baseboard", IF(XLOOKUP(A71,INPUT_Rooms!$B:$B,INPUT_Rooms!$X:$X,"")="Y", XLOOKUP(A71,INPUT_Rooms!$B:$B,INPUT_Rooms!$AF:$AF,""), 0),IF(C71="Crown", IF(XLOOKUP(A71,INPUT_Rooms!$B:$B,INPUT_Rooms!$Y:$Y,"")="Y", XLOOKUP(A71,INPUT_Rooms!$B:$B,INPUT_Rooms!$AG:$AG,""), 0),IF(C71="Window Casing", IF(XLOOKUP(A71,INPUT_Rooms!$B:$B,INPUT_Rooms!$Z:$Z,"")="Y", SUMPRODUCT((INPUT_Openings!$A:$A=$B$4)*(INPUT_Openings!$B:$B=A71)*(INPUT_Openings!$D:$D)*XLOOKUP(INPUT_Openings!$C:$C,Constants!$A$30:$A$200,Constants!$E$30:$E$200,"",0)*(INPUT_Openings!$E:$E="Window")), 0),IF(C71="Door Casing", IF(XLOOKUP(A71,INPUT_Rooms!$B:$B,INPUT_Rooms!$AA:$AA,"")="Y", SUMPRODUCT((INPUT_Openings!$A:$A=$B$4)*(INPUT_Openings!$B:$B=A71)*(INPUT_Openings!$D:$D)*XLOOKUP(INPUT_Openings!$C:$C,Constants!$A$30:$A$200,Constants!$E$30:$E$200,"",0)*(INPUT_Openings!$E:$E="Door")), 0),IF(C71="Doors (leaf)", IF(XLOOKUP(A71,INPUT_Rooms!$B:$B,INPUT_Rooms!$AB:$AB,"")="Y", SUMPRODUCT((INPUT_Doors!$A:$A=$B$4)*(INPUT_Doors!$B:$B=A71)*(INPUT_Doors!$D:$D)*(INPUT_Doors!$E:$E)), 0), 0))))))</f>
        <v/>
      </c>
      <c r="F71" s="6">
        <f>IF(A71="","", XLOOKUP(A71, INPUT_Rooms!$B:$B, INPUT_Rooms!$U:$U, ""))</f>
        <v/>
      </c>
      <c r="G71" s="6">
        <f>IF(A71="","", XLOOKUP(A71, INPUT_Rooms!$B:$B, INPUT_Rooms!$V:$V, ""))</f>
        <v/>
      </c>
      <c r="H71" s="6">
        <f>IF(A71="","", IF(XLOOKUP(A71, INPUT_Rooms!$B:$B, INPUT_Rooms!$W:$W, "")="", $B$5, XLOOKUP(A71, INPUT_Rooms!$B:$B, INPUT_Rooms!$W:$W, "")))</f>
        <v/>
      </c>
      <c r="I71" s="6">
        <f>IF(A71="","", IF(C71="Doors (leaf)", 0, E71*XLOOKUP(C71,Constants!$A$40:$A$200,Constants!$C$40:$C$200,0,0)*XLOOKUP(H71,Constants!$E$10:$E$30,Constants!$F$10:$F$30)))</f>
        <v/>
      </c>
      <c r="J71" s="6">
        <f>IF(A71="","", IF(C71="Doors (leaf)", 0, E71*XLOOKUP(C71,Constants!$A$40:$A$200,Constants!$D$40:$D$200,0,0)*G71))</f>
        <v/>
      </c>
      <c r="K71" s="6">
        <f>IF(A71="","", IF(C71="Doors (leaf)", 0, IF(F71="Full", E71*XLOOKUP(C71,Constants!$A$40:$A$200,Constants!$E$40:$E$200,0,0), IF(F71="Spot", E71*XLOOKUP(C71,Constants!$A$40:$A$200,Constants!$E$40:$E$200,0,0)*0.35, 0))))</f>
        <v/>
      </c>
      <c r="L71">
        <f>IF(A71="","",0)</f>
        <v/>
      </c>
      <c r="M71" s="6">
        <f>IF(A71="","", SUM(I71:K71))</f>
        <v/>
      </c>
      <c r="N71" s="6">
        <f>IF(A71="","", L71/60)</f>
        <v/>
      </c>
      <c r="O71" s="6">
        <f>IF($A71="","", IFERROR($N71*IFERROR(IF(XLOOKUP('Job Control'!$B$3, INPUT_JobSettings!$A:$A, INPUT_JobSettings!$F:$F, "")&lt;&gt;"",XLOOKUP('Job Control'!$B$3, INPUT_JobSettings!$A:$A, INPUT_JobSettings!$F:$F, ""),$B$6),$B$6),0))</f>
        <v/>
      </c>
      <c r="P71" s="6">
        <f>IF($A71="","", IFERROR(($O71+$L71)*IFERROR(IF(XLOOKUP('Job Control'!$B$3, INPUT_JobSettings!$A:$A, INPUT_JobSettings!$G:$G, "")&lt;&gt;"",XLOOKUP('Job Control'!$B$3, INPUT_JobSettings!$A:$A, INPUT_JobSettings!$G:$G, ""),$B$7),$B$7),0))</f>
        <v/>
      </c>
    </row>
    <row r="72">
      <c r="A72" s="6">
        <f>IFERROR(INDEX(FILTER(INPUT_Rooms!$B$4:$B$83, INPUT_Rooms!$A$4:$A$83=$B$4, INPUT_Rooms!$T$4:$T$83="Y"), 13), "")</f>
        <v/>
      </c>
      <c r="B72" s="6">
        <f>IF(A72="","", XLOOKUP(A72, FILTER(INPUT_Rooms!$B$4:$B$83, INPUT_Rooms!$A$4:$A$83=$B$4), FILTER(INPUT_Rooms!$C$4:$C$83, INPUT_Rooms!$A$4:$A$83=$B$4), ""))</f>
        <v/>
      </c>
      <c r="C72" s="6">
        <f>IF(A72="","", CHOOSE(2,"Baseboard","Crown","Window Casing","Door Casing","Doors (leaf)"))</f>
        <v/>
      </c>
      <c r="D72" s="6">
        <f>IF(A72="","", XLOOKUP(C72,Constants!$A$40:$A$200,Constants!$B$40:$B$200,"",0))</f>
        <v/>
      </c>
      <c r="E72" s="6">
        <f>IF(A72="","", IF(C72="Baseboard", IF(XLOOKUP(A72,INPUT_Rooms!$B:$B,INPUT_Rooms!$X:$X,"")="Y", XLOOKUP(A72,INPUT_Rooms!$B:$B,INPUT_Rooms!$AF:$AF,""), 0),IF(C72="Crown", IF(XLOOKUP(A72,INPUT_Rooms!$B:$B,INPUT_Rooms!$Y:$Y,"")="Y", XLOOKUP(A72,INPUT_Rooms!$B:$B,INPUT_Rooms!$AG:$AG,""), 0),IF(C72="Window Casing", IF(XLOOKUP(A72,INPUT_Rooms!$B:$B,INPUT_Rooms!$Z:$Z,"")="Y", SUMPRODUCT((INPUT_Openings!$A:$A=$B$4)*(INPUT_Openings!$B:$B=A72)*(INPUT_Openings!$D:$D)*XLOOKUP(INPUT_Openings!$C:$C,Constants!$A$30:$A$200,Constants!$E$30:$E$200,"",0)*(INPUT_Openings!$E:$E="Window")), 0),IF(C72="Door Casing", IF(XLOOKUP(A72,INPUT_Rooms!$B:$B,INPUT_Rooms!$AA:$AA,"")="Y", SUMPRODUCT((INPUT_Openings!$A:$A=$B$4)*(INPUT_Openings!$B:$B=A72)*(INPUT_Openings!$D:$D)*XLOOKUP(INPUT_Openings!$C:$C,Constants!$A$30:$A$200,Constants!$E$30:$E$200,"",0)*(INPUT_Openings!$E:$E="Door")), 0),IF(C72="Doors (leaf)", IF(XLOOKUP(A72,INPUT_Rooms!$B:$B,INPUT_Rooms!$AB:$AB,"")="Y", SUMPRODUCT((INPUT_Doors!$A:$A=$B$4)*(INPUT_Doors!$B:$B=A72)*(INPUT_Doors!$D:$D)*(INPUT_Doors!$E:$E)), 0), 0))))))</f>
        <v/>
      </c>
      <c r="F72" s="6">
        <f>IF(A72="","", XLOOKUP(A72, INPUT_Rooms!$B:$B, INPUT_Rooms!$U:$U, ""))</f>
        <v/>
      </c>
      <c r="G72" s="6">
        <f>IF(A72="","", XLOOKUP(A72, INPUT_Rooms!$B:$B, INPUT_Rooms!$V:$V, ""))</f>
        <v/>
      </c>
      <c r="H72" s="6">
        <f>IF(A72="","", IF(XLOOKUP(A72, INPUT_Rooms!$B:$B, INPUT_Rooms!$W:$W, "")="", $B$5, XLOOKUP(A72, INPUT_Rooms!$B:$B, INPUT_Rooms!$W:$W, "")))</f>
        <v/>
      </c>
      <c r="I72" s="6">
        <f>IF(A72="","", IF(C72="Doors (leaf)", 0, E72*XLOOKUP(C72,Constants!$A$40:$A$200,Constants!$C$40:$C$200,0,0)*XLOOKUP(H72,Constants!$E$10:$E$30,Constants!$F$10:$F$30)))</f>
        <v/>
      </c>
      <c r="J72" s="6">
        <f>IF(A72="","", IF(C72="Doors (leaf)", 0, E72*XLOOKUP(C72,Constants!$A$40:$A$200,Constants!$D$40:$D$200,0,0)*G72))</f>
        <v/>
      </c>
      <c r="K72" s="6">
        <f>IF(A72="","", IF(C72="Doors (leaf)", 0, IF(F72="Full", E72*XLOOKUP(C72,Constants!$A$40:$A$200,Constants!$E$40:$E$200,0,0), IF(F72="Spot", E72*XLOOKUP(C72,Constants!$A$40:$A$200,Constants!$E$40:$E$200,0,0)*0.35, 0))))</f>
        <v/>
      </c>
      <c r="L72">
        <f>IF(A72="","",0)</f>
        <v/>
      </c>
      <c r="M72" s="6">
        <f>IF(A72="","", SUM(I72:K72))</f>
        <v/>
      </c>
      <c r="N72" s="6">
        <f>IF(A72="","", L72/60)</f>
        <v/>
      </c>
      <c r="O72" s="6">
        <f>IF($A72="","", IFERROR($N72*IFERROR(IF(XLOOKUP('Job Control'!$B$3, INPUT_JobSettings!$A:$A, INPUT_JobSettings!$F:$F, "")&lt;&gt;"",XLOOKUP('Job Control'!$B$3, INPUT_JobSettings!$A:$A, INPUT_JobSettings!$F:$F, ""),$B$6),$B$6),0))</f>
        <v/>
      </c>
      <c r="P72" s="6">
        <f>IF($A72="","", IFERROR(($O72+$L72)*IFERROR(IF(XLOOKUP('Job Control'!$B$3, INPUT_JobSettings!$A:$A, INPUT_JobSettings!$G:$G, "")&lt;&gt;"",XLOOKUP('Job Control'!$B$3, INPUT_JobSettings!$A:$A, INPUT_JobSettings!$G:$G, ""),$B$7),$B$7),0))</f>
        <v/>
      </c>
    </row>
    <row r="73">
      <c r="A73" s="6">
        <f>IFERROR(INDEX(FILTER(INPUT_Rooms!$B$4:$B$83, INPUT_Rooms!$A$4:$A$83=$B$4, INPUT_Rooms!$T$4:$T$83="Y"), 13), "")</f>
        <v/>
      </c>
      <c r="B73" s="6">
        <f>IF(A73="","", XLOOKUP(A73, FILTER(INPUT_Rooms!$B$4:$B$83, INPUT_Rooms!$A$4:$A$83=$B$4), FILTER(INPUT_Rooms!$C$4:$C$83, INPUT_Rooms!$A$4:$A$83=$B$4), ""))</f>
        <v/>
      </c>
      <c r="C73" s="6">
        <f>IF(A73="","", CHOOSE(3,"Baseboard","Crown","Window Casing","Door Casing","Doors (leaf)"))</f>
        <v/>
      </c>
      <c r="D73" s="6">
        <f>IF(A73="","", XLOOKUP(C73,Constants!$A$40:$A$200,Constants!$B$40:$B$200,"",0))</f>
        <v/>
      </c>
      <c r="E73" s="6">
        <f>IF(A73="","", IF(C73="Baseboard", IF(XLOOKUP(A73,INPUT_Rooms!$B:$B,INPUT_Rooms!$X:$X,"")="Y", XLOOKUP(A73,INPUT_Rooms!$B:$B,INPUT_Rooms!$AF:$AF,""), 0),IF(C73="Crown", IF(XLOOKUP(A73,INPUT_Rooms!$B:$B,INPUT_Rooms!$Y:$Y,"")="Y", XLOOKUP(A73,INPUT_Rooms!$B:$B,INPUT_Rooms!$AG:$AG,""), 0),IF(C73="Window Casing", IF(XLOOKUP(A73,INPUT_Rooms!$B:$B,INPUT_Rooms!$Z:$Z,"")="Y", SUMPRODUCT((INPUT_Openings!$A:$A=$B$4)*(INPUT_Openings!$B:$B=A73)*(INPUT_Openings!$D:$D)*XLOOKUP(INPUT_Openings!$C:$C,Constants!$A$30:$A$200,Constants!$E$30:$E$200,"",0)*(INPUT_Openings!$E:$E="Window")), 0),IF(C73="Door Casing", IF(XLOOKUP(A73,INPUT_Rooms!$B:$B,INPUT_Rooms!$AA:$AA,"")="Y", SUMPRODUCT((INPUT_Openings!$A:$A=$B$4)*(INPUT_Openings!$B:$B=A73)*(INPUT_Openings!$D:$D)*XLOOKUP(INPUT_Openings!$C:$C,Constants!$A$30:$A$200,Constants!$E$30:$E$200,"",0)*(INPUT_Openings!$E:$E="Door")), 0),IF(C73="Doors (leaf)", IF(XLOOKUP(A73,INPUT_Rooms!$B:$B,INPUT_Rooms!$AB:$AB,"")="Y", SUMPRODUCT((INPUT_Doors!$A:$A=$B$4)*(INPUT_Doors!$B:$B=A73)*(INPUT_Doors!$D:$D)*(INPUT_Doors!$E:$E)), 0), 0))))))</f>
        <v/>
      </c>
      <c r="F73" s="6">
        <f>IF(A73="","", XLOOKUP(A73, INPUT_Rooms!$B:$B, INPUT_Rooms!$U:$U, ""))</f>
        <v/>
      </c>
      <c r="G73" s="6">
        <f>IF(A73="","", XLOOKUP(A73, INPUT_Rooms!$B:$B, INPUT_Rooms!$V:$V, ""))</f>
        <v/>
      </c>
      <c r="H73" s="6">
        <f>IF(A73="","", IF(XLOOKUP(A73, INPUT_Rooms!$B:$B, INPUT_Rooms!$W:$W, "")="", $B$5, XLOOKUP(A73, INPUT_Rooms!$B:$B, INPUT_Rooms!$W:$W, "")))</f>
        <v/>
      </c>
      <c r="I73" s="6">
        <f>IF(A73="","", IF(C73="Doors (leaf)", 0, E73*XLOOKUP(C73,Constants!$A$40:$A$200,Constants!$C$40:$C$200,0,0)*XLOOKUP(H73,Constants!$E$10:$E$30,Constants!$F$10:$F$30)))</f>
        <v/>
      </c>
      <c r="J73" s="6">
        <f>IF(A73="","", IF(C73="Doors (leaf)", 0, E73*XLOOKUP(C73,Constants!$A$40:$A$200,Constants!$D$40:$D$200,0,0)*G73))</f>
        <v/>
      </c>
      <c r="K73" s="6">
        <f>IF(A73="","", IF(C73="Doors (leaf)", 0, IF(F73="Full", E73*XLOOKUP(C73,Constants!$A$40:$A$200,Constants!$E$40:$E$200,0,0), IF(F73="Spot", E73*XLOOKUP(C73,Constants!$A$40:$A$200,Constants!$E$40:$E$200,0,0)*0.35, 0))))</f>
        <v/>
      </c>
      <c r="L73">
        <f>IF(A73="","",0)</f>
        <v/>
      </c>
      <c r="M73" s="6">
        <f>IF(A73="","", SUM(I73:K73))</f>
        <v/>
      </c>
      <c r="N73" s="6">
        <f>IF(A73="","", L73/60)</f>
        <v/>
      </c>
      <c r="O73" s="6">
        <f>IF($A73="","", IFERROR($N73*IFERROR(IF(XLOOKUP('Job Control'!$B$3, INPUT_JobSettings!$A:$A, INPUT_JobSettings!$F:$F, "")&lt;&gt;"",XLOOKUP('Job Control'!$B$3, INPUT_JobSettings!$A:$A, INPUT_JobSettings!$F:$F, ""),$B$6),$B$6),0))</f>
        <v/>
      </c>
      <c r="P73" s="6">
        <f>IF($A73="","", IFERROR(($O73+$L73)*IFERROR(IF(XLOOKUP('Job Control'!$B$3, INPUT_JobSettings!$A:$A, INPUT_JobSettings!$G:$G, "")&lt;&gt;"",XLOOKUP('Job Control'!$B$3, INPUT_JobSettings!$A:$A, INPUT_JobSettings!$G:$G, ""),$B$7),$B$7),0))</f>
        <v/>
      </c>
    </row>
    <row r="74">
      <c r="A74" s="6">
        <f>IFERROR(INDEX(FILTER(INPUT_Rooms!$B$4:$B$83, INPUT_Rooms!$A$4:$A$83=$B$4, INPUT_Rooms!$T$4:$T$83="Y"), 13), "")</f>
        <v/>
      </c>
      <c r="B74" s="6">
        <f>IF(A74="","", XLOOKUP(A74, FILTER(INPUT_Rooms!$B$4:$B$83, INPUT_Rooms!$A$4:$A$83=$B$4), FILTER(INPUT_Rooms!$C$4:$C$83, INPUT_Rooms!$A$4:$A$83=$B$4), ""))</f>
        <v/>
      </c>
      <c r="C74" s="6">
        <f>IF(A74="","", CHOOSE(4,"Baseboard","Crown","Window Casing","Door Casing","Doors (leaf)"))</f>
        <v/>
      </c>
      <c r="D74" s="6">
        <f>IF(A74="","", XLOOKUP(C74,Constants!$A$40:$A$200,Constants!$B$40:$B$200,"",0))</f>
        <v/>
      </c>
      <c r="E74" s="6">
        <f>IF(A74="","", IF(C74="Baseboard", IF(XLOOKUP(A74,INPUT_Rooms!$B:$B,INPUT_Rooms!$X:$X,"")="Y", XLOOKUP(A74,INPUT_Rooms!$B:$B,INPUT_Rooms!$AF:$AF,""), 0),IF(C74="Crown", IF(XLOOKUP(A74,INPUT_Rooms!$B:$B,INPUT_Rooms!$Y:$Y,"")="Y", XLOOKUP(A74,INPUT_Rooms!$B:$B,INPUT_Rooms!$AG:$AG,""), 0),IF(C74="Window Casing", IF(XLOOKUP(A74,INPUT_Rooms!$B:$B,INPUT_Rooms!$Z:$Z,"")="Y", SUMPRODUCT((INPUT_Openings!$A:$A=$B$4)*(INPUT_Openings!$B:$B=A74)*(INPUT_Openings!$D:$D)*XLOOKUP(INPUT_Openings!$C:$C,Constants!$A$30:$A$200,Constants!$E$30:$E$200,"",0)*(INPUT_Openings!$E:$E="Window")), 0),IF(C74="Door Casing", IF(XLOOKUP(A74,INPUT_Rooms!$B:$B,INPUT_Rooms!$AA:$AA,"")="Y", SUMPRODUCT((INPUT_Openings!$A:$A=$B$4)*(INPUT_Openings!$B:$B=A74)*(INPUT_Openings!$D:$D)*XLOOKUP(INPUT_Openings!$C:$C,Constants!$A$30:$A$200,Constants!$E$30:$E$200,"",0)*(INPUT_Openings!$E:$E="Door")), 0),IF(C74="Doors (leaf)", IF(XLOOKUP(A74,INPUT_Rooms!$B:$B,INPUT_Rooms!$AB:$AB,"")="Y", SUMPRODUCT((INPUT_Doors!$A:$A=$B$4)*(INPUT_Doors!$B:$B=A74)*(INPUT_Doors!$D:$D)*(INPUT_Doors!$E:$E)), 0), 0))))))</f>
        <v/>
      </c>
      <c r="F74" s="6">
        <f>IF(A74="","", XLOOKUP(A74, INPUT_Rooms!$B:$B, INPUT_Rooms!$U:$U, ""))</f>
        <v/>
      </c>
      <c r="G74" s="6">
        <f>IF(A74="","", XLOOKUP(A74, INPUT_Rooms!$B:$B, INPUT_Rooms!$V:$V, ""))</f>
        <v/>
      </c>
      <c r="H74" s="6">
        <f>IF(A74="","", IF(XLOOKUP(A74, INPUT_Rooms!$B:$B, INPUT_Rooms!$W:$W, "")="", $B$5, XLOOKUP(A74, INPUT_Rooms!$B:$B, INPUT_Rooms!$W:$W, "")))</f>
        <v/>
      </c>
      <c r="I74" s="6">
        <f>IF(A74="","", IF(C74="Doors (leaf)", 0, E74*XLOOKUP(C74,Constants!$A$40:$A$200,Constants!$C$40:$C$200,0,0)*XLOOKUP(H74,Constants!$E$10:$E$30,Constants!$F$10:$F$30)))</f>
        <v/>
      </c>
      <c r="J74" s="6">
        <f>IF(A74="","", IF(C74="Doors (leaf)", 0, E74*XLOOKUP(C74,Constants!$A$40:$A$200,Constants!$D$40:$D$200,0,0)*G74))</f>
        <v/>
      </c>
      <c r="K74" s="6">
        <f>IF(A74="","", IF(C74="Doors (leaf)", 0, IF(F74="Full", E74*XLOOKUP(C74,Constants!$A$40:$A$200,Constants!$E$40:$E$200,0,0), IF(F74="Spot", E74*XLOOKUP(C74,Constants!$A$40:$A$200,Constants!$E$40:$E$200,0,0)*0.35, 0))))</f>
        <v/>
      </c>
      <c r="L74">
        <f>IF(A74="","",0)</f>
        <v/>
      </c>
      <c r="M74" s="6">
        <f>IF(A74="","", SUM(I74:K74))</f>
        <v/>
      </c>
      <c r="N74" s="6">
        <f>IF(A74="","", L74/60)</f>
        <v/>
      </c>
      <c r="O74" s="6">
        <f>IF($A74="","", IFERROR($N74*IFERROR(IF(XLOOKUP('Job Control'!$B$3, INPUT_JobSettings!$A:$A, INPUT_JobSettings!$F:$F, "")&lt;&gt;"",XLOOKUP('Job Control'!$B$3, INPUT_JobSettings!$A:$A, INPUT_JobSettings!$F:$F, ""),$B$6),$B$6),0))</f>
        <v/>
      </c>
      <c r="P74" s="6">
        <f>IF($A74="","", IFERROR(($O74+$L74)*IFERROR(IF(XLOOKUP('Job Control'!$B$3, INPUT_JobSettings!$A:$A, INPUT_JobSettings!$G:$G, "")&lt;&gt;"",XLOOKUP('Job Control'!$B$3, INPUT_JobSettings!$A:$A, INPUT_JobSettings!$G:$G, ""),$B$7),$B$7),0))</f>
        <v/>
      </c>
    </row>
    <row r="75">
      <c r="A75" s="6">
        <f>IFERROR(INDEX(FILTER(INPUT_Rooms!$B$4:$B$83, INPUT_Rooms!$A$4:$A$83=$B$4, INPUT_Rooms!$T$4:$T$83="Y"), 13), "")</f>
        <v/>
      </c>
      <c r="B75" s="6">
        <f>IF(A75="","", XLOOKUP(A75, FILTER(INPUT_Rooms!$B$4:$B$83, INPUT_Rooms!$A$4:$A$83=$B$4), FILTER(INPUT_Rooms!$C$4:$C$83, INPUT_Rooms!$A$4:$A$83=$B$4), ""))</f>
        <v/>
      </c>
      <c r="C75" s="6">
        <f>IF(A75="","", CHOOSE(5,"Baseboard","Crown","Window Casing","Door Casing","Doors (leaf)"))</f>
        <v/>
      </c>
      <c r="D75" s="6">
        <f>IF(A75="","", XLOOKUP(C75,Constants!$A$40:$A$200,Constants!$B$40:$B$200,"",0))</f>
        <v/>
      </c>
      <c r="E75" s="6">
        <f>IF(A75="","", IF(C75="Baseboard", IF(XLOOKUP(A75,INPUT_Rooms!$B:$B,INPUT_Rooms!$X:$X,"")="Y", XLOOKUP(A75,INPUT_Rooms!$B:$B,INPUT_Rooms!$AF:$AF,""), 0),IF(C75="Crown", IF(XLOOKUP(A75,INPUT_Rooms!$B:$B,INPUT_Rooms!$Y:$Y,"")="Y", XLOOKUP(A75,INPUT_Rooms!$B:$B,INPUT_Rooms!$AG:$AG,""), 0),IF(C75="Window Casing", IF(XLOOKUP(A75,INPUT_Rooms!$B:$B,INPUT_Rooms!$Z:$Z,"")="Y", SUMPRODUCT((INPUT_Openings!$A:$A=$B$4)*(INPUT_Openings!$B:$B=A75)*(INPUT_Openings!$D:$D)*XLOOKUP(INPUT_Openings!$C:$C,Constants!$A$30:$A$200,Constants!$E$30:$E$200,"",0)*(INPUT_Openings!$E:$E="Window")), 0),IF(C75="Door Casing", IF(XLOOKUP(A75,INPUT_Rooms!$B:$B,INPUT_Rooms!$AA:$AA,"")="Y", SUMPRODUCT((INPUT_Openings!$A:$A=$B$4)*(INPUT_Openings!$B:$B=A75)*(INPUT_Openings!$D:$D)*XLOOKUP(INPUT_Openings!$C:$C,Constants!$A$30:$A$200,Constants!$E$30:$E$200,"",0)*(INPUT_Openings!$E:$E="Door")), 0),IF(C75="Doors (leaf)", IF(XLOOKUP(A75,INPUT_Rooms!$B:$B,INPUT_Rooms!$AB:$AB,"")="Y", SUMPRODUCT((INPUT_Doors!$A:$A=$B$4)*(INPUT_Doors!$B:$B=A75)*(INPUT_Doors!$D:$D)*(INPUT_Doors!$E:$E)), 0), 0))))))</f>
        <v/>
      </c>
      <c r="F75" s="6">
        <f>IF(A75="","", XLOOKUP(A75, INPUT_Rooms!$B:$B, INPUT_Rooms!$U:$U, ""))</f>
        <v/>
      </c>
      <c r="G75" s="6">
        <f>IF(A75="","", XLOOKUP(A75, INPUT_Rooms!$B:$B, INPUT_Rooms!$V:$V, ""))</f>
        <v/>
      </c>
      <c r="H75" s="6">
        <f>IF(A75="","", IF(XLOOKUP(A75, INPUT_Rooms!$B:$B, INPUT_Rooms!$W:$W, "")="", $B$5, XLOOKUP(A75, INPUT_Rooms!$B:$B, INPUT_Rooms!$W:$W, "")))</f>
        <v/>
      </c>
      <c r="I75" s="6">
        <f>IF(A75="","", IF(C75="Doors (leaf)", 0, E75*XLOOKUP(C75,Constants!$A$40:$A$200,Constants!$C$40:$C$200,0,0)*XLOOKUP(H75,Constants!$E$10:$E$30,Constants!$F$10:$F$30)))</f>
        <v/>
      </c>
      <c r="J75" s="6">
        <f>IF(A75="","", IF(C75="Doors (leaf)", 0, E75*XLOOKUP(C75,Constants!$A$40:$A$200,Constants!$D$40:$D$200,0,0)*G75))</f>
        <v/>
      </c>
      <c r="K75" s="6">
        <f>IF(A75="","", IF(C75="Doors (leaf)", 0, IF(F75="Full", E75*XLOOKUP(C75,Constants!$A$40:$A$200,Constants!$E$40:$E$200,0,0), IF(F75="Spot", E75*XLOOKUP(C75,Constants!$A$40:$A$200,Constants!$E$40:$E$200,0,0)*0.35, 0))))</f>
        <v/>
      </c>
      <c r="L75">
        <f>IF(A75="","",0)</f>
        <v/>
      </c>
      <c r="M75" s="6">
        <f>IF(A75="","", SUM(I75:K75))</f>
        <v/>
      </c>
      <c r="N75" s="6">
        <f>IF(A75="","", L75/60)</f>
        <v/>
      </c>
      <c r="O75" s="6">
        <f>IF($A75="","", IFERROR($N75*IFERROR(IF(XLOOKUP('Job Control'!$B$3, INPUT_JobSettings!$A:$A, INPUT_JobSettings!$F:$F, "")&lt;&gt;"",XLOOKUP('Job Control'!$B$3, INPUT_JobSettings!$A:$A, INPUT_JobSettings!$F:$F, ""),$B$6),$B$6),0))</f>
        <v/>
      </c>
      <c r="P75" s="6">
        <f>IF($A75="","", IFERROR(($O75+$L75)*IFERROR(IF(XLOOKUP('Job Control'!$B$3, INPUT_JobSettings!$A:$A, INPUT_JobSettings!$G:$G, "")&lt;&gt;"",XLOOKUP('Job Control'!$B$3, INPUT_JobSettings!$A:$A, INPUT_JobSettings!$G:$G, ""),$B$7),$B$7),0))</f>
        <v/>
      </c>
    </row>
    <row r="76">
      <c r="A76" s="6">
        <f>IFERROR(INDEX(FILTER(INPUT_Rooms!$B$4:$B$83, INPUT_Rooms!$A$4:$A$83=$B$4, INPUT_Rooms!$T$4:$T$83="Y"), 14), "")</f>
        <v/>
      </c>
      <c r="B76" s="6">
        <f>IF(A76="","", XLOOKUP(A76, FILTER(INPUT_Rooms!$B$4:$B$83, INPUT_Rooms!$A$4:$A$83=$B$4), FILTER(INPUT_Rooms!$C$4:$C$83, INPUT_Rooms!$A$4:$A$83=$B$4), ""))</f>
        <v/>
      </c>
      <c r="C76" s="6">
        <f>IF(A76="","", CHOOSE(1,"Baseboard","Crown","Window Casing","Door Casing","Doors (leaf)"))</f>
        <v/>
      </c>
      <c r="D76" s="6">
        <f>IF(A76="","", XLOOKUP(C76,Constants!$A$40:$A$200,Constants!$B$40:$B$200,"",0))</f>
        <v/>
      </c>
      <c r="E76" s="6">
        <f>IF(A76="","", IF(C76="Baseboard", IF(XLOOKUP(A76,INPUT_Rooms!$B:$B,INPUT_Rooms!$X:$X,"")="Y", XLOOKUP(A76,INPUT_Rooms!$B:$B,INPUT_Rooms!$AF:$AF,""), 0),IF(C76="Crown", IF(XLOOKUP(A76,INPUT_Rooms!$B:$B,INPUT_Rooms!$Y:$Y,"")="Y", XLOOKUP(A76,INPUT_Rooms!$B:$B,INPUT_Rooms!$AG:$AG,""), 0),IF(C76="Window Casing", IF(XLOOKUP(A76,INPUT_Rooms!$B:$B,INPUT_Rooms!$Z:$Z,"")="Y", SUMPRODUCT((INPUT_Openings!$A:$A=$B$4)*(INPUT_Openings!$B:$B=A76)*(INPUT_Openings!$D:$D)*XLOOKUP(INPUT_Openings!$C:$C,Constants!$A$30:$A$200,Constants!$E$30:$E$200,"",0)*(INPUT_Openings!$E:$E="Window")), 0),IF(C76="Door Casing", IF(XLOOKUP(A76,INPUT_Rooms!$B:$B,INPUT_Rooms!$AA:$AA,"")="Y", SUMPRODUCT((INPUT_Openings!$A:$A=$B$4)*(INPUT_Openings!$B:$B=A76)*(INPUT_Openings!$D:$D)*XLOOKUP(INPUT_Openings!$C:$C,Constants!$A$30:$A$200,Constants!$E$30:$E$200,"",0)*(INPUT_Openings!$E:$E="Door")), 0),IF(C76="Doors (leaf)", IF(XLOOKUP(A76,INPUT_Rooms!$B:$B,INPUT_Rooms!$AB:$AB,"")="Y", SUMPRODUCT((INPUT_Doors!$A:$A=$B$4)*(INPUT_Doors!$B:$B=A76)*(INPUT_Doors!$D:$D)*(INPUT_Doors!$E:$E)), 0), 0))))))</f>
        <v/>
      </c>
      <c r="F76" s="6">
        <f>IF(A76="","", XLOOKUP(A76, INPUT_Rooms!$B:$B, INPUT_Rooms!$U:$U, ""))</f>
        <v/>
      </c>
      <c r="G76" s="6">
        <f>IF(A76="","", XLOOKUP(A76, INPUT_Rooms!$B:$B, INPUT_Rooms!$V:$V, ""))</f>
        <v/>
      </c>
      <c r="H76" s="6">
        <f>IF(A76="","", IF(XLOOKUP(A76, INPUT_Rooms!$B:$B, INPUT_Rooms!$W:$W, "")="", $B$5, XLOOKUP(A76, INPUT_Rooms!$B:$B, INPUT_Rooms!$W:$W, "")))</f>
        <v/>
      </c>
      <c r="I76" s="6">
        <f>IF(A76="","", IF(C76="Doors (leaf)", 0, E76*XLOOKUP(C76,Constants!$A$40:$A$200,Constants!$C$40:$C$200,0,0)*XLOOKUP(H76,Constants!$E$10:$E$30,Constants!$F$10:$F$30)))</f>
        <v/>
      </c>
      <c r="J76" s="6">
        <f>IF(A76="","", IF(C76="Doors (leaf)", 0, E76*XLOOKUP(C76,Constants!$A$40:$A$200,Constants!$D$40:$D$200,0,0)*G76))</f>
        <v/>
      </c>
      <c r="K76" s="6">
        <f>IF(A76="","", IF(C76="Doors (leaf)", 0, IF(F76="Full", E76*XLOOKUP(C76,Constants!$A$40:$A$200,Constants!$E$40:$E$200,0,0), IF(F76="Spot", E76*XLOOKUP(C76,Constants!$A$40:$A$200,Constants!$E$40:$E$200,0,0)*0.35, 0))))</f>
        <v/>
      </c>
      <c r="L76">
        <f>IF(A76="","",0)</f>
        <v/>
      </c>
      <c r="M76" s="6">
        <f>IF(A76="","", SUM(I76:K76))</f>
        <v/>
      </c>
      <c r="N76" s="6">
        <f>IF(A76="","", L76/60)</f>
        <v/>
      </c>
      <c r="O76" s="6">
        <f>IF($A76="","", IFERROR($N76*IFERROR(IF(XLOOKUP('Job Control'!$B$3, INPUT_JobSettings!$A:$A, INPUT_JobSettings!$F:$F, "")&lt;&gt;"",XLOOKUP('Job Control'!$B$3, INPUT_JobSettings!$A:$A, INPUT_JobSettings!$F:$F, ""),$B$6),$B$6),0))</f>
        <v/>
      </c>
      <c r="P76" s="6">
        <f>IF($A76="","", IFERROR(($O76+$L76)*IFERROR(IF(XLOOKUP('Job Control'!$B$3, INPUT_JobSettings!$A:$A, INPUT_JobSettings!$G:$G, "")&lt;&gt;"",XLOOKUP('Job Control'!$B$3, INPUT_JobSettings!$A:$A, INPUT_JobSettings!$G:$G, ""),$B$7),$B$7),0))</f>
        <v/>
      </c>
    </row>
    <row r="77">
      <c r="A77" s="6">
        <f>IFERROR(INDEX(FILTER(INPUT_Rooms!$B$4:$B$83, INPUT_Rooms!$A$4:$A$83=$B$4, INPUT_Rooms!$T$4:$T$83="Y"), 14), "")</f>
        <v/>
      </c>
      <c r="B77" s="6">
        <f>IF(A77="","", XLOOKUP(A77, FILTER(INPUT_Rooms!$B$4:$B$83, INPUT_Rooms!$A$4:$A$83=$B$4), FILTER(INPUT_Rooms!$C$4:$C$83, INPUT_Rooms!$A$4:$A$83=$B$4), ""))</f>
        <v/>
      </c>
      <c r="C77" s="6">
        <f>IF(A77="","", CHOOSE(2,"Baseboard","Crown","Window Casing","Door Casing","Doors (leaf)"))</f>
        <v/>
      </c>
      <c r="D77" s="6">
        <f>IF(A77="","", XLOOKUP(C77,Constants!$A$40:$A$200,Constants!$B$40:$B$200,"",0))</f>
        <v/>
      </c>
      <c r="E77" s="6">
        <f>IF(A77="","", IF(C77="Baseboard", IF(XLOOKUP(A77,INPUT_Rooms!$B:$B,INPUT_Rooms!$X:$X,"")="Y", XLOOKUP(A77,INPUT_Rooms!$B:$B,INPUT_Rooms!$AF:$AF,""), 0),IF(C77="Crown", IF(XLOOKUP(A77,INPUT_Rooms!$B:$B,INPUT_Rooms!$Y:$Y,"")="Y", XLOOKUP(A77,INPUT_Rooms!$B:$B,INPUT_Rooms!$AG:$AG,""), 0),IF(C77="Window Casing", IF(XLOOKUP(A77,INPUT_Rooms!$B:$B,INPUT_Rooms!$Z:$Z,"")="Y", SUMPRODUCT((INPUT_Openings!$A:$A=$B$4)*(INPUT_Openings!$B:$B=A77)*(INPUT_Openings!$D:$D)*XLOOKUP(INPUT_Openings!$C:$C,Constants!$A$30:$A$200,Constants!$E$30:$E$200,"",0)*(INPUT_Openings!$E:$E="Window")), 0),IF(C77="Door Casing", IF(XLOOKUP(A77,INPUT_Rooms!$B:$B,INPUT_Rooms!$AA:$AA,"")="Y", SUMPRODUCT((INPUT_Openings!$A:$A=$B$4)*(INPUT_Openings!$B:$B=A77)*(INPUT_Openings!$D:$D)*XLOOKUP(INPUT_Openings!$C:$C,Constants!$A$30:$A$200,Constants!$E$30:$E$200,"",0)*(INPUT_Openings!$E:$E="Door")), 0),IF(C77="Doors (leaf)", IF(XLOOKUP(A77,INPUT_Rooms!$B:$B,INPUT_Rooms!$AB:$AB,"")="Y", SUMPRODUCT((INPUT_Doors!$A:$A=$B$4)*(INPUT_Doors!$B:$B=A77)*(INPUT_Doors!$D:$D)*(INPUT_Doors!$E:$E)), 0), 0))))))</f>
        <v/>
      </c>
      <c r="F77" s="6">
        <f>IF(A77="","", XLOOKUP(A77, INPUT_Rooms!$B:$B, INPUT_Rooms!$U:$U, ""))</f>
        <v/>
      </c>
      <c r="G77" s="6">
        <f>IF(A77="","", XLOOKUP(A77, INPUT_Rooms!$B:$B, INPUT_Rooms!$V:$V, ""))</f>
        <v/>
      </c>
      <c r="H77" s="6">
        <f>IF(A77="","", IF(XLOOKUP(A77, INPUT_Rooms!$B:$B, INPUT_Rooms!$W:$W, "")="", $B$5, XLOOKUP(A77, INPUT_Rooms!$B:$B, INPUT_Rooms!$W:$W, "")))</f>
        <v/>
      </c>
      <c r="I77" s="6">
        <f>IF(A77="","", IF(C77="Doors (leaf)", 0, E77*XLOOKUP(C77,Constants!$A$40:$A$200,Constants!$C$40:$C$200,0,0)*XLOOKUP(H77,Constants!$E$10:$E$30,Constants!$F$10:$F$30)))</f>
        <v/>
      </c>
      <c r="J77" s="6">
        <f>IF(A77="","", IF(C77="Doors (leaf)", 0, E77*XLOOKUP(C77,Constants!$A$40:$A$200,Constants!$D$40:$D$200,0,0)*G77))</f>
        <v/>
      </c>
      <c r="K77" s="6">
        <f>IF(A77="","", IF(C77="Doors (leaf)", 0, IF(F77="Full", E77*XLOOKUP(C77,Constants!$A$40:$A$200,Constants!$E$40:$E$200,0,0), IF(F77="Spot", E77*XLOOKUP(C77,Constants!$A$40:$A$200,Constants!$E$40:$E$200,0,0)*0.35, 0))))</f>
        <v/>
      </c>
      <c r="L77">
        <f>IF(A77="","",0)</f>
        <v/>
      </c>
      <c r="M77" s="6">
        <f>IF(A77="","", SUM(I77:K77))</f>
        <v/>
      </c>
      <c r="N77" s="6">
        <f>IF(A77="","", L77/60)</f>
        <v/>
      </c>
      <c r="O77" s="6">
        <f>IF($A77="","", IFERROR($N77*IFERROR(IF(XLOOKUP('Job Control'!$B$3, INPUT_JobSettings!$A:$A, INPUT_JobSettings!$F:$F, "")&lt;&gt;"",XLOOKUP('Job Control'!$B$3, INPUT_JobSettings!$A:$A, INPUT_JobSettings!$F:$F, ""),$B$6),$B$6),0))</f>
        <v/>
      </c>
      <c r="P77" s="6">
        <f>IF($A77="","", IFERROR(($O77+$L77)*IFERROR(IF(XLOOKUP('Job Control'!$B$3, INPUT_JobSettings!$A:$A, INPUT_JobSettings!$G:$G, "")&lt;&gt;"",XLOOKUP('Job Control'!$B$3, INPUT_JobSettings!$A:$A, INPUT_JobSettings!$G:$G, ""),$B$7),$B$7),0))</f>
        <v/>
      </c>
    </row>
    <row r="78">
      <c r="A78" s="6">
        <f>IFERROR(INDEX(FILTER(INPUT_Rooms!$B$4:$B$83, INPUT_Rooms!$A$4:$A$83=$B$4, INPUT_Rooms!$T$4:$T$83="Y"), 14), "")</f>
        <v/>
      </c>
      <c r="B78" s="6">
        <f>IF(A78="","", XLOOKUP(A78, FILTER(INPUT_Rooms!$B$4:$B$83, INPUT_Rooms!$A$4:$A$83=$B$4), FILTER(INPUT_Rooms!$C$4:$C$83, INPUT_Rooms!$A$4:$A$83=$B$4), ""))</f>
        <v/>
      </c>
      <c r="C78" s="6">
        <f>IF(A78="","", CHOOSE(3,"Baseboard","Crown","Window Casing","Door Casing","Doors (leaf)"))</f>
        <v/>
      </c>
      <c r="D78" s="6">
        <f>IF(A78="","", XLOOKUP(C78,Constants!$A$40:$A$200,Constants!$B$40:$B$200,"",0))</f>
        <v/>
      </c>
      <c r="E78" s="6">
        <f>IF(A78="","", IF(C78="Baseboard", IF(XLOOKUP(A78,INPUT_Rooms!$B:$B,INPUT_Rooms!$X:$X,"")="Y", XLOOKUP(A78,INPUT_Rooms!$B:$B,INPUT_Rooms!$AF:$AF,""), 0),IF(C78="Crown", IF(XLOOKUP(A78,INPUT_Rooms!$B:$B,INPUT_Rooms!$Y:$Y,"")="Y", XLOOKUP(A78,INPUT_Rooms!$B:$B,INPUT_Rooms!$AG:$AG,""), 0),IF(C78="Window Casing", IF(XLOOKUP(A78,INPUT_Rooms!$B:$B,INPUT_Rooms!$Z:$Z,"")="Y", SUMPRODUCT((INPUT_Openings!$A:$A=$B$4)*(INPUT_Openings!$B:$B=A78)*(INPUT_Openings!$D:$D)*XLOOKUP(INPUT_Openings!$C:$C,Constants!$A$30:$A$200,Constants!$E$30:$E$200,"",0)*(INPUT_Openings!$E:$E="Window")), 0),IF(C78="Door Casing", IF(XLOOKUP(A78,INPUT_Rooms!$B:$B,INPUT_Rooms!$AA:$AA,"")="Y", SUMPRODUCT((INPUT_Openings!$A:$A=$B$4)*(INPUT_Openings!$B:$B=A78)*(INPUT_Openings!$D:$D)*XLOOKUP(INPUT_Openings!$C:$C,Constants!$A$30:$A$200,Constants!$E$30:$E$200,"",0)*(INPUT_Openings!$E:$E="Door")), 0),IF(C78="Doors (leaf)", IF(XLOOKUP(A78,INPUT_Rooms!$B:$B,INPUT_Rooms!$AB:$AB,"")="Y", SUMPRODUCT((INPUT_Doors!$A:$A=$B$4)*(INPUT_Doors!$B:$B=A78)*(INPUT_Doors!$D:$D)*(INPUT_Doors!$E:$E)), 0), 0))))))</f>
        <v/>
      </c>
      <c r="F78" s="6">
        <f>IF(A78="","", XLOOKUP(A78, INPUT_Rooms!$B:$B, INPUT_Rooms!$U:$U, ""))</f>
        <v/>
      </c>
      <c r="G78" s="6">
        <f>IF(A78="","", XLOOKUP(A78, INPUT_Rooms!$B:$B, INPUT_Rooms!$V:$V, ""))</f>
        <v/>
      </c>
      <c r="H78" s="6">
        <f>IF(A78="","", IF(XLOOKUP(A78, INPUT_Rooms!$B:$B, INPUT_Rooms!$W:$W, "")="", $B$5, XLOOKUP(A78, INPUT_Rooms!$B:$B, INPUT_Rooms!$W:$W, "")))</f>
        <v/>
      </c>
      <c r="I78" s="6">
        <f>IF(A78="","", IF(C78="Doors (leaf)", 0, E78*XLOOKUP(C78,Constants!$A$40:$A$200,Constants!$C$40:$C$200,0,0)*XLOOKUP(H78,Constants!$E$10:$E$30,Constants!$F$10:$F$30)))</f>
        <v/>
      </c>
      <c r="J78" s="6">
        <f>IF(A78="","", IF(C78="Doors (leaf)", 0, E78*XLOOKUP(C78,Constants!$A$40:$A$200,Constants!$D$40:$D$200,0,0)*G78))</f>
        <v/>
      </c>
      <c r="K78" s="6">
        <f>IF(A78="","", IF(C78="Doors (leaf)", 0, IF(F78="Full", E78*XLOOKUP(C78,Constants!$A$40:$A$200,Constants!$E$40:$E$200,0,0), IF(F78="Spot", E78*XLOOKUP(C78,Constants!$A$40:$A$200,Constants!$E$40:$E$200,0,0)*0.35, 0))))</f>
        <v/>
      </c>
      <c r="L78">
        <f>IF(A78="","",0)</f>
        <v/>
      </c>
      <c r="M78" s="6">
        <f>IF(A78="","", SUM(I78:K78))</f>
        <v/>
      </c>
      <c r="N78" s="6">
        <f>IF(A78="","", L78/60)</f>
        <v/>
      </c>
      <c r="O78" s="6">
        <f>IF($A78="","", IFERROR($N78*IFERROR(IF(XLOOKUP('Job Control'!$B$3, INPUT_JobSettings!$A:$A, INPUT_JobSettings!$F:$F, "")&lt;&gt;"",XLOOKUP('Job Control'!$B$3, INPUT_JobSettings!$A:$A, INPUT_JobSettings!$F:$F, ""),$B$6),$B$6),0))</f>
        <v/>
      </c>
      <c r="P78" s="6">
        <f>IF($A78="","", IFERROR(($O78+$L78)*IFERROR(IF(XLOOKUP('Job Control'!$B$3, INPUT_JobSettings!$A:$A, INPUT_JobSettings!$G:$G, "")&lt;&gt;"",XLOOKUP('Job Control'!$B$3, INPUT_JobSettings!$A:$A, INPUT_JobSettings!$G:$G, ""),$B$7),$B$7),0))</f>
        <v/>
      </c>
    </row>
    <row r="79">
      <c r="A79" s="6">
        <f>IFERROR(INDEX(FILTER(INPUT_Rooms!$B$4:$B$83, INPUT_Rooms!$A$4:$A$83=$B$4, INPUT_Rooms!$T$4:$T$83="Y"), 14), "")</f>
        <v/>
      </c>
      <c r="B79" s="6">
        <f>IF(A79="","", XLOOKUP(A79, FILTER(INPUT_Rooms!$B$4:$B$83, INPUT_Rooms!$A$4:$A$83=$B$4), FILTER(INPUT_Rooms!$C$4:$C$83, INPUT_Rooms!$A$4:$A$83=$B$4), ""))</f>
        <v/>
      </c>
      <c r="C79" s="6">
        <f>IF(A79="","", CHOOSE(4,"Baseboard","Crown","Window Casing","Door Casing","Doors (leaf)"))</f>
        <v/>
      </c>
      <c r="D79" s="6">
        <f>IF(A79="","", XLOOKUP(C79,Constants!$A$40:$A$200,Constants!$B$40:$B$200,"",0))</f>
        <v/>
      </c>
      <c r="E79" s="6">
        <f>IF(A79="","", IF(C79="Baseboard", IF(XLOOKUP(A79,INPUT_Rooms!$B:$B,INPUT_Rooms!$X:$X,"")="Y", XLOOKUP(A79,INPUT_Rooms!$B:$B,INPUT_Rooms!$AF:$AF,""), 0),IF(C79="Crown", IF(XLOOKUP(A79,INPUT_Rooms!$B:$B,INPUT_Rooms!$Y:$Y,"")="Y", XLOOKUP(A79,INPUT_Rooms!$B:$B,INPUT_Rooms!$AG:$AG,""), 0),IF(C79="Window Casing", IF(XLOOKUP(A79,INPUT_Rooms!$B:$B,INPUT_Rooms!$Z:$Z,"")="Y", SUMPRODUCT((INPUT_Openings!$A:$A=$B$4)*(INPUT_Openings!$B:$B=A79)*(INPUT_Openings!$D:$D)*XLOOKUP(INPUT_Openings!$C:$C,Constants!$A$30:$A$200,Constants!$E$30:$E$200,"",0)*(INPUT_Openings!$E:$E="Window")), 0),IF(C79="Door Casing", IF(XLOOKUP(A79,INPUT_Rooms!$B:$B,INPUT_Rooms!$AA:$AA,"")="Y", SUMPRODUCT((INPUT_Openings!$A:$A=$B$4)*(INPUT_Openings!$B:$B=A79)*(INPUT_Openings!$D:$D)*XLOOKUP(INPUT_Openings!$C:$C,Constants!$A$30:$A$200,Constants!$E$30:$E$200,"",0)*(INPUT_Openings!$E:$E="Door")), 0),IF(C79="Doors (leaf)", IF(XLOOKUP(A79,INPUT_Rooms!$B:$B,INPUT_Rooms!$AB:$AB,"")="Y", SUMPRODUCT((INPUT_Doors!$A:$A=$B$4)*(INPUT_Doors!$B:$B=A79)*(INPUT_Doors!$D:$D)*(INPUT_Doors!$E:$E)), 0), 0))))))</f>
        <v/>
      </c>
      <c r="F79" s="6">
        <f>IF(A79="","", XLOOKUP(A79, INPUT_Rooms!$B:$B, INPUT_Rooms!$U:$U, ""))</f>
        <v/>
      </c>
      <c r="G79" s="6">
        <f>IF(A79="","", XLOOKUP(A79, INPUT_Rooms!$B:$B, INPUT_Rooms!$V:$V, ""))</f>
        <v/>
      </c>
      <c r="H79" s="6">
        <f>IF(A79="","", IF(XLOOKUP(A79, INPUT_Rooms!$B:$B, INPUT_Rooms!$W:$W, "")="", $B$5, XLOOKUP(A79, INPUT_Rooms!$B:$B, INPUT_Rooms!$W:$W, "")))</f>
        <v/>
      </c>
      <c r="I79" s="6">
        <f>IF(A79="","", IF(C79="Doors (leaf)", 0, E79*XLOOKUP(C79,Constants!$A$40:$A$200,Constants!$C$40:$C$200,0,0)*XLOOKUP(H79,Constants!$E$10:$E$30,Constants!$F$10:$F$30)))</f>
        <v/>
      </c>
      <c r="J79" s="6">
        <f>IF(A79="","", IF(C79="Doors (leaf)", 0, E79*XLOOKUP(C79,Constants!$A$40:$A$200,Constants!$D$40:$D$200,0,0)*G79))</f>
        <v/>
      </c>
      <c r="K79" s="6">
        <f>IF(A79="","", IF(C79="Doors (leaf)", 0, IF(F79="Full", E79*XLOOKUP(C79,Constants!$A$40:$A$200,Constants!$E$40:$E$200,0,0), IF(F79="Spot", E79*XLOOKUP(C79,Constants!$A$40:$A$200,Constants!$E$40:$E$200,0,0)*0.35, 0))))</f>
        <v/>
      </c>
      <c r="L79">
        <f>IF(A79="","",0)</f>
        <v/>
      </c>
      <c r="M79" s="6">
        <f>IF(A79="","", SUM(I79:K79))</f>
        <v/>
      </c>
      <c r="N79" s="6">
        <f>IF(A79="","", L79/60)</f>
        <v/>
      </c>
      <c r="O79" s="6">
        <f>IF($A79="","", IFERROR($N79*IFERROR(IF(XLOOKUP('Job Control'!$B$3, INPUT_JobSettings!$A:$A, INPUT_JobSettings!$F:$F, "")&lt;&gt;"",XLOOKUP('Job Control'!$B$3, INPUT_JobSettings!$A:$A, INPUT_JobSettings!$F:$F, ""),$B$6),$B$6),0))</f>
        <v/>
      </c>
      <c r="P79" s="6">
        <f>IF($A79="","", IFERROR(($O79+$L79)*IFERROR(IF(XLOOKUP('Job Control'!$B$3, INPUT_JobSettings!$A:$A, INPUT_JobSettings!$G:$G, "")&lt;&gt;"",XLOOKUP('Job Control'!$B$3, INPUT_JobSettings!$A:$A, INPUT_JobSettings!$G:$G, ""),$B$7),$B$7),0))</f>
        <v/>
      </c>
    </row>
    <row r="80">
      <c r="A80" s="6">
        <f>IFERROR(INDEX(FILTER(INPUT_Rooms!$B$4:$B$83, INPUT_Rooms!$A$4:$A$83=$B$4, INPUT_Rooms!$T$4:$T$83="Y"), 14), "")</f>
        <v/>
      </c>
      <c r="B80" s="6">
        <f>IF(A80="","", XLOOKUP(A80, FILTER(INPUT_Rooms!$B$4:$B$83, INPUT_Rooms!$A$4:$A$83=$B$4), FILTER(INPUT_Rooms!$C$4:$C$83, INPUT_Rooms!$A$4:$A$83=$B$4), ""))</f>
        <v/>
      </c>
      <c r="C80" s="6">
        <f>IF(A80="","", CHOOSE(5,"Baseboard","Crown","Window Casing","Door Casing","Doors (leaf)"))</f>
        <v/>
      </c>
      <c r="D80" s="6">
        <f>IF(A80="","", XLOOKUP(C80,Constants!$A$40:$A$200,Constants!$B$40:$B$200,"",0))</f>
        <v/>
      </c>
      <c r="E80" s="6">
        <f>IF(A80="","", IF(C80="Baseboard", IF(XLOOKUP(A80,INPUT_Rooms!$B:$B,INPUT_Rooms!$X:$X,"")="Y", XLOOKUP(A80,INPUT_Rooms!$B:$B,INPUT_Rooms!$AF:$AF,""), 0),IF(C80="Crown", IF(XLOOKUP(A80,INPUT_Rooms!$B:$B,INPUT_Rooms!$Y:$Y,"")="Y", XLOOKUP(A80,INPUT_Rooms!$B:$B,INPUT_Rooms!$AG:$AG,""), 0),IF(C80="Window Casing", IF(XLOOKUP(A80,INPUT_Rooms!$B:$B,INPUT_Rooms!$Z:$Z,"")="Y", SUMPRODUCT((INPUT_Openings!$A:$A=$B$4)*(INPUT_Openings!$B:$B=A80)*(INPUT_Openings!$D:$D)*XLOOKUP(INPUT_Openings!$C:$C,Constants!$A$30:$A$200,Constants!$E$30:$E$200,"",0)*(INPUT_Openings!$E:$E="Window")), 0),IF(C80="Door Casing", IF(XLOOKUP(A80,INPUT_Rooms!$B:$B,INPUT_Rooms!$AA:$AA,"")="Y", SUMPRODUCT((INPUT_Openings!$A:$A=$B$4)*(INPUT_Openings!$B:$B=A80)*(INPUT_Openings!$D:$D)*XLOOKUP(INPUT_Openings!$C:$C,Constants!$A$30:$A$200,Constants!$E$30:$E$200,"",0)*(INPUT_Openings!$E:$E="Door")), 0),IF(C80="Doors (leaf)", IF(XLOOKUP(A80,INPUT_Rooms!$B:$B,INPUT_Rooms!$AB:$AB,"")="Y", SUMPRODUCT((INPUT_Doors!$A:$A=$B$4)*(INPUT_Doors!$B:$B=A80)*(INPUT_Doors!$D:$D)*(INPUT_Doors!$E:$E)), 0), 0))))))</f>
        <v/>
      </c>
      <c r="F80" s="6">
        <f>IF(A80="","", XLOOKUP(A80, INPUT_Rooms!$B:$B, INPUT_Rooms!$U:$U, ""))</f>
        <v/>
      </c>
      <c r="G80" s="6">
        <f>IF(A80="","", XLOOKUP(A80, INPUT_Rooms!$B:$B, INPUT_Rooms!$V:$V, ""))</f>
        <v/>
      </c>
      <c r="H80" s="6">
        <f>IF(A80="","", IF(XLOOKUP(A80, INPUT_Rooms!$B:$B, INPUT_Rooms!$W:$W, "")="", $B$5, XLOOKUP(A80, INPUT_Rooms!$B:$B, INPUT_Rooms!$W:$W, "")))</f>
        <v/>
      </c>
      <c r="I80" s="6">
        <f>IF(A80="","", IF(C80="Doors (leaf)", 0, E80*XLOOKUP(C80,Constants!$A$40:$A$200,Constants!$C$40:$C$200,0,0)*XLOOKUP(H80,Constants!$E$10:$E$30,Constants!$F$10:$F$30)))</f>
        <v/>
      </c>
      <c r="J80" s="6">
        <f>IF(A80="","", IF(C80="Doors (leaf)", 0, E80*XLOOKUP(C80,Constants!$A$40:$A$200,Constants!$D$40:$D$200,0,0)*G80))</f>
        <v/>
      </c>
      <c r="K80" s="6">
        <f>IF(A80="","", IF(C80="Doors (leaf)", 0, IF(F80="Full", E80*XLOOKUP(C80,Constants!$A$40:$A$200,Constants!$E$40:$E$200,0,0), IF(F80="Spot", E80*XLOOKUP(C80,Constants!$A$40:$A$200,Constants!$E$40:$E$200,0,0)*0.35, 0))))</f>
        <v/>
      </c>
      <c r="L80">
        <f>IF(A80="","",0)</f>
        <v/>
      </c>
      <c r="M80" s="6">
        <f>IF(A80="","", SUM(I80:K80))</f>
        <v/>
      </c>
      <c r="N80" s="6">
        <f>IF(A80="","", L80/60)</f>
        <v/>
      </c>
      <c r="O80" s="6">
        <f>IF($A80="","", IFERROR($N80*IFERROR(IF(XLOOKUP('Job Control'!$B$3, INPUT_JobSettings!$A:$A, INPUT_JobSettings!$F:$F, "")&lt;&gt;"",XLOOKUP('Job Control'!$B$3, INPUT_JobSettings!$A:$A, INPUT_JobSettings!$F:$F, ""),$B$6),$B$6),0))</f>
        <v/>
      </c>
      <c r="P80" s="6">
        <f>IF($A80="","", IFERROR(($O80+$L80)*IFERROR(IF(XLOOKUP('Job Control'!$B$3, INPUT_JobSettings!$A:$A, INPUT_JobSettings!$G:$G, "")&lt;&gt;"",XLOOKUP('Job Control'!$B$3, INPUT_JobSettings!$A:$A, INPUT_JobSettings!$G:$G, ""),$B$7),$B$7),0))</f>
        <v/>
      </c>
    </row>
    <row r="81">
      <c r="A81" s="6">
        <f>IFERROR(INDEX(FILTER(INPUT_Rooms!$B$4:$B$83, INPUT_Rooms!$A$4:$A$83=$B$4, INPUT_Rooms!$T$4:$T$83="Y"), 15), "")</f>
        <v/>
      </c>
      <c r="B81" s="6">
        <f>IF(A81="","", XLOOKUP(A81, FILTER(INPUT_Rooms!$B$4:$B$83, INPUT_Rooms!$A$4:$A$83=$B$4), FILTER(INPUT_Rooms!$C$4:$C$83, INPUT_Rooms!$A$4:$A$83=$B$4), ""))</f>
        <v/>
      </c>
      <c r="C81" s="6">
        <f>IF(A81="","", CHOOSE(1,"Baseboard","Crown","Window Casing","Door Casing","Doors (leaf)"))</f>
        <v/>
      </c>
      <c r="D81" s="6">
        <f>IF(A81="","", XLOOKUP(C81,Constants!$A$40:$A$200,Constants!$B$40:$B$200,"",0))</f>
        <v/>
      </c>
      <c r="E81" s="6">
        <f>IF(A81="","", IF(C81="Baseboard", IF(XLOOKUP(A81,INPUT_Rooms!$B:$B,INPUT_Rooms!$X:$X,"")="Y", XLOOKUP(A81,INPUT_Rooms!$B:$B,INPUT_Rooms!$AF:$AF,""), 0),IF(C81="Crown", IF(XLOOKUP(A81,INPUT_Rooms!$B:$B,INPUT_Rooms!$Y:$Y,"")="Y", XLOOKUP(A81,INPUT_Rooms!$B:$B,INPUT_Rooms!$AG:$AG,""), 0),IF(C81="Window Casing", IF(XLOOKUP(A81,INPUT_Rooms!$B:$B,INPUT_Rooms!$Z:$Z,"")="Y", SUMPRODUCT((INPUT_Openings!$A:$A=$B$4)*(INPUT_Openings!$B:$B=A81)*(INPUT_Openings!$D:$D)*XLOOKUP(INPUT_Openings!$C:$C,Constants!$A$30:$A$200,Constants!$E$30:$E$200,"",0)*(INPUT_Openings!$E:$E="Window")), 0),IF(C81="Door Casing", IF(XLOOKUP(A81,INPUT_Rooms!$B:$B,INPUT_Rooms!$AA:$AA,"")="Y", SUMPRODUCT((INPUT_Openings!$A:$A=$B$4)*(INPUT_Openings!$B:$B=A81)*(INPUT_Openings!$D:$D)*XLOOKUP(INPUT_Openings!$C:$C,Constants!$A$30:$A$200,Constants!$E$30:$E$200,"",0)*(INPUT_Openings!$E:$E="Door")), 0),IF(C81="Doors (leaf)", IF(XLOOKUP(A81,INPUT_Rooms!$B:$B,INPUT_Rooms!$AB:$AB,"")="Y", SUMPRODUCT((INPUT_Doors!$A:$A=$B$4)*(INPUT_Doors!$B:$B=A81)*(INPUT_Doors!$D:$D)*(INPUT_Doors!$E:$E)), 0), 0))))))</f>
        <v/>
      </c>
      <c r="F81" s="6">
        <f>IF(A81="","", XLOOKUP(A81, INPUT_Rooms!$B:$B, INPUT_Rooms!$U:$U, ""))</f>
        <v/>
      </c>
      <c r="G81" s="6">
        <f>IF(A81="","", XLOOKUP(A81, INPUT_Rooms!$B:$B, INPUT_Rooms!$V:$V, ""))</f>
        <v/>
      </c>
      <c r="H81" s="6">
        <f>IF(A81="","", IF(XLOOKUP(A81, INPUT_Rooms!$B:$B, INPUT_Rooms!$W:$W, "")="", $B$5, XLOOKUP(A81, INPUT_Rooms!$B:$B, INPUT_Rooms!$W:$W, "")))</f>
        <v/>
      </c>
      <c r="I81" s="6">
        <f>IF(A81="","", IF(C81="Doors (leaf)", 0, E81*XLOOKUP(C81,Constants!$A$40:$A$200,Constants!$C$40:$C$200,0,0)*XLOOKUP(H81,Constants!$E$10:$E$30,Constants!$F$10:$F$30)))</f>
        <v/>
      </c>
      <c r="J81" s="6">
        <f>IF(A81="","", IF(C81="Doors (leaf)", 0, E81*XLOOKUP(C81,Constants!$A$40:$A$200,Constants!$D$40:$D$200,0,0)*G81))</f>
        <v/>
      </c>
      <c r="K81" s="6">
        <f>IF(A81="","", IF(C81="Doors (leaf)", 0, IF(F81="Full", E81*XLOOKUP(C81,Constants!$A$40:$A$200,Constants!$E$40:$E$200,0,0), IF(F81="Spot", E81*XLOOKUP(C81,Constants!$A$40:$A$200,Constants!$E$40:$E$200,0,0)*0.35, 0))))</f>
        <v/>
      </c>
      <c r="L81">
        <f>IF(A81="","",0)</f>
        <v/>
      </c>
      <c r="M81" s="6">
        <f>IF(A81="","", SUM(I81:K81))</f>
        <v/>
      </c>
      <c r="N81" s="6">
        <f>IF(A81="","", L81/60)</f>
        <v/>
      </c>
      <c r="O81" s="6">
        <f>IF($A81="","", IFERROR($N81*IFERROR(IF(XLOOKUP('Job Control'!$B$3, INPUT_JobSettings!$A:$A, INPUT_JobSettings!$F:$F, "")&lt;&gt;"",XLOOKUP('Job Control'!$B$3, INPUT_JobSettings!$A:$A, INPUT_JobSettings!$F:$F, ""),$B$6),$B$6),0))</f>
        <v/>
      </c>
      <c r="P81" s="6">
        <f>IF($A81="","", IFERROR(($O81+$L81)*IFERROR(IF(XLOOKUP('Job Control'!$B$3, INPUT_JobSettings!$A:$A, INPUT_JobSettings!$G:$G, "")&lt;&gt;"",XLOOKUP('Job Control'!$B$3, INPUT_JobSettings!$A:$A, INPUT_JobSettings!$G:$G, ""),$B$7),$B$7),0))</f>
        <v/>
      </c>
    </row>
    <row r="82">
      <c r="A82" s="6">
        <f>IFERROR(INDEX(FILTER(INPUT_Rooms!$B$4:$B$83, INPUT_Rooms!$A$4:$A$83=$B$4, INPUT_Rooms!$T$4:$T$83="Y"), 15), "")</f>
        <v/>
      </c>
      <c r="B82" s="6">
        <f>IF(A82="","", XLOOKUP(A82, FILTER(INPUT_Rooms!$B$4:$B$83, INPUT_Rooms!$A$4:$A$83=$B$4), FILTER(INPUT_Rooms!$C$4:$C$83, INPUT_Rooms!$A$4:$A$83=$B$4), ""))</f>
        <v/>
      </c>
      <c r="C82" s="6">
        <f>IF(A82="","", CHOOSE(2,"Baseboard","Crown","Window Casing","Door Casing","Doors (leaf)"))</f>
        <v/>
      </c>
      <c r="D82" s="6">
        <f>IF(A82="","", XLOOKUP(C82,Constants!$A$40:$A$200,Constants!$B$40:$B$200,"",0))</f>
        <v/>
      </c>
      <c r="E82" s="6">
        <f>IF(A82="","", IF(C82="Baseboard", IF(XLOOKUP(A82,INPUT_Rooms!$B:$B,INPUT_Rooms!$X:$X,"")="Y", XLOOKUP(A82,INPUT_Rooms!$B:$B,INPUT_Rooms!$AF:$AF,""), 0),IF(C82="Crown", IF(XLOOKUP(A82,INPUT_Rooms!$B:$B,INPUT_Rooms!$Y:$Y,"")="Y", XLOOKUP(A82,INPUT_Rooms!$B:$B,INPUT_Rooms!$AG:$AG,""), 0),IF(C82="Window Casing", IF(XLOOKUP(A82,INPUT_Rooms!$B:$B,INPUT_Rooms!$Z:$Z,"")="Y", SUMPRODUCT((INPUT_Openings!$A:$A=$B$4)*(INPUT_Openings!$B:$B=A82)*(INPUT_Openings!$D:$D)*XLOOKUP(INPUT_Openings!$C:$C,Constants!$A$30:$A$200,Constants!$E$30:$E$200,"",0)*(INPUT_Openings!$E:$E="Window")), 0),IF(C82="Door Casing", IF(XLOOKUP(A82,INPUT_Rooms!$B:$B,INPUT_Rooms!$AA:$AA,"")="Y", SUMPRODUCT((INPUT_Openings!$A:$A=$B$4)*(INPUT_Openings!$B:$B=A82)*(INPUT_Openings!$D:$D)*XLOOKUP(INPUT_Openings!$C:$C,Constants!$A$30:$A$200,Constants!$E$30:$E$200,"",0)*(INPUT_Openings!$E:$E="Door")), 0),IF(C82="Doors (leaf)", IF(XLOOKUP(A82,INPUT_Rooms!$B:$B,INPUT_Rooms!$AB:$AB,"")="Y", SUMPRODUCT((INPUT_Doors!$A:$A=$B$4)*(INPUT_Doors!$B:$B=A82)*(INPUT_Doors!$D:$D)*(INPUT_Doors!$E:$E)), 0), 0))))))</f>
        <v/>
      </c>
      <c r="F82" s="6">
        <f>IF(A82="","", XLOOKUP(A82, INPUT_Rooms!$B:$B, INPUT_Rooms!$U:$U, ""))</f>
        <v/>
      </c>
      <c r="G82" s="6">
        <f>IF(A82="","", XLOOKUP(A82, INPUT_Rooms!$B:$B, INPUT_Rooms!$V:$V, ""))</f>
        <v/>
      </c>
      <c r="H82" s="6">
        <f>IF(A82="","", IF(XLOOKUP(A82, INPUT_Rooms!$B:$B, INPUT_Rooms!$W:$W, "")="", $B$5, XLOOKUP(A82, INPUT_Rooms!$B:$B, INPUT_Rooms!$W:$W, "")))</f>
        <v/>
      </c>
      <c r="I82" s="6">
        <f>IF(A82="","", IF(C82="Doors (leaf)", 0, E82*XLOOKUP(C82,Constants!$A$40:$A$200,Constants!$C$40:$C$200,0,0)*XLOOKUP(H82,Constants!$E$10:$E$30,Constants!$F$10:$F$30)))</f>
        <v/>
      </c>
      <c r="J82" s="6">
        <f>IF(A82="","", IF(C82="Doors (leaf)", 0, E82*XLOOKUP(C82,Constants!$A$40:$A$200,Constants!$D$40:$D$200,0,0)*G82))</f>
        <v/>
      </c>
      <c r="K82" s="6">
        <f>IF(A82="","", IF(C82="Doors (leaf)", 0, IF(F82="Full", E82*XLOOKUP(C82,Constants!$A$40:$A$200,Constants!$E$40:$E$200,0,0), IF(F82="Spot", E82*XLOOKUP(C82,Constants!$A$40:$A$200,Constants!$E$40:$E$200,0,0)*0.35, 0))))</f>
        <v/>
      </c>
      <c r="L82">
        <f>IF(A82="","",0)</f>
        <v/>
      </c>
      <c r="M82" s="6">
        <f>IF(A82="","", SUM(I82:K82))</f>
        <v/>
      </c>
      <c r="N82" s="6">
        <f>IF(A82="","", L82/60)</f>
        <v/>
      </c>
      <c r="O82" s="6">
        <f>IF($A82="","", IFERROR($N82*IFERROR(IF(XLOOKUP('Job Control'!$B$3, INPUT_JobSettings!$A:$A, INPUT_JobSettings!$F:$F, "")&lt;&gt;"",XLOOKUP('Job Control'!$B$3, INPUT_JobSettings!$A:$A, INPUT_JobSettings!$F:$F, ""),$B$6),$B$6),0))</f>
        <v/>
      </c>
      <c r="P82" s="6">
        <f>IF($A82="","", IFERROR(($O82+$L82)*IFERROR(IF(XLOOKUP('Job Control'!$B$3, INPUT_JobSettings!$A:$A, INPUT_JobSettings!$G:$G, "")&lt;&gt;"",XLOOKUP('Job Control'!$B$3, INPUT_JobSettings!$A:$A, INPUT_JobSettings!$G:$G, ""),$B$7),$B$7),0))</f>
        <v/>
      </c>
    </row>
    <row r="83">
      <c r="A83" s="6">
        <f>IFERROR(INDEX(FILTER(INPUT_Rooms!$B$4:$B$83, INPUT_Rooms!$A$4:$A$83=$B$4, INPUT_Rooms!$T$4:$T$83="Y"), 15), "")</f>
        <v/>
      </c>
      <c r="B83" s="6">
        <f>IF(A83="","", XLOOKUP(A83, FILTER(INPUT_Rooms!$B$4:$B$83, INPUT_Rooms!$A$4:$A$83=$B$4), FILTER(INPUT_Rooms!$C$4:$C$83, INPUT_Rooms!$A$4:$A$83=$B$4), ""))</f>
        <v/>
      </c>
      <c r="C83" s="6">
        <f>IF(A83="","", CHOOSE(3,"Baseboard","Crown","Window Casing","Door Casing","Doors (leaf)"))</f>
        <v/>
      </c>
      <c r="D83" s="6">
        <f>IF(A83="","", XLOOKUP(C83,Constants!$A$40:$A$200,Constants!$B$40:$B$200,"",0))</f>
        <v/>
      </c>
      <c r="E83" s="6">
        <f>IF(A83="","", IF(C83="Baseboard", IF(XLOOKUP(A83,INPUT_Rooms!$B:$B,INPUT_Rooms!$X:$X,"")="Y", XLOOKUP(A83,INPUT_Rooms!$B:$B,INPUT_Rooms!$AF:$AF,""), 0),IF(C83="Crown", IF(XLOOKUP(A83,INPUT_Rooms!$B:$B,INPUT_Rooms!$Y:$Y,"")="Y", XLOOKUP(A83,INPUT_Rooms!$B:$B,INPUT_Rooms!$AG:$AG,""), 0),IF(C83="Window Casing", IF(XLOOKUP(A83,INPUT_Rooms!$B:$B,INPUT_Rooms!$Z:$Z,"")="Y", SUMPRODUCT((INPUT_Openings!$A:$A=$B$4)*(INPUT_Openings!$B:$B=A83)*(INPUT_Openings!$D:$D)*XLOOKUP(INPUT_Openings!$C:$C,Constants!$A$30:$A$200,Constants!$E$30:$E$200,"",0)*(INPUT_Openings!$E:$E="Window")), 0),IF(C83="Door Casing", IF(XLOOKUP(A83,INPUT_Rooms!$B:$B,INPUT_Rooms!$AA:$AA,"")="Y", SUMPRODUCT((INPUT_Openings!$A:$A=$B$4)*(INPUT_Openings!$B:$B=A83)*(INPUT_Openings!$D:$D)*XLOOKUP(INPUT_Openings!$C:$C,Constants!$A$30:$A$200,Constants!$E$30:$E$200,"",0)*(INPUT_Openings!$E:$E="Door")), 0),IF(C83="Doors (leaf)", IF(XLOOKUP(A83,INPUT_Rooms!$B:$B,INPUT_Rooms!$AB:$AB,"")="Y", SUMPRODUCT((INPUT_Doors!$A:$A=$B$4)*(INPUT_Doors!$B:$B=A83)*(INPUT_Doors!$D:$D)*(INPUT_Doors!$E:$E)), 0), 0))))))</f>
        <v/>
      </c>
      <c r="F83" s="6">
        <f>IF(A83="","", XLOOKUP(A83, INPUT_Rooms!$B:$B, INPUT_Rooms!$U:$U, ""))</f>
        <v/>
      </c>
      <c r="G83" s="6">
        <f>IF(A83="","", XLOOKUP(A83, INPUT_Rooms!$B:$B, INPUT_Rooms!$V:$V, ""))</f>
        <v/>
      </c>
      <c r="H83" s="6">
        <f>IF(A83="","", IF(XLOOKUP(A83, INPUT_Rooms!$B:$B, INPUT_Rooms!$W:$W, "")="", $B$5, XLOOKUP(A83, INPUT_Rooms!$B:$B, INPUT_Rooms!$W:$W, "")))</f>
        <v/>
      </c>
      <c r="I83" s="6">
        <f>IF(A83="","", IF(C83="Doors (leaf)", 0, E83*XLOOKUP(C83,Constants!$A$40:$A$200,Constants!$C$40:$C$200,0,0)*XLOOKUP(H83,Constants!$E$10:$E$30,Constants!$F$10:$F$30)))</f>
        <v/>
      </c>
      <c r="J83" s="6">
        <f>IF(A83="","", IF(C83="Doors (leaf)", 0, E83*XLOOKUP(C83,Constants!$A$40:$A$200,Constants!$D$40:$D$200,0,0)*G83))</f>
        <v/>
      </c>
      <c r="K83" s="6">
        <f>IF(A83="","", IF(C83="Doors (leaf)", 0, IF(F83="Full", E83*XLOOKUP(C83,Constants!$A$40:$A$200,Constants!$E$40:$E$200,0,0), IF(F83="Spot", E83*XLOOKUP(C83,Constants!$A$40:$A$200,Constants!$E$40:$E$200,0,0)*0.35, 0))))</f>
        <v/>
      </c>
      <c r="L83">
        <f>IF(A83="","",0)</f>
        <v/>
      </c>
      <c r="M83" s="6">
        <f>IF(A83="","", SUM(I83:K83))</f>
        <v/>
      </c>
      <c r="N83" s="6">
        <f>IF(A83="","", L83/60)</f>
        <v/>
      </c>
      <c r="O83" s="6">
        <f>IF($A83="","", IFERROR($N83*IFERROR(IF(XLOOKUP('Job Control'!$B$3, INPUT_JobSettings!$A:$A, INPUT_JobSettings!$F:$F, "")&lt;&gt;"",XLOOKUP('Job Control'!$B$3, INPUT_JobSettings!$A:$A, INPUT_JobSettings!$F:$F, ""),$B$6),$B$6),0))</f>
        <v/>
      </c>
      <c r="P83" s="6">
        <f>IF($A83="","", IFERROR(($O83+$L83)*IFERROR(IF(XLOOKUP('Job Control'!$B$3, INPUT_JobSettings!$A:$A, INPUT_JobSettings!$G:$G, "")&lt;&gt;"",XLOOKUP('Job Control'!$B$3, INPUT_JobSettings!$A:$A, INPUT_JobSettings!$G:$G, ""),$B$7),$B$7),0))</f>
        <v/>
      </c>
    </row>
    <row r="84">
      <c r="A84" s="6">
        <f>IFERROR(INDEX(FILTER(INPUT_Rooms!$B$4:$B$83, INPUT_Rooms!$A$4:$A$83=$B$4, INPUT_Rooms!$T$4:$T$83="Y"), 15), "")</f>
        <v/>
      </c>
      <c r="B84" s="6">
        <f>IF(A84="","", XLOOKUP(A84, FILTER(INPUT_Rooms!$B$4:$B$83, INPUT_Rooms!$A$4:$A$83=$B$4), FILTER(INPUT_Rooms!$C$4:$C$83, INPUT_Rooms!$A$4:$A$83=$B$4), ""))</f>
        <v/>
      </c>
      <c r="C84" s="6">
        <f>IF(A84="","", CHOOSE(4,"Baseboard","Crown","Window Casing","Door Casing","Doors (leaf)"))</f>
        <v/>
      </c>
      <c r="D84" s="6">
        <f>IF(A84="","", XLOOKUP(C84,Constants!$A$40:$A$200,Constants!$B$40:$B$200,"",0))</f>
        <v/>
      </c>
      <c r="E84" s="6">
        <f>IF(A84="","", IF(C84="Baseboard", IF(XLOOKUP(A84,INPUT_Rooms!$B:$B,INPUT_Rooms!$X:$X,"")="Y", XLOOKUP(A84,INPUT_Rooms!$B:$B,INPUT_Rooms!$AF:$AF,""), 0),IF(C84="Crown", IF(XLOOKUP(A84,INPUT_Rooms!$B:$B,INPUT_Rooms!$Y:$Y,"")="Y", XLOOKUP(A84,INPUT_Rooms!$B:$B,INPUT_Rooms!$AG:$AG,""), 0),IF(C84="Window Casing", IF(XLOOKUP(A84,INPUT_Rooms!$B:$B,INPUT_Rooms!$Z:$Z,"")="Y", SUMPRODUCT((INPUT_Openings!$A:$A=$B$4)*(INPUT_Openings!$B:$B=A84)*(INPUT_Openings!$D:$D)*XLOOKUP(INPUT_Openings!$C:$C,Constants!$A$30:$A$200,Constants!$E$30:$E$200,"",0)*(INPUT_Openings!$E:$E="Window")), 0),IF(C84="Door Casing", IF(XLOOKUP(A84,INPUT_Rooms!$B:$B,INPUT_Rooms!$AA:$AA,"")="Y", SUMPRODUCT((INPUT_Openings!$A:$A=$B$4)*(INPUT_Openings!$B:$B=A84)*(INPUT_Openings!$D:$D)*XLOOKUP(INPUT_Openings!$C:$C,Constants!$A$30:$A$200,Constants!$E$30:$E$200,"",0)*(INPUT_Openings!$E:$E="Door")), 0),IF(C84="Doors (leaf)", IF(XLOOKUP(A84,INPUT_Rooms!$B:$B,INPUT_Rooms!$AB:$AB,"")="Y", SUMPRODUCT((INPUT_Doors!$A:$A=$B$4)*(INPUT_Doors!$B:$B=A84)*(INPUT_Doors!$D:$D)*(INPUT_Doors!$E:$E)), 0), 0))))))</f>
        <v/>
      </c>
      <c r="F84" s="6">
        <f>IF(A84="","", XLOOKUP(A84, INPUT_Rooms!$B:$B, INPUT_Rooms!$U:$U, ""))</f>
        <v/>
      </c>
      <c r="G84" s="6">
        <f>IF(A84="","", XLOOKUP(A84, INPUT_Rooms!$B:$B, INPUT_Rooms!$V:$V, ""))</f>
        <v/>
      </c>
      <c r="H84" s="6">
        <f>IF(A84="","", IF(XLOOKUP(A84, INPUT_Rooms!$B:$B, INPUT_Rooms!$W:$W, "")="", $B$5, XLOOKUP(A84, INPUT_Rooms!$B:$B, INPUT_Rooms!$W:$W, "")))</f>
        <v/>
      </c>
      <c r="I84" s="6">
        <f>IF(A84="","", IF(C84="Doors (leaf)", 0, E84*XLOOKUP(C84,Constants!$A$40:$A$200,Constants!$C$40:$C$200,0,0)*XLOOKUP(H84,Constants!$E$10:$E$30,Constants!$F$10:$F$30)))</f>
        <v/>
      </c>
      <c r="J84" s="6">
        <f>IF(A84="","", IF(C84="Doors (leaf)", 0, E84*XLOOKUP(C84,Constants!$A$40:$A$200,Constants!$D$40:$D$200,0,0)*G84))</f>
        <v/>
      </c>
      <c r="K84" s="6">
        <f>IF(A84="","", IF(C84="Doors (leaf)", 0, IF(F84="Full", E84*XLOOKUP(C84,Constants!$A$40:$A$200,Constants!$E$40:$E$200,0,0), IF(F84="Spot", E84*XLOOKUP(C84,Constants!$A$40:$A$200,Constants!$E$40:$E$200,0,0)*0.35, 0))))</f>
        <v/>
      </c>
      <c r="L84">
        <f>IF(A84="","",0)</f>
        <v/>
      </c>
      <c r="M84" s="6">
        <f>IF(A84="","", SUM(I84:K84))</f>
        <v/>
      </c>
      <c r="N84" s="6">
        <f>IF(A84="","", L84/60)</f>
        <v/>
      </c>
      <c r="O84" s="6">
        <f>IF($A84="","", IFERROR($N84*IFERROR(IF(XLOOKUP('Job Control'!$B$3, INPUT_JobSettings!$A:$A, INPUT_JobSettings!$F:$F, "")&lt;&gt;"",XLOOKUP('Job Control'!$B$3, INPUT_JobSettings!$A:$A, INPUT_JobSettings!$F:$F, ""),$B$6),$B$6),0))</f>
        <v/>
      </c>
      <c r="P84" s="6">
        <f>IF($A84="","", IFERROR(($O84+$L84)*IFERROR(IF(XLOOKUP('Job Control'!$B$3, INPUT_JobSettings!$A:$A, INPUT_JobSettings!$G:$G, "")&lt;&gt;"",XLOOKUP('Job Control'!$B$3, INPUT_JobSettings!$A:$A, INPUT_JobSettings!$G:$G, ""),$B$7),$B$7),0))</f>
        <v/>
      </c>
    </row>
    <row r="85">
      <c r="A85" s="6">
        <f>IFERROR(INDEX(FILTER(INPUT_Rooms!$B$4:$B$83, INPUT_Rooms!$A$4:$A$83=$B$4, INPUT_Rooms!$T$4:$T$83="Y"), 15), "")</f>
        <v/>
      </c>
      <c r="B85" s="6">
        <f>IF(A85="","", XLOOKUP(A85, FILTER(INPUT_Rooms!$B$4:$B$83, INPUT_Rooms!$A$4:$A$83=$B$4), FILTER(INPUT_Rooms!$C$4:$C$83, INPUT_Rooms!$A$4:$A$83=$B$4), ""))</f>
        <v/>
      </c>
      <c r="C85" s="6">
        <f>IF(A85="","", CHOOSE(5,"Baseboard","Crown","Window Casing","Door Casing","Doors (leaf)"))</f>
        <v/>
      </c>
      <c r="D85" s="6">
        <f>IF(A85="","", XLOOKUP(C85,Constants!$A$40:$A$200,Constants!$B$40:$B$200,"",0))</f>
        <v/>
      </c>
      <c r="E85" s="6">
        <f>IF(A85="","", IF(C85="Baseboard", IF(XLOOKUP(A85,INPUT_Rooms!$B:$B,INPUT_Rooms!$X:$X,"")="Y", XLOOKUP(A85,INPUT_Rooms!$B:$B,INPUT_Rooms!$AF:$AF,""), 0),IF(C85="Crown", IF(XLOOKUP(A85,INPUT_Rooms!$B:$B,INPUT_Rooms!$Y:$Y,"")="Y", XLOOKUP(A85,INPUT_Rooms!$B:$B,INPUT_Rooms!$AG:$AG,""), 0),IF(C85="Window Casing", IF(XLOOKUP(A85,INPUT_Rooms!$B:$B,INPUT_Rooms!$Z:$Z,"")="Y", SUMPRODUCT((INPUT_Openings!$A:$A=$B$4)*(INPUT_Openings!$B:$B=A85)*(INPUT_Openings!$D:$D)*XLOOKUP(INPUT_Openings!$C:$C,Constants!$A$30:$A$200,Constants!$E$30:$E$200,"",0)*(INPUT_Openings!$E:$E="Window")), 0),IF(C85="Door Casing", IF(XLOOKUP(A85,INPUT_Rooms!$B:$B,INPUT_Rooms!$AA:$AA,"")="Y", SUMPRODUCT((INPUT_Openings!$A:$A=$B$4)*(INPUT_Openings!$B:$B=A85)*(INPUT_Openings!$D:$D)*XLOOKUP(INPUT_Openings!$C:$C,Constants!$A$30:$A$200,Constants!$E$30:$E$200,"",0)*(INPUT_Openings!$E:$E="Door")), 0),IF(C85="Doors (leaf)", IF(XLOOKUP(A85,INPUT_Rooms!$B:$B,INPUT_Rooms!$AB:$AB,"")="Y", SUMPRODUCT((INPUT_Doors!$A:$A=$B$4)*(INPUT_Doors!$B:$B=A85)*(INPUT_Doors!$D:$D)*(INPUT_Doors!$E:$E)), 0), 0))))))</f>
        <v/>
      </c>
      <c r="F85" s="6">
        <f>IF(A85="","", XLOOKUP(A85, INPUT_Rooms!$B:$B, INPUT_Rooms!$U:$U, ""))</f>
        <v/>
      </c>
      <c r="G85" s="6">
        <f>IF(A85="","", XLOOKUP(A85, INPUT_Rooms!$B:$B, INPUT_Rooms!$V:$V, ""))</f>
        <v/>
      </c>
      <c r="H85" s="6">
        <f>IF(A85="","", IF(XLOOKUP(A85, INPUT_Rooms!$B:$B, INPUT_Rooms!$W:$W, "")="", $B$5, XLOOKUP(A85, INPUT_Rooms!$B:$B, INPUT_Rooms!$W:$W, "")))</f>
        <v/>
      </c>
      <c r="I85" s="6">
        <f>IF(A85="","", IF(C85="Doors (leaf)", 0, E85*XLOOKUP(C85,Constants!$A$40:$A$200,Constants!$C$40:$C$200,0,0)*XLOOKUP(H85,Constants!$E$10:$E$30,Constants!$F$10:$F$30)))</f>
        <v/>
      </c>
      <c r="J85" s="6">
        <f>IF(A85="","", IF(C85="Doors (leaf)", 0, E85*XLOOKUP(C85,Constants!$A$40:$A$200,Constants!$D$40:$D$200,0,0)*G85))</f>
        <v/>
      </c>
      <c r="K85" s="6">
        <f>IF(A85="","", IF(C85="Doors (leaf)", 0, IF(F85="Full", E85*XLOOKUP(C85,Constants!$A$40:$A$200,Constants!$E$40:$E$200,0,0), IF(F85="Spot", E85*XLOOKUP(C85,Constants!$A$40:$A$200,Constants!$E$40:$E$200,0,0)*0.35, 0))))</f>
        <v/>
      </c>
      <c r="L85">
        <f>IF(A85="","",0)</f>
        <v/>
      </c>
      <c r="M85" s="6">
        <f>IF(A85="","", SUM(I85:K85))</f>
        <v/>
      </c>
      <c r="N85" s="6">
        <f>IF(A85="","", L85/60)</f>
        <v/>
      </c>
      <c r="O85" s="6">
        <f>IF($A85="","", IFERROR($N85*IFERROR(IF(XLOOKUP('Job Control'!$B$3, INPUT_JobSettings!$A:$A, INPUT_JobSettings!$F:$F, "")&lt;&gt;"",XLOOKUP('Job Control'!$B$3, INPUT_JobSettings!$A:$A, INPUT_JobSettings!$F:$F, ""),$B$6),$B$6),0))</f>
        <v/>
      </c>
      <c r="P85" s="6">
        <f>IF($A85="","", IFERROR(($O85+$L85)*IFERROR(IF(XLOOKUP('Job Control'!$B$3, INPUT_JobSettings!$A:$A, INPUT_JobSettings!$G:$G, "")&lt;&gt;"",XLOOKUP('Job Control'!$B$3, INPUT_JobSettings!$A:$A, INPUT_JobSettings!$G:$G, ""),$B$7),$B$7),0))</f>
        <v/>
      </c>
    </row>
    <row r="86">
      <c r="A86" s="6">
        <f>IFERROR(INDEX(FILTER(INPUT_Rooms!$B$4:$B$83, INPUT_Rooms!$A$4:$A$83=$B$4, INPUT_Rooms!$T$4:$T$83="Y"), 16), "")</f>
        <v/>
      </c>
      <c r="B86" s="6">
        <f>IF(A86="","", XLOOKUP(A86, FILTER(INPUT_Rooms!$B$4:$B$83, INPUT_Rooms!$A$4:$A$83=$B$4), FILTER(INPUT_Rooms!$C$4:$C$83, INPUT_Rooms!$A$4:$A$83=$B$4), ""))</f>
        <v/>
      </c>
      <c r="C86" s="6">
        <f>IF(A86="","", CHOOSE(1,"Baseboard","Crown","Window Casing","Door Casing","Doors (leaf)"))</f>
        <v/>
      </c>
      <c r="D86" s="6">
        <f>IF(A86="","", XLOOKUP(C86,Constants!$A$40:$A$200,Constants!$B$40:$B$200,"",0))</f>
        <v/>
      </c>
      <c r="E86" s="6">
        <f>IF(A86="","", IF(C86="Baseboard", IF(XLOOKUP(A86,INPUT_Rooms!$B:$B,INPUT_Rooms!$X:$X,"")="Y", XLOOKUP(A86,INPUT_Rooms!$B:$B,INPUT_Rooms!$AF:$AF,""), 0),IF(C86="Crown", IF(XLOOKUP(A86,INPUT_Rooms!$B:$B,INPUT_Rooms!$Y:$Y,"")="Y", XLOOKUP(A86,INPUT_Rooms!$B:$B,INPUT_Rooms!$AG:$AG,""), 0),IF(C86="Window Casing", IF(XLOOKUP(A86,INPUT_Rooms!$B:$B,INPUT_Rooms!$Z:$Z,"")="Y", SUMPRODUCT((INPUT_Openings!$A:$A=$B$4)*(INPUT_Openings!$B:$B=A86)*(INPUT_Openings!$D:$D)*XLOOKUP(INPUT_Openings!$C:$C,Constants!$A$30:$A$200,Constants!$E$30:$E$200,"",0)*(INPUT_Openings!$E:$E="Window")), 0),IF(C86="Door Casing", IF(XLOOKUP(A86,INPUT_Rooms!$B:$B,INPUT_Rooms!$AA:$AA,"")="Y", SUMPRODUCT((INPUT_Openings!$A:$A=$B$4)*(INPUT_Openings!$B:$B=A86)*(INPUT_Openings!$D:$D)*XLOOKUP(INPUT_Openings!$C:$C,Constants!$A$30:$A$200,Constants!$E$30:$E$200,"",0)*(INPUT_Openings!$E:$E="Door")), 0),IF(C86="Doors (leaf)", IF(XLOOKUP(A86,INPUT_Rooms!$B:$B,INPUT_Rooms!$AB:$AB,"")="Y", SUMPRODUCT((INPUT_Doors!$A:$A=$B$4)*(INPUT_Doors!$B:$B=A86)*(INPUT_Doors!$D:$D)*(INPUT_Doors!$E:$E)), 0), 0))))))</f>
        <v/>
      </c>
      <c r="F86" s="6">
        <f>IF(A86="","", XLOOKUP(A86, INPUT_Rooms!$B:$B, INPUT_Rooms!$U:$U, ""))</f>
        <v/>
      </c>
      <c r="G86" s="6">
        <f>IF(A86="","", XLOOKUP(A86, INPUT_Rooms!$B:$B, INPUT_Rooms!$V:$V, ""))</f>
        <v/>
      </c>
      <c r="H86" s="6">
        <f>IF(A86="","", IF(XLOOKUP(A86, INPUT_Rooms!$B:$B, INPUT_Rooms!$W:$W, "")="", $B$5, XLOOKUP(A86, INPUT_Rooms!$B:$B, INPUT_Rooms!$W:$W, "")))</f>
        <v/>
      </c>
      <c r="I86" s="6">
        <f>IF(A86="","", IF(C86="Doors (leaf)", 0, E86*XLOOKUP(C86,Constants!$A$40:$A$200,Constants!$C$40:$C$200,0,0)*XLOOKUP(H86,Constants!$E$10:$E$30,Constants!$F$10:$F$30)))</f>
        <v/>
      </c>
      <c r="J86" s="6">
        <f>IF(A86="","", IF(C86="Doors (leaf)", 0, E86*XLOOKUP(C86,Constants!$A$40:$A$200,Constants!$D$40:$D$200,0,0)*G86))</f>
        <v/>
      </c>
      <c r="K86" s="6">
        <f>IF(A86="","", IF(C86="Doors (leaf)", 0, IF(F86="Full", E86*XLOOKUP(C86,Constants!$A$40:$A$200,Constants!$E$40:$E$200,0,0), IF(F86="Spot", E86*XLOOKUP(C86,Constants!$A$40:$A$200,Constants!$E$40:$E$200,0,0)*0.35, 0))))</f>
        <v/>
      </c>
      <c r="L86">
        <f>IF(A86="","",0)</f>
        <v/>
      </c>
      <c r="M86" s="6">
        <f>IF(A86="","", SUM(I86:K86))</f>
        <v/>
      </c>
      <c r="N86" s="6">
        <f>IF(A86="","", L86/60)</f>
        <v/>
      </c>
      <c r="O86" s="6">
        <f>IF($A86="","", IFERROR($N86*IFERROR(IF(XLOOKUP('Job Control'!$B$3, INPUT_JobSettings!$A:$A, INPUT_JobSettings!$F:$F, "")&lt;&gt;"",XLOOKUP('Job Control'!$B$3, INPUT_JobSettings!$A:$A, INPUT_JobSettings!$F:$F, ""),$B$6),$B$6),0))</f>
        <v/>
      </c>
      <c r="P86" s="6">
        <f>IF($A86="","", IFERROR(($O86+$L86)*IFERROR(IF(XLOOKUP('Job Control'!$B$3, INPUT_JobSettings!$A:$A, INPUT_JobSettings!$G:$G, "")&lt;&gt;"",XLOOKUP('Job Control'!$B$3, INPUT_JobSettings!$A:$A, INPUT_JobSettings!$G:$G, ""),$B$7),$B$7),0))</f>
        <v/>
      </c>
    </row>
    <row r="87">
      <c r="A87" s="6">
        <f>IFERROR(INDEX(FILTER(INPUT_Rooms!$B$4:$B$83, INPUT_Rooms!$A$4:$A$83=$B$4, INPUT_Rooms!$T$4:$T$83="Y"), 16), "")</f>
        <v/>
      </c>
      <c r="B87" s="6">
        <f>IF(A87="","", XLOOKUP(A87, FILTER(INPUT_Rooms!$B$4:$B$83, INPUT_Rooms!$A$4:$A$83=$B$4), FILTER(INPUT_Rooms!$C$4:$C$83, INPUT_Rooms!$A$4:$A$83=$B$4), ""))</f>
        <v/>
      </c>
      <c r="C87" s="6">
        <f>IF(A87="","", CHOOSE(2,"Baseboard","Crown","Window Casing","Door Casing","Doors (leaf)"))</f>
        <v/>
      </c>
      <c r="D87" s="6">
        <f>IF(A87="","", XLOOKUP(C87,Constants!$A$40:$A$200,Constants!$B$40:$B$200,"",0))</f>
        <v/>
      </c>
      <c r="E87" s="6">
        <f>IF(A87="","", IF(C87="Baseboard", IF(XLOOKUP(A87,INPUT_Rooms!$B:$B,INPUT_Rooms!$X:$X,"")="Y", XLOOKUP(A87,INPUT_Rooms!$B:$B,INPUT_Rooms!$AF:$AF,""), 0),IF(C87="Crown", IF(XLOOKUP(A87,INPUT_Rooms!$B:$B,INPUT_Rooms!$Y:$Y,"")="Y", XLOOKUP(A87,INPUT_Rooms!$B:$B,INPUT_Rooms!$AG:$AG,""), 0),IF(C87="Window Casing", IF(XLOOKUP(A87,INPUT_Rooms!$B:$B,INPUT_Rooms!$Z:$Z,"")="Y", SUMPRODUCT((INPUT_Openings!$A:$A=$B$4)*(INPUT_Openings!$B:$B=A87)*(INPUT_Openings!$D:$D)*XLOOKUP(INPUT_Openings!$C:$C,Constants!$A$30:$A$200,Constants!$E$30:$E$200,"",0)*(INPUT_Openings!$E:$E="Window")), 0),IF(C87="Door Casing", IF(XLOOKUP(A87,INPUT_Rooms!$B:$B,INPUT_Rooms!$AA:$AA,"")="Y", SUMPRODUCT((INPUT_Openings!$A:$A=$B$4)*(INPUT_Openings!$B:$B=A87)*(INPUT_Openings!$D:$D)*XLOOKUP(INPUT_Openings!$C:$C,Constants!$A$30:$A$200,Constants!$E$30:$E$200,"",0)*(INPUT_Openings!$E:$E="Door")), 0),IF(C87="Doors (leaf)", IF(XLOOKUP(A87,INPUT_Rooms!$B:$B,INPUT_Rooms!$AB:$AB,"")="Y", SUMPRODUCT((INPUT_Doors!$A:$A=$B$4)*(INPUT_Doors!$B:$B=A87)*(INPUT_Doors!$D:$D)*(INPUT_Doors!$E:$E)), 0), 0))))))</f>
        <v/>
      </c>
      <c r="F87" s="6">
        <f>IF(A87="","", XLOOKUP(A87, INPUT_Rooms!$B:$B, INPUT_Rooms!$U:$U, ""))</f>
        <v/>
      </c>
      <c r="G87" s="6">
        <f>IF(A87="","", XLOOKUP(A87, INPUT_Rooms!$B:$B, INPUT_Rooms!$V:$V, ""))</f>
        <v/>
      </c>
      <c r="H87" s="6">
        <f>IF(A87="","", IF(XLOOKUP(A87, INPUT_Rooms!$B:$B, INPUT_Rooms!$W:$W, "")="", $B$5, XLOOKUP(A87, INPUT_Rooms!$B:$B, INPUT_Rooms!$W:$W, "")))</f>
        <v/>
      </c>
      <c r="I87" s="6">
        <f>IF(A87="","", IF(C87="Doors (leaf)", 0, E87*XLOOKUP(C87,Constants!$A$40:$A$200,Constants!$C$40:$C$200,0,0)*XLOOKUP(H87,Constants!$E$10:$E$30,Constants!$F$10:$F$30)))</f>
        <v/>
      </c>
      <c r="J87" s="6">
        <f>IF(A87="","", IF(C87="Doors (leaf)", 0, E87*XLOOKUP(C87,Constants!$A$40:$A$200,Constants!$D$40:$D$200,0,0)*G87))</f>
        <v/>
      </c>
      <c r="K87" s="6">
        <f>IF(A87="","", IF(C87="Doors (leaf)", 0, IF(F87="Full", E87*XLOOKUP(C87,Constants!$A$40:$A$200,Constants!$E$40:$E$200,0,0), IF(F87="Spot", E87*XLOOKUP(C87,Constants!$A$40:$A$200,Constants!$E$40:$E$200,0,0)*0.35, 0))))</f>
        <v/>
      </c>
      <c r="L87">
        <f>IF(A87="","",0)</f>
        <v/>
      </c>
      <c r="M87" s="6">
        <f>IF(A87="","", SUM(I87:K87))</f>
        <v/>
      </c>
      <c r="N87" s="6">
        <f>IF(A87="","", L87/60)</f>
        <v/>
      </c>
      <c r="O87" s="6">
        <f>IF($A87="","", IFERROR($N87*IFERROR(IF(XLOOKUP('Job Control'!$B$3, INPUT_JobSettings!$A:$A, INPUT_JobSettings!$F:$F, "")&lt;&gt;"",XLOOKUP('Job Control'!$B$3, INPUT_JobSettings!$A:$A, INPUT_JobSettings!$F:$F, ""),$B$6),$B$6),0))</f>
        <v/>
      </c>
      <c r="P87" s="6">
        <f>IF($A87="","", IFERROR(($O87+$L87)*IFERROR(IF(XLOOKUP('Job Control'!$B$3, INPUT_JobSettings!$A:$A, INPUT_JobSettings!$G:$G, "")&lt;&gt;"",XLOOKUP('Job Control'!$B$3, INPUT_JobSettings!$A:$A, INPUT_JobSettings!$G:$G, ""),$B$7),$B$7),0))</f>
        <v/>
      </c>
    </row>
    <row r="88">
      <c r="A88" s="6">
        <f>IFERROR(INDEX(FILTER(INPUT_Rooms!$B$4:$B$83, INPUT_Rooms!$A$4:$A$83=$B$4, INPUT_Rooms!$T$4:$T$83="Y"), 16), "")</f>
        <v/>
      </c>
      <c r="B88" s="6">
        <f>IF(A88="","", XLOOKUP(A88, FILTER(INPUT_Rooms!$B$4:$B$83, INPUT_Rooms!$A$4:$A$83=$B$4), FILTER(INPUT_Rooms!$C$4:$C$83, INPUT_Rooms!$A$4:$A$83=$B$4), ""))</f>
        <v/>
      </c>
      <c r="C88" s="6">
        <f>IF(A88="","", CHOOSE(3,"Baseboard","Crown","Window Casing","Door Casing","Doors (leaf)"))</f>
        <v/>
      </c>
      <c r="D88" s="6">
        <f>IF(A88="","", XLOOKUP(C88,Constants!$A$40:$A$200,Constants!$B$40:$B$200,"",0))</f>
        <v/>
      </c>
      <c r="E88" s="6">
        <f>IF(A88="","", IF(C88="Baseboard", IF(XLOOKUP(A88,INPUT_Rooms!$B:$B,INPUT_Rooms!$X:$X,"")="Y", XLOOKUP(A88,INPUT_Rooms!$B:$B,INPUT_Rooms!$AF:$AF,""), 0),IF(C88="Crown", IF(XLOOKUP(A88,INPUT_Rooms!$B:$B,INPUT_Rooms!$Y:$Y,"")="Y", XLOOKUP(A88,INPUT_Rooms!$B:$B,INPUT_Rooms!$AG:$AG,""), 0),IF(C88="Window Casing", IF(XLOOKUP(A88,INPUT_Rooms!$B:$B,INPUT_Rooms!$Z:$Z,"")="Y", SUMPRODUCT((INPUT_Openings!$A:$A=$B$4)*(INPUT_Openings!$B:$B=A88)*(INPUT_Openings!$D:$D)*XLOOKUP(INPUT_Openings!$C:$C,Constants!$A$30:$A$200,Constants!$E$30:$E$200,"",0)*(INPUT_Openings!$E:$E="Window")), 0),IF(C88="Door Casing", IF(XLOOKUP(A88,INPUT_Rooms!$B:$B,INPUT_Rooms!$AA:$AA,"")="Y", SUMPRODUCT((INPUT_Openings!$A:$A=$B$4)*(INPUT_Openings!$B:$B=A88)*(INPUT_Openings!$D:$D)*XLOOKUP(INPUT_Openings!$C:$C,Constants!$A$30:$A$200,Constants!$E$30:$E$200,"",0)*(INPUT_Openings!$E:$E="Door")), 0),IF(C88="Doors (leaf)", IF(XLOOKUP(A88,INPUT_Rooms!$B:$B,INPUT_Rooms!$AB:$AB,"")="Y", SUMPRODUCT((INPUT_Doors!$A:$A=$B$4)*(INPUT_Doors!$B:$B=A88)*(INPUT_Doors!$D:$D)*(INPUT_Doors!$E:$E)), 0), 0))))))</f>
        <v/>
      </c>
      <c r="F88" s="6">
        <f>IF(A88="","", XLOOKUP(A88, INPUT_Rooms!$B:$B, INPUT_Rooms!$U:$U, ""))</f>
        <v/>
      </c>
      <c r="G88" s="6">
        <f>IF(A88="","", XLOOKUP(A88, INPUT_Rooms!$B:$B, INPUT_Rooms!$V:$V, ""))</f>
        <v/>
      </c>
      <c r="H88" s="6">
        <f>IF(A88="","", IF(XLOOKUP(A88, INPUT_Rooms!$B:$B, INPUT_Rooms!$W:$W, "")="", $B$5, XLOOKUP(A88, INPUT_Rooms!$B:$B, INPUT_Rooms!$W:$W, "")))</f>
        <v/>
      </c>
      <c r="I88" s="6">
        <f>IF(A88="","", IF(C88="Doors (leaf)", 0, E88*XLOOKUP(C88,Constants!$A$40:$A$200,Constants!$C$40:$C$200,0,0)*XLOOKUP(H88,Constants!$E$10:$E$30,Constants!$F$10:$F$30)))</f>
        <v/>
      </c>
      <c r="J88" s="6">
        <f>IF(A88="","", IF(C88="Doors (leaf)", 0, E88*XLOOKUP(C88,Constants!$A$40:$A$200,Constants!$D$40:$D$200,0,0)*G88))</f>
        <v/>
      </c>
      <c r="K88" s="6">
        <f>IF(A88="","", IF(C88="Doors (leaf)", 0, IF(F88="Full", E88*XLOOKUP(C88,Constants!$A$40:$A$200,Constants!$E$40:$E$200,0,0), IF(F88="Spot", E88*XLOOKUP(C88,Constants!$A$40:$A$200,Constants!$E$40:$E$200,0,0)*0.35, 0))))</f>
        <v/>
      </c>
      <c r="L88">
        <f>IF(A88="","",0)</f>
        <v/>
      </c>
      <c r="M88" s="6">
        <f>IF(A88="","", SUM(I88:K88))</f>
        <v/>
      </c>
      <c r="N88" s="6">
        <f>IF(A88="","", L88/60)</f>
        <v/>
      </c>
      <c r="O88" s="6">
        <f>IF($A88="","", IFERROR($N88*IFERROR(IF(XLOOKUP('Job Control'!$B$3, INPUT_JobSettings!$A:$A, INPUT_JobSettings!$F:$F, "")&lt;&gt;"",XLOOKUP('Job Control'!$B$3, INPUT_JobSettings!$A:$A, INPUT_JobSettings!$F:$F, ""),$B$6),$B$6),0))</f>
        <v/>
      </c>
      <c r="P88" s="6">
        <f>IF($A88="","", IFERROR(($O88+$L88)*IFERROR(IF(XLOOKUP('Job Control'!$B$3, INPUT_JobSettings!$A:$A, INPUT_JobSettings!$G:$G, "")&lt;&gt;"",XLOOKUP('Job Control'!$B$3, INPUT_JobSettings!$A:$A, INPUT_JobSettings!$G:$G, ""),$B$7),$B$7),0))</f>
        <v/>
      </c>
    </row>
    <row r="89">
      <c r="A89" s="6">
        <f>IFERROR(INDEX(FILTER(INPUT_Rooms!$B$4:$B$83, INPUT_Rooms!$A$4:$A$83=$B$4, INPUT_Rooms!$T$4:$T$83="Y"), 16), "")</f>
        <v/>
      </c>
      <c r="B89" s="6">
        <f>IF(A89="","", XLOOKUP(A89, FILTER(INPUT_Rooms!$B$4:$B$83, INPUT_Rooms!$A$4:$A$83=$B$4), FILTER(INPUT_Rooms!$C$4:$C$83, INPUT_Rooms!$A$4:$A$83=$B$4), ""))</f>
        <v/>
      </c>
      <c r="C89" s="6">
        <f>IF(A89="","", CHOOSE(4,"Baseboard","Crown","Window Casing","Door Casing","Doors (leaf)"))</f>
        <v/>
      </c>
      <c r="D89" s="6">
        <f>IF(A89="","", XLOOKUP(C89,Constants!$A$40:$A$200,Constants!$B$40:$B$200,"",0))</f>
        <v/>
      </c>
      <c r="E89" s="6">
        <f>IF(A89="","", IF(C89="Baseboard", IF(XLOOKUP(A89,INPUT_Rooms!$B:$B,INPUT_Rooms!$X:$X,"")="Y", XLOOKUP(A89,INPUT_Rooms!$B:$B,INPUT_Rooms!$AF:$AF,""), 0),IF(C89="Crown", IF(XLOOKUP(A89,INPUT_Rooms!$B:$B,INPUT_Rooms!$Y:$Y,"")="Y", XLOOKUP(A89,INPUT_Rooms!$B:$B,INPUT_Rooms!$AG:$AG,""), 0),IF(C89="Window Casing", IF(XLOOKUP(A89,INPUT_Rooms!$B:$B,INPUT_Rooms!$Z:$Z,"")="Y", SUMPRODUCT((INPUT_Openings!$A:$A=$B$4)*(INPUT_Openings!$B:$B=A89)*(INPUT_Openings!$D:$D)*XLOOKUP(INPUT_Openings!$C:$C,Constants!$A$30:$A$200,Constants!$E$30:$E$200,"",0)*(INPUT_Openings!$E:$E="Window")), 0),IF(C89="Door Casing", IF(XLOOKUP(A89,INPUT_Rooms!$B:$B,INPUT_Rooms!$AA:$AA,"")="Y", SUMPRODUCT((INPUT_Openings!$A:$A=$B$4)*(INPUT_Openings!$B:$B=A89)*(INPUT_Openings!$D:$D)*XLOOKUP(INPUT_Openings!$C:$C,Constants!$A$30:$A$200,Constants!$E$30:$E$200,"",0)*(INPUT_Openings!$E:$E="Door")), 0),IF(C89="Doors (leaf)", IF(XLOOKUP(A89,INPUT_Rooms!$B:$B,INPUT_Rooms!$AB:$AB,"")="Y", SUMPRODUCT((INPUT_Doors!$A:$A=$B$4)*(INPUT_Doors!$B:$B=A89)*(INPUT_Doors!$D:$D)*(INPUT_Doors!$E:$E)), 0), 0))))))</f>
        <v/>
      </c>
      <c r="F89" s="6">
        <f>IF(A89="","", XLOOKUP(A89, INPUT_Rooms!$B:$B, INPUT_Rooms!$U:$U, ""))</f>
        <v/>
      </c>
      <c r="G89" s="6">
        <f>IF(A89="","", XLOOKUP(A89, INPUT_Rooms!$B:$B, INPUT_Rooms!$V:$V, ""))</f>
        <v/>
      </c>
      <c r="H89" s="6">
        <f>IF(A89="","", IF(XLOOKUP(A89, INPUT_Rooms!$B:$B, INPUT_Rooms!$W:$W, "")="", $B$5, XLOOKUP(A89, INPUT_Rooms!$B:$B, INPUT_Rooms!$W:$W, "")))</f>
        <v/>
      </c>
      <c r="I89" s="6">
        <f>IF(A89="","", IF(C89="Doors (leaf)", 0, E89*XLOOKUP(C89,Constants!$A$40:$A$200,Constants!$C$40:$C$200,0,0)*XLOOKUP(H89,Constants!$E$10:$E$30,Constants!$F$10:$F$30)))</f>
        <v/>
      </c>
      <c r="J89" s="6">
        <f>IF(A89="","", IF(C89="Doors (leaf)", 0, E89*XLOOKUP(C89,Constants!$A$40:$A$200,Constants!$D$40:$D$200,0,0)*G89))</f>
        <v/>
      </c>
      <c r="K89" s="6">
        <f>IF(A89="","", IF(C89="Doors (leaf)", 0, IF(F89="Full", E89*XLOOKUP(C89,Constants!$A$40:$A$200,Constants!$E$40:$E$200,0,0), IF(F89="Spot", E89*XLOOKUP(C89,Constants!$A$40:$A$200,Constants!$E$40:$E$200,0,0)*0.35, 0))))</f>
        <v/>
      </c>
      <c r="L89">
        <f>IF(A89="","",0)</f>
        <v/>
      </c>
      <c r="M89" s="6">
        <f>IF(A89="","", SUM(I89:K89))</f>
        <v/>
      </c>
      <c r="N89" s="6">
        <f>IF(A89="","", L89/60)</f>
        <v/>
      </c>
      <c r="O89" s="6">
        <f>IF($A89="","", IFERROR($N89*IFERROR(IF(XLOOKUP('Job Control'!$B$3, INPUT_JobSettings!$A:$A, INPUT_JobSettings!$F:$F, "")&lt;&gt;"",XLOOKUP('Job Control'!$B$3, INPUT_JobSettings!$A:$A, INPUT_JobSettings!$F:$F, ""),$B$6),$B$6),0))</f>
        <v/>
      </c>
      <c r="P89" s="6">
        <f>IF($A89="","", IFERROR(($O89+$L89)*IFERROR(IF(XLOOKUP('Job Control'!$B$3, INPUT_JobSettings!$A:$A, INPUT_JobSettings!$G:$G, "")&lt;&gt;"",XLOOKUP('Job Control'!$B$3, INPUT_JobSettings!$A:$A, INPUT_JobSettings!$G:$G, ""),$B$7),$B$7),0))</f>
        <v/>
      </c>
    </row>
    <row r="90">
      <c r="A90" s="6">
        <f>IFERROR(INDEX(FILTER(INPUT_Rooms!$B$4:$B$83, INPUT_Rooms!$A$4:$A$83=$B$4, INPUT_Rooms!$T$4:$T$83="Y"), 16), "")</f>
        <v/>
      </c>
      <c r="B90" s="6">
        <f>IF(A90="","", XLOOKUP(A90, FILTER(INPUT_Rooms!$B$4:$B$83, INPUT_Rooms!$A$4:$A$83=$B$4), FILTER(INPUT_Rooms!$C$4:$C$83, INPUT_Rooms!$A$4:$A$83=$B$4), ""))</f>
        <v/>
      </c>
      <c r="C90" s="6">
        <f>IF(A90="","", CHOOSE(5,"Baseboard","Crown","Window Casing","Door Casing","Doors (leaf)"))</f>
        <v/>
      </c>
      <c r="D90" s="6">
        <f>IF(A90="","", XLOOKUP(C90,Constants!$A$40:$A$200,Constants!$B$40:$B$200,"",0))</f>
        <v/>
      </c>
      <c r="E90" s="6">
        <f>IF(A90="","", IF(C90="Baseboard", IF(XLOOKUP(A90,INPUT_Rooms!$B:$B,INPUT_Rooms!$X:$X,"")="Y", XLOOKUP(A90,INPUT_Rooms!$B:$B,INPUT_Rooms!$AF:$AF,""), 0),IF(C90="Crown", IF(XLOOKUP(A90,INPUT_Rooms!$B:$B,INPUT_Rooms!$Y:$Y,"")="Y", XLOOKUP(A90,INPUT_Rooms!$B:$B,INPUT_Rooms!$AG:$AG,""), 0),IF(C90="Window Casing", IF(XLOOKUP(A90,INPUT_Rooms!$B:$B,INPUT_Rooms!$Z:$Z,"")="Y", SUMPRODUCT((INPUT_Openings!$A:$A=$B$4)*(INPUT_Openings!$B:$B=A90)*(INPUT_Openings!$D:$D)*XLOOKUP(INPUT_Openings!$C:$C,Constants!$A$30:$A$200,Constants!$E$30:$E$200,"",0)*(INPUT_Openings!$E:$E="Window")), 0),IF(C90="Door Casing", IF(XLOOKUP(A90,INPUT_Rooms!$B:$B,INPUT_Rooms!$AA:$AA,"")="Y", SUMPRODUCT((INPUT_Openings!$A:$A=$B$4)*(INPUT_Openings!$B:$B=A90)*(INPUT_Openings!$D:$D)*XLOOKUP(INPUT_Openings!$C:$C,Constants!$A$30:$A$200,Constants!$E$30:$E$200,"",0)*(INPUT_Openings!$E:$E="Door")), 0),IF(C90="Doors (leaf)", IF(XLOOKUP(A90,INPUT_Rooms!$B:$B,INPUT_Rooms!$AB:$AB,"")="Y", SUMPRODUCT((INPUT_Doors!$A:$A=$B$4)*(INPUT_Doors!$B:$B=A90)*(INPUT_Doors!$D:$D)*(INPUT_Doors!$E:$E)), 0), 0))))))</f>
        <v/>
      </c>
      <c r="F90" s="6">
        <f>IF(A90="","", XLOOKUP(A90, INPUT_Rooms!$B:$B, INPUT_Rooms!$U:$U, ""))</f>
        <v/>
      </c>
      <c r="G90" s="6">
        <f>IF(A90="","", XLOOKUP(A90, INPUT_Rooms!$B:$B, INPUT_Rooms!$V:$V, ""))</f>
        <v/>
      </c>
      <c r="H90" s="6">
        <f>IF(A90="","", IF(XLOOKUP(A90, INPUT_Rooms!$B:$B, INPUT_Rooms!$W:$W, "")="", $B$5, XLOOKUP(A90, INPUT_Rooms!$B:$B, INPUT_Rooms!$W:$W, "")))</f>
        <v/>
      </c>
      <c r="I90" s="6">
        <f>IF(A90="","", IF(C90="Doors (leaf)", 0, E90*XLOOKUP(C90,Constants!$A$40:$A$200,Constants!$C$40:$C$200,0,0)*XLOOKUP(H90,Constants!$E$10:$E$30,Constants!$F$10:$F$30)))</f>
        <v/>
      </c>
      <c r="J90" s="6">
        <f>IF(A90="","", IF(C90="Doors (leaf)", 0, E90*XLOOKUP(C90,Constants!$A$40:$A$200,Constants!$D$40:$D$200,0,0)*G90))</f>
        <v/>
      </c>
      <c r="K90" s="6">
        <f>IF(A90="","", IF(C90="Doors (leaf)", 0, IF(F90="Full", E90*XLOOKUP(C90,Constants!$A$40:$A$200,Constants!$E$40:$E$200,0,0), IF(F90="Spot", E90*XLOOKUP(C90,Constants!$A$40:$A$200,Constants!$E$40:$E$200,0,0)*0.35, 0))))</f>
        <v/>
      </c>
      <c r="L90">
        <f>IF(A90="","",0)</f>
        <v/>
      </c>
      <c r="M90" s="6">
        <f>IF(A90="","", SUM(I90:K90))</f>
        <v/>
      </c>
      <c r="N90" s="6">
        <f>IF(A90="","", L90/60)</f>
        <v/>
      </c>
      <c r="O90" s="6">
        <f>IF($A90="","", IFERROR($N90*IFERROR(IF(XLOOKUP('Job Control'!$B$3, INPUT_JobSettings!$A:$A, INPUT_JobSettings!$F:$F, "")&lt;&gt;"",XLOOKUP('Job Control'!$B$3, INPUT_JobSettings!$A:$A, INPUT_JobSettings!$F:$F, ""),$B$6),$B$6),0))</f>
        <v/>
      </c>
      <c r="P90" s="6">
        <f>IF($A90="","", IFERROR(($O90+$L90)*IFERROR(IF(XLOOKUP('Job Control'!$B$3, INPUT_JobSettings!$A:$A, INPUT_JobSettings!$G:$G, "")&lt;&gt;"",XLOOKUP('Job Control'!$B$3, INPUT_JobSettings!$A:$A, INPUT_JobSettings!$G:$G, ""),$B$7),$B$7),0))</f>
        <v/>
      </c>
    </row>
    <row r="91">
      <c r="A91" s="6">
        <f>IFERROR(INDEX(FILTER(INPUT_Rooms!$B$4:$B$83, INPUT_Rooms!$A$4:$A$83=$B$4, INPUT_Rooms!$T$4:$T$83="Y"), 17), "")</f>
        <v/>
      </c>
      <c r="B91" s="6">
        <f>IF(A91="","", XLOOKUP(A91, FILTER(INPUT_Rooms!$B$4:$B$83, INPUT_Rooms!$A$4:$A$83=$B$4), FILTER(INPUT_Rooms!$C$4:$C$83, INPUT_Rooms!$A$4:$A$83=$B$4), ""))</f>
        <v/>
      </c>
      <c r="C91" s="6">
        <f>IF(A91="","", CHOOSE(1,"Baseboard","Crown","Window Casing","Door Casing","Doors (leaf)"))</f>
        <v/>
      </c>
      <c r="D91" s="6">
        <f>IF(A91="","", XLOOKUP(C91,Constants!$A$40:$A$200,Constants!$B$40:$B$200,"",0))</f>
        <v/>
      </c>
      <c r="E91" s="6">
        <f>IF(A91="","", IF(C91="Baseboard", IF(XLOOKUP(A91,INPUT_Rooms!$B:$B,INPUT_Rooms!$X:$X,"")="Y", XLOOKUP(A91,INPUT_Rooms!$B:$B,INPUT_Rooms!$AF:$AF,""), 0),IF(C91="Crown", IF(XLOOKUP(A91,INPUT_Rooms!$B:$B,INPUT_Rooms!$Y:$Y,"")="Y", XLOOKUP(A91,INPUT_Rooms!$B:$B,INPUT_Rooms!$AG:$AG,""), 0),IF(C91="Window Casing", IF(XLOOKUP(A91,INPUT_Rooms!$B:$B,INPUT_Rooms!$Z:$Z,"")="Y", SUMPRODUCT((INPUT_Openings!$A:$A=$B$4)*(INPUT_Openings!$B:$B=A91)*(INPUT_Openings!$D:$D)*XLOOKUP(INPUT_Openings!$C:$C,Constants!$A$30:$A$200,Constants!$E$30:$E$200,"",0)*(INPUT_Openings!$E:$E="Window")), 0),IF(C91="Door Casing", IF(XLOOKUP(A91,INPUT_Rooms!$B:$B,INPUT_Rooms!$AA:$AA,"")="Y", SUMPRODUCT((INPUT_Openings!$A:$A=$B$4)*(INPUT_Openings!$B:$B=A91)*(INPUT_Openings!$D:$D)*XLOOKUP(INPUT_Openings!$C:$C,Constants!$A$30:$A$200,Constants!$E$30:$E$200,"",0)*(INPUT_Openings!$E:$E="Door")), 0),IF(C91="Doors (leaf)", IF(XLOOKUP(A91,INPUT_Rooms!$B:$B,INPUT_Rooms!$AB:$AB,"")="Y", SUMPRODUCT((INPUT_Doors!$A:$A=$B$4)*(INPUT_Doors!$B:$B=A91)*(INPUT_Doors!$D:$D)*(INPUT_Doors!$E:$E)), 0), 0))))))</f>
        <v/>
      </c>
      <c r="F91" s="6">
        <f>IF(A91="","", XLOOKUP(A91, INPUT_Rooms!$B:$B, INPUT_Rooms!$U:$U, ""))</f>
        <v/>
      </c>
      <c r="G91" s="6">
        <f>IF(A91="","", XLOOKUP(A91, INPUT_Rooms!$B:$B, INPUT_Rooms!$V:$V, ""))</f>
        <v/>
      </c>
      <c r="H91" s="6">
        <f>IF(A91="","", IF(XLOOKUP(A91, INPUT_Rooms!$B:$B, INPUT_Rooms!$W:$W, "")="", $B$5, XLOOKUP(A91, INPUT_Rooms!$B:$B, INPUT_Rooms!$W:$W, "")))</f>
        <v/>
      </c>
      <c r="I91" s="6">
        <f>IF(A91="","", IF(C91="Doors (leaf)", 0, E91*XLOOKUP(C91,Constants!$A$40:$A$200,Constants!$C$40:$C$200,0,0)*XLOOKUP(H91,Constants!$E$10:$E$30,Constants!$F$10:$F$30)))</f>
        <v/>
      </c>
      <c r="J91" s="6">
        <f>IF(A91="","", IF(C91="Doors (leaf)", 0, E91*XLOOKUP(C91,Constants!$A$40:$A$200,Constants!$D$40:$D$200,0,0)*G91))</f>
        <v/>
      </c>
      <c r="K91" s="6">
        <f>IF(A91="","", IF(C91="Doors (leaf)", 0, IF(F91="Full", E91*XLOOKUP(C91,Constants!$A$40:$A$200,Constants!$E$40:$E$200,0,0), IF(F91="Spot", E91*XLOOKUP(C91,Constants!$A$40:$A$200,Constants!$E$40:$E$200,0,0)*0.35, 0))))</f>
        <v/>
      </c>
      <c r="L91">
        <f>IF(A91="","",0)</f>
        <v/>
      </c>
      <c r="M91" s="6">
        <f>IF(A91="","", SUM(I91:K91))</f>
        <v/>
      </c>
      <c r="N91" s="6">
        <f>IF(A91="","", L91/60)</f>
        <v/>
      </c>
      <c r="O91" s="6">
        <f>IF(A91="","", N91*(IF(=IF('Job Control'!$B$3="","", XLOOKUP('Job Control'!$B$3, INPUT_JobSettings!$A:$A, INPUT_JobSettings!$F:$F, ""))&lt;&gt;"", =IF('Job Control'!$B$3="","", XLOOKUP('Job Control'!$B$3, INPUT_JobSettings!$A:$A, INPUT_JobSettings!$F:$F, "")), $B$6)))</f>
        <v/>
      </c>
      <c r="P91" s="6">
        <f>IF(A91="","", (O91+L91)*(IF(=IF('Job Control'!$B$3="","", XLOOKUP('Job Control'!$B$3, INPUT_JobSettings!$A:$A, INPUT_JobSettings!$G:$G, ""))&lt;&gt;"", =IF('Job Control'!$B$3="","", XLOOKUP('Job Control'!$B$3, INPUT_JobSettings!$A:$A, INPUT_JobSettings!$G:$G, "")), $B$7)))</f>
        <v/>
      </c>
    </row>
    <row r="92">
      <c r="A92" s="6">
        <f>IFERROR(INDEX(FILTER(INPUT_Rooms!$B$4:$B$83, INPUT_Rooms!$A$4:$A$83=$B$4, INPUT_Rooms!$T$4:$T$83="Y"), 17), "")</f>
        <v/>
      </c>
      <c r="B92" s="6">
        <f>IF(A92="","", XLOOKUP(A92, FILTER(INPUT_Rooms!$B$4:$B$83, INPUT_Rooms!$A$4:$A$83=$B$4), FILTER(INPUT_Rooms!$C$4:$C$83, INPUT_Rooms!$A$4:$A$83=$B$4), ""))</f>
        <v/>
      </c>
      <c r="C92" s="6">
        <f>IF(A92="","", CHOOSE(2,"Baseboard","Crown","Window Casing","Door Casing","Doors (leaf)"))</f>
        <v/>
      </c>
      <c r="D92" s="6">
        <f>IF(A92="","", XLOOKUP(C92,Constants!$A$40:$A$200,Constants!$B$40:$B$200,"",0))</f>
        <v/>
      </c>
      <c r="E92" s="6">
        <f>IF(A92="","", IF(C92="Baseboard", IF(XLOOKUP(A92,INPUT_Rooms!$B:$B,INPUT_Rooms!$X:$X,"")="Y", XLOOKUP(A92,INPUT_Rooms!$B:$B,INPUT_Rooms!$AF:$AF,""), 0),IF(C92="Crown", IF(XLOOKUP(A92,INPUT_Rooms!$B:$B,INPUT_Rooms!$Y:$Y,"")="Y", XLOOKUP(A92,INPUT_Rooms!$B:$B,INPUT_Rooms!$AG:$AG,""), 0),IF(C92="Window Casing", IF(XLOOKUP(A92,INPUT_Rooms!$B:$B,INPUT_Rooms!$Z:$Z,"")="Y", SUMPRODUCT((INPUT_Openings!$A:$A=$B$4)*(INPUT_Openings!$B:$B=A92)*(INPUT_Openings!$D:$D)*XLOOKUP(INPUT_Openings!$C:$C,Constants!$A$30:$A$200,Constants!$E$30:$E$200,"",0)*(INPUT_Openings!$E:$E="Window")), 0),IF(C92="Door Casing", IF(XLOOKUP(A92,INPUT_Rooms!$B:$B,INPUT_Rooms!$AA:$AA,"")="Y", SUMPRODUCT((INPUT_Openings!$A:$A=$B$4)*(INPUT_Openings!$B:$B=A92)*(INPUT_Openings!$D:$D)*XLOOKUP(INPUT_Openings!$C:$C,Constants!$A$30:$A$200,Constants!$E$30:$E$200,"",0)*(INPUT_Openings!$E:$E="Door")), 0),IF(C92="Doors (leaf)", IF(XLOOKUP(A92,INPUT_Rooms!$B:$B,INPUT_Rooms!$AB:$AB,"")="Y", SUMPRODUCT((INPUT_Doors!$A:$A=$B$4)*(INPUT_Doors!$B:$B=A92)*(INPUT_Doors!$D:$D)*(INPUT_Doors!$E:$E)), 0), 0))))))</f>
        <v/>
      </c>
      <c r="F92" s="6">
        <f>IF(A92="","", XLOOKUP(A92, INPUT_Rooms!$B:$B, INPUT_Rooms!$U:$U, ""))</f>
        <v/>
      </c>
      <c r="G92" s="6">
        <f>IF(A92="","", XLOOKUP(A92, INPUT_Rooms!$B:$B, INPUT_Rooms!$V:$V, ""))</f>
        <v/>
      </c>
      <c r="H92" s="6">
        <f>IF(A92="","", IF(XLOOKUP(A92, INPUT_Rooms!$B:$B, INPUT_Rooms!$W:$W, "")="", $B$5, XLOOKUP(A92, INPUT_Rooms!$B:$B, INPUT_Rooms!$W:$W, "")))</f>
        <v/>
      </c>
      <c r="I92" s="6">
        <f>IF(A92="","", IF(C92="Doors (leaf)", 0, E92*XLOOKUP(C92,Constants!$A$40:$A$200,Constants!$C$40:$C$200,0,0)*XLOOKUP(H92,Constants!$E$10:$E$30,Constants!$F$10:$F$30)))</f>
        <v/>
      </c>
      <c r="J92" s="6">
        <f>IF(A92="","", IF(C92="Doors (leaf)", 0, E92*XLOOKUP(C92,Constants!$A$40:$A$200,Constants!$D$40:$D$200,0,0)*G92))</f>
        <v/>
      </c>
      <c r="K92" s="6">
        <f>IF(A92="","", IF(C92="Doors (leaf)", 0, IF(F92="Full", E92*XLOOKUP(C92,Constants!$A$40:$A$200,Constants!$E$40:$E$200,0,0), IF(F92="Spot", E92*XLOOKUP(C92,Constants!$A$40:$A$200,Constants!$E$40:$E$200,0,0)*0.35, 0))))</f>
        <v/>
      </c>
      <c r="L92">
        <f>IF(A92="","",0)</f>
        <v/>
      </c>
      <c r="M92" s="6">
        <f>IF(A92="","", SUM(I92:K92))</f>
        <v/>
      </c>
      <c r="N92" s="6">
        <f>IF(A92="","", L92/60)</f>
        <v/>
      </c>
      <c r="O92" s="6">
        <f>IF(A92="","", N92*(IF(=IF('Job Control'!$B$3="","", XLOOKUP('Job Control'!$B$3, INPUT_JobSettings!$A:$A, INPUT_JobSettings!$F:$F, ""))&lt;&gt;"", =IF('Job Control'!$B$3="","", XLOOKUP('Job Control'!$B$3, INPUT_JobSettings!$A:$A, INPUT_JobSettings!$F:$F, "")), $B$6)))</f>
        <v/>
      </c>
      <c r="P92" s="6">
        <f>IF(A92="","", (O92+L92)*(IF(=IF('Job Control'!$B$3="","", XLOOKUP('Job Control'!$B$3, INPUT_JobSettings!$A:$A, INPUT_JobSettings!$G:$G, ""))&lt;&gt;"", =IF('Job Control'!$B$3="","", XLOOKUP('Job Control'!$B$3, INPUT_JobSettings!$A:$A, INPUT_JobSettings!$G:$G, "")), $B$7)))</f>
        <v/>
      </c>
    </row>
    <row r="93">
      <c r="A93" s="6">
        <f>IFERROR(INDEX(FILTER(INPUT_Rooms!$B$4:$B$83, INPUT_Rooms!$A$4:$A$83=$B$4, INPUT_Rooms!$T$4:$T$83="Y"), 17), "")</f>
        <v/>
      </c>
      <c r="B93" s="6">
        <f>IF(A93="","", XLOOKUP(A93, FILTER(INPUT_Rooms!$B$4:$B$83, INPUT_Rooms!$A$4:$A$83=$B$4), FILTER(INPUT_Rooms!$C$4:$C$83, INPUT_Rooms!$A$4:$A$83=$B$4), ""))</f>
        <v/>
      </c>
      <c r="C93" s="6">
        <f>IF(A93="","", CHOOSE(3,"Baseboard","Crown","Window Casing","Door Casing","Doors (leaf)"))</f>
        <v/>
      </c>
      <c r="D93" s="6">
        <f>IF(A93="","", XLOOKUP(C93,Constants!$A$40:$A$200,Constants!$B$40:$B$200,"",0))</f>
        <v/>
      </c>
      <c r="E93" s="6">
        <f>IF(A93="","", IF(C93="Baseboard", IF(XLOOKUP(A93,INPUT_Rooms!$B:$B,INPUT_Rooms!$X:$X,"")="Y", XLOOKUP(A93,INPUT_Rooms!$B:$B,INPUT_Rooms!$AF:$AF,""), 0),IF(C93="Crown", IF(XLOOKUP(A93,INPUT_Rooms!$B:$B,INPUT_Rooms!$Y:$Y,"")="Y", XLOOKUP(A93,INPUT_Rooms!$B:$B,INPUT_Rooms!$AG:$AG,""), 0),IF(C93="Window Casing", IF(XLOOKUP(A93,INPUT_Rooms!$B:$B,INPUT_Rooms!$Z:$Z,"")="Y", SUMPRODUCT((INPUT_Openings!$A:$A=$B$4)*(INPUT_Openings!$B:$B=A93)*(INPUT_Openings!$D:$D)*XLOOKUP(INPUT_Openings!$C:$C,Constants!$A$30:$A$200,Constants!$E$30:$E$200,"",0)*(INPUT_Openings!$E:$E="Window")), 0),IF(C93="Door Casing", IF(XLOOKUP(A93,INPUT_Rooms!$B:$B,INPUT_Rooms!$AA:$AA,"")="Y", SUMPRODUCT((INPUT_Openings!$A:$A=$B$4)*(INPUT_Openings!$B:$B=A93)*(INPUT_Openings!$D:$D)*XLOOKUP(INPUT_Openings!$C:$C,Constants!$A$30:$A$200,Constants!$E$30:$E$200,"",0)*(INPUT_Openings!$E:$E="Door")), 0),IF(C93="Doors (leaf)", IF(XLOOKUP(A93,INPUT_Rooms!$B:$B,INPUT_Rooms!$AB:$AB,"")="Y", SUMPRODUCT((INPUT_Doors!$A:$A=$B$4)*(INPUT_Doors!$B:$B=A93)*(INPUT_Doors!$D:$D)*(INPUT_Doors!$E:$E)), 0), 0))))))</f>
        <v/>
      </c>
      <c r="F93" s="6">
        <f>IF(A93="","", XLOOKUP(A93, INPUT_Rooms!$B:$B, INPUT_Rooms!$U:$U, ""))</f>
        <v/>
      </c>
      <c r="G93" s="6">
        <f>IF(A93="","", XLOOKUP(A93, INPUT_Rooms!$B:$B, INPUT_Rooms!$V:$V, ""))</f>
        <v/>
      </c>
      <c r="H93" s="6">
        <f>IF(A93="","", IF(XLOOKUP(A93, INPUT_Rooms!$B:$B, INPUT_Rooms!$W:$W, "")="", $B$5, XLOOKUP(A93, INPUT_Rooms!$B:$B, INPUT_Rooms!$W:$W, "")))</f>
        <v/>
      </c>
      <c r="I93" s="6">
        <f>IF(A93="","", IF(C93="Doors (leaf)", 0, E93*XLOOKUP(C93,Constants!$A$40:$A$200,Constants!$C$40:$C$200,0,0)*XLOOKUP(H93,Constants!$E$10:$E$30,Constants!$F$10:$F$30)))</f>
        <v/>
      </c>
      <c r="J93" s="6">
        <f>IF(A93="","", IF(C93="Doors (leaf)", 0, E93*XLOOKUP(C93,Constants!$A$40:$A$200,Constants!$D$40:$D$200,0,0)*G93))</f>
        <v/>
      </c>
      <c r="K93" s="6">
        <f>IF(A93="","", IF(C93="Doors (leaf)", 0, IF(F93="Full", E93*XLOOKUP(C93,Constants!$A$40:$A$200,Constants!$E$40:$E$200,0,0), IF(F93="Spot", E93*XLOOKUP(C93,Constants!$A$40:$A$200,Constants!$E$40:$E$200,0,0)*0.35, 0))))</f>
        <v/>
      </c>
      <c r="L93">
        <f>IF(A93="","",0)</f>
        <v/>
      </c>
      <c r="M93" s="6">
        <f>IF(A93="","", SUM(I93:K93))</f>
        <v/>
      </c>
      <c r="N93" s="6">
        <f>IF(A93="","", L93/60)</f>
        <v/>
      </c>
      <c r="O93" s="6">
        <f>IF(A93="","", N93*(IF(=IF('Job Control'!$B$3="","", XLOOKUP('Job Control'!$B$3, INPUT_JobSettings!$A:$A, INPUT_JobSettings!$F:$F, ""))&lt;&gt;"", =IF('Job Control'!$B$3="","", XLOOKUP('Job Control'!$B$3, INPUT_JobSettings!$A:$A, INPUT_JobSettings!$F:$F, "")), $B$6)))</f>
        <v/>
      </c>
      <c r="P93" s="6">
        <f>IF(A93="","", (O93+L93)*(IF(=IF('Job Control'!$B$3="","", XLOOKUP('Job Control'!$B$3, INPUT_JobSettings!$A:$A, INPUT_JobSettings!$G:$G, ""))&lt;&gt;"", =IF('Job Control'!$B$3="","", XLOOKUP('Job Control'!$B$3, INPUT_JobSettings!$A:$A, INPUT_JobSettings!$G:$G, "")), $B$7)))</f>
        <v/>
      </c>
    </row>
    <row r="94">
      <c r="A94" s="6">
        <f>IFERROR(INDEX(FILTER(INPUT_Rooms!$B$4:$B$83, INPUT_Rooms!$A$4:$A$83=$B$4, INPUT_Rooms!$T$4:$T$83="Y"), 17), "")</f>
        <v/>
      </c>
      <c r="B94" s="6">
        <f>IF(A94="","", XLOOKUP(A94, FILTER(INPUT_Rooms!$B$4:$B$83, INPUT_Rooms!$A$4:$A$83=$B$4), FILTER(INPUT_Rooms!$C$4:$C$83, INPUT_Rooms!$A$4:$A$83=$B$4), ""))</f>
        <v/>
      </c>
      <c r="C94" s="6">
        <f>IF(A94="","", CHOOSE(4,"Baseboard","Crown","Window Casing","Door Casing","Doors (leaf)"))</f>
        <v/>
      </c>
      <c r="D94" s="6">
        <f>IF(A94="","", XLOOKUP(C94,Constants!$A$40:$A$200,Constants!$B$40:$B$200,"",0))</f>
        <v/>
      </c>
      <c r="E94" s="6">
        <f>IF(A94="","", IF(C94="Baseboard", IF(XLOOKUP(A94,INPUT_Rooms!$B:$B,INPUT_Rooms!$X:$X,"")="Y", XLOOKUP(A94,INPUT_Rooms!$B:$B,INPUT_Rooms!$AF:$AF,""), 0),IF(C94="Crown", IF(XLOOKUP(A94,INPUT_Rooms!$B:$B,INPUT_Rooms!$Y:$Y,"")="Y", XLOOKUP(A94,INPUT_Rooms!$B:$B,INPUT_Rooms!$AG:$AG,""), 0),IF(C94="Window Casing", IF(XLOOKUP(A94,INPUT_Rooms!$B:$B,INPUT_Rooms!$Z:$Z,"")="Y", SUMPRODUCT((INPUT_Openings!$A:$A=$B$4)*(INPUT_Openings!$B:$B=A94)*(INPUT_Openings!$D:$D)*XLOOKUP(INPUT_Openings!$C:$C,Constants!$A$30:$A$200,Constants!$E$30:$E$200,"",0)*(INPUT_Openings!$E:$E="Window")), 0),IF(C94="Door Casing", IF(XLOOKUP(A94,INPUT_Rooms!$B:$B,INPUT_Rooms!$AA:$AA,"")="Y", SUMPRODUCT((INPUT_Openings!$A:$A=$B$4)*(INPUT_Openings!$B:$B=A94)*(INPUT_Openings!$D:$D)*XLOOKUP(INPUT_Openings!$C:$C,Constants!$A$30:$A$200,Constants!$E$30:$E$200,"",0)*(INPUT_Openings!$E:$E="Door")), 0),IF(C94="Doors (leaf)", IF(XLOOKUP(A94,INPUT_Rooms!$B:$B,INPUT_Rooms!$AB:$AB,"")="Y", SUMPRODUCT((INPUT_Doors!$A:$A=$B$4)*(INPUT_Doors!$B:$B=A94)*(INPUT_Doors!$D:$D)*(INPUT_Doors!$E:$E)), 0), 0))))))</f>
        <v/>
      </c>
      <c r="F94" s="6">
        <f>IF(A94="","", XLOOKUP(A94, INPUT_Rooms!$B:$B, INPUT_Rooms!$U:$U, ""))</f>
        <v/>
      </c>
      <c r="G94" s="6">
        <f>IF(A94="","", XLOOKUP(A94, INPUT_Rooms!$B:$B, INPUT_Rooms!$V:$V, ""))</f>
        <v/>
      </c>
      <c r="H94" s="6">
        <f>IF(A94="","", IF(XLOOKUP(A94, INPUT_Rooms!$B:$B, INPUT_Rooms!$W:$W, "")="", $B$5, XLOOKUP(A94, INPUT_Rooms!$B:$B, INPUT_Rooms!$W:$W, "")))</f>
        <v/>
      </c>
      <c r="I94" s="6">
        <f>IF(A94="","", IF(C94="Doors (leaf)", 0, E94*XLOOKUP(C94,Constants!$A$40:$A$200,Constants!$C$40:$C$200,0,0)*XLOOKUP(H94,Constants!$E$10:$E$30,Constants!$F$10:$F$30)))</f>
        <v/>
      </c>
      <c r="J94" s="6">
        <f>IF(A94="","", IF(C94="Doors (leaf)", 0, E94*XLOOKUP(C94,Constants!$A$40:$A$200,Constants!$D$40:$D$200,0,0)*G94))</f>
        <v/>
      </c>
      <c r="K94" s="6">
        <f>IF(A94="","", IF(C94="Doors (leaf)", 0, IF(F94="Full", E94*XLOOKUP(C94,Constants!$A$40:$A$200,Constants!$E$40:$E$200,0,0), IF(F94="Spot", E94*XLOOKUP(C94,Constants!$A$40:$A$200,Constants!$E$40:$E$200,0,0)*0.35, 0))))</f>
        <v/>
      </c>
      <c r="L94">
        <f>IF(A94="","",0)</f>
        <v/>
      </c>
      <c r="M94" s="6">
        <f>IF(A94="","", SUM(I94:K94))</f>
        <v/>
      </c>
      <c r="N94" s="6">
        <f>IF(A94="","", L94/60)</f>
        <v/>
      </c>
      <c r="O94" s="6">
        <f>IF(A94="","", N94*(IF(=IF('Job Control'!$B$3="","", XLOOKUP('Job Control'!$B$3, INPUT_JobSettings!$A:$A, INPUT_JobSettings!$F:$F, ""))&lt;&gt;"", =IF('Job Control'!$B$3="","", XLOOKUP('Job Control'!$B$3, INPUT_JobSettings!$A:$A, INPUT_JobSettings!$F:$F, "")), $B$6)))</f>
        <v/>
      </c>
      <c r="P94" s="6">
        <f>IF(A94="","", (O94+L94)*(IF(=IF('Job Control'!$B$3="","", XLOOKUP('Job Control'!$B$3, INPUT_JobSettings!$A:$A, INPUT_JobSettings!$G:$G, ""))&lt;&gt;"", =IF('Job Control'!$B$3="","", XLOOKUP('Job Control'!$B$3, INPUT_JobSettings!$A:$A, INPUT_JobSettings!$G:$G, "")), $B$7)))</f>
        <v/>
      </c>
    </row>
    <row r="95">
      <c r="A95" s="6">
        <f>IFERROR(INDEX(FILTER(INPUT_Rooms!$B$4:$B$83, INPUT_Rooms!$A$4:$A$83=$B$4, INPUT_Rooms!$T$4:$T$83="Y"), 17), "")</f>
        <v/>
      </c>
      <c r="B95" s="6">
        <f>IF(A95="","", XLOOKUP(A95, FILTER(INPUT_Rooms!$B$4:$B$83, INPUT_Rooms!$A$4:$A$83=$B$4), FILTER(INPUT_Rooms!$C$4:$C$83, INPUT_Rooms!$A$4:$A$83=$B$4), ""))</f>
        <v/>
      </c>
      <c r="C95" s="6">
        <f>IF(A95="","", CHOOSE(5,"Baseboard","Crown","Window Casing","Door Casing","Doors (leaf)"))</f>
        <v/>
      </c>
      <c r="D95" s="6">
        <f>IF(A95="","", XLOOKUP(C95,Constants!$A$40:$A$200,Constants!$B$40:$B$200,"",0))</f>
        <v/>
      </c>
      <c r="E95" s="6">
        <f>IF(A95="","", IF(C95="Baseboard", IF(XLOOKUP(A95,INPUT_Rooms!$B:$B,INPUT_Rooms!$X:$X,"")="Y", XLOOKUP(A95,INPUT_Rooms!$B:$B,INPUT_Rooms!$AF:$AF,""), 0),IF(C95="Crown", IF(XLOOKUP(A95,INPUT_Rooms!$B:$B,INPUT_Rooms!$Y:$Y,"")="Y", XLOOKUP(A95,INPUT_Rooms!$B:$B,INPUT_Rooms!$AG:$AG,""), 0),IF(C95="Window Casing", IF(XLOOKUP(A95,INPUT_Rooms!$B:$B,INPUT_Rooms!$Z:$Z,"")="Y", SUMPRODUCT((INPUT_Openings!$A:$A=$B$4)*(INPUT_Openings!$B:$B=A95)*(INPUT_Openings!$D:$D)*XLOOKUP(INPUT_Openings!$C:$C,Constants!$A$30:$A$200,Constants!$E$30:$E$200,"",0)*(INPUT_Openings!$E:$E="Window")), 0),IF(C95="Door Casing", IF(XLOOKUP(A95,INPUT_Rooms!$B:$B,INPUT_Rooms!$AA:$AA,"")="Y", SUMPRODUCT((INPUT_Openings!$A:$A=$B$4)*(INPUT_Openings!$B:$B=A95)*(INPUT_Openings!$D:$D)*XLOOKUP(INPUT_Openings!$C:$C,Constants!$A$30:$A$200,Constants!$E$30:$E$200,"",0)*(INPUT_Openings!$E:$E="Door")), 0),IF(C95="Doors (leaf)", IF(XLOOKUP(A95,INPUT_Rooms!$B:$B,INPUT_Rooms!$AB:$AB,"")="Y", SUMPRODUCT((INPUT_Doors!$A:$A=$B$4)*(INPUT_Doors!$B:$B=A95)*(INPUT_Doors!$D:$D)*(INPUT_Doors!$E:$E)), 0), 0))))))</f>
        <v/>
      </c>
      <c r="F95" s="6">
        <f>IF(A95="","", XLOOKUP(A95, INPUT_Rooms!$B:$B, INPUT_Rooms!$U:$U, ""))</f>
        <v/>
      </c>
      <c r="G95" s="6">
        <f>IF(A95="","", XLOOKUP(A95, INPUT_Rooms!$B:$B, INPUT_Rooms!$V:$V, ""))</f>
        <v/>
      </c>
      <c r="H95" s="6">
        <f>IF(A95="","", IF(XLOOKUP(A95, INPUT_Rooms!$B:$B, INPUT_Rooms!$W:$W, "")="", $B$5, XLOOKUP(A95, INPUT_Rooms!$B:$B, INPUT_Rooms!$W:$W, "")))</f>
        <v/>
      </c>
      <c r="I95" s="6">
        <f>IF(A95="","", IF(C95="Doors (leaf)", 0, E95*XLOOKUP(C95,Constants!$A$40:$A$200,Constants!$C$40:$C$200,0,0)*XLOOKUP(H95,Constants!$E$10:$E$30,Constants!$F$10:$F$30)))</f>
        <v/>
      </c>
      <c r="J95" s="6">
        <f>IF(A95="","", IF(C95="Doors (leaf)", 0, E95*XLOOKUP(C95,Constants!$A$40:$A$200,Constants!$D$40:$D$200,0,0)*G95))</f>
        <v/>
      </c>
      <c r="K95" s="6">
        <f>IF(A95="","", IF(C95="Doors (leaf)", 0, IF(F95="Full", E95*XLOOKUP(C95,Constants!$A$40:$A$200,Constants!$E$40:$E$200,0,0), IF(F95="Spot", E95*XLOOKUP(C95,Constants!$A$40:$A$200,Constants!$E$40:$E$200,0,0)*0.35, 0))))</f>
        <v/>
      </c>
      <c r="L95">
        <f>IF(A95="","",0)</f>
        <v/>
      </c>
      <c r="M95" s="6">
        <f>IF(A95="","", SUM(I95:K95))</f>
        <v/>
      </c>
      <c r="N95" s="6">
        <f>IF(A95="","", L95/60)</f>
        <v/>
      </c>
      <c r="O95" s="6">
        <f>IF(A95="","", N95*(IF(=IF('Job Control'!$B$3="","", XLOOKUP('Job Control'!$B$3, INPUT_JobSettings!$A:$A, INPUT_JobSettings!$F:$F, ""))&lt;&gt;"", =IF('Job Control'!$B$3="","", XLOOKUP('Job Control'!$B$3, INPUT_JobSettings!$A:$A, INPUT_JobSettings!$F:$F, "")), $B$6)))</f>
        <v/>
      </c>
      <c r="P95" s="6">
        <f>IF(A95="","", (O95+L95)*(IF(=IF('Job Control'!$B$3="","", XLOOKUP('Job Control'!$B$3, INPUT_JobSettings!$A:$A, INPUT_JobSettings!$G:$G, ""))&lt;&gt;"", =IF('Job Control'!$B$3="","", XLOOKUP('Job Control'!$B$3, INPUT_JobSettings!$A:$A, INPUT_JobSettings!$G:$G, "")), $B$7)))</f>
        <v/>
      </c>
    </row>
    <row r="96">
      <c r="A96" s="6">
        <f>IFERROR(INDEX(FILTER(INPUT_Rooms!$B$4:$B$83, INPUT_Rooms!$A$4:$A$83=$B$4, INPUT_Rooms!$T$4:$T$83="Y"), 18), "")</f>
        <v/>
      </c>
      <c r="B96" s="6">
        <f>IF(A96="","", XLOOKUP(A96, FILTER(INPUT_Rooms!$B$4:$B$83, INPUT_Rooms!$A$4:$A$83=$B$4), FILTER(INPUT_Rooms!$C$4:$C$83, INPUT_Rooms!$A$4:$A$83=$B$4), ""))</f>
        <v/>
      </c>
      <c r="C96" s="6">
        <f>IF(A96="","", CHOOSE(1,"Baseboard","Crown","Window Casing","Door Casing","Doors (leaf)"))</f>
        <v/>
      </c>
      <c r="D96" s="6">
        <f>IF(A96="","", XLOOKUP(C96,Constants!$A$40:$A$200,Constants!$B$40:$B$200,"",0))</f>
        <v/>
      </c>
      <c r="E96" s="6">
        <f>IF(A96="","", IF(C96="Baseboard", IF(XLOOKUP(A96,INPUT_Rooms!$B:$B,INPUT_Rooms!$X:$X,"")="Y", XLOOKUP(A96,INPUT_Rooms!$B:$B,INPUT_Rooms!$AF:$AF,""), 0),IF(C96="Crown", IF(XLOOKUP(A96,INPUT_Rooms!$B:$B,INPUT_Rooms!$Y:$Y,"")="Y", XLOOKUP(A96,INPUT_Rooms!$B:$B,INPUT_Rooms!$AG:$AG,""), 0),IF(C96="Window Casing", IF(XLOOKUP(A96,INPUT_Rooms!$B:$B,INPUT_Rooms!$Z:$Z,"")="Y", SUMPRODUCT((INPUT_Openings!$A:$A=$B$4)*(INPUT_Openings!$B:$B=A96)*(INPUT_Openings!$D:$D)*XLOOKUP(INPUT_Openings!$C:$C,Constants!$A$30:$A$200,Constants!$E$30:$E$200,"",0)*(INPUT_Openings!$E:$E="Window")), 0),IF(C96="Door Casing", IF(XLOOKUP(A96,INPUT_Rooms!$B:$B,INPUT_Rooms!$AA:$AA,"")="Y", SUMPRODUCT((INPUT_Openings!$A:$A=$B$4)*(INPUT_Openings!$B:$B=A96)*(INPUT_Openings!$D:$D)*XLOOKUP(INPUT_Openings!$C:$C,Constants!$A$30:$A$200,Constants!$E$30:$E$200,"",0)*(INPUT_Openings!$E:$E="Door")), 0),IF(C96="Doors (leaf)", IF(XLOOKUP(A96,INPUT_Rooms!$B:$B,INPUT_Rooms!$AB:$AB,"")="Y", SUMPRODUCT((INPUT_Doors!$A:$A=$B$4)*(INPUT_Doors!$B:$B=A96)*(INPUT_Doors!$D:$D)*(INPUT_Doors!$E:$E)), 0), 0))))))</f>
        <v/>
      </c>
      <c r="F96" s="6">
        <f>IF(A96="","", XLOOKUP(A96, INPUT_Rooms!$B:$B, INPUT_Rooms!$U:$U, ""))</f>
        <v/>
      </c>
      <c r="G96" s="6">
        <f>IF(A96="","", XLOOKUP(A96, INPUT_Rooms!$B:$B, INPUT_Rooms!$V:$V, ""))</f>
        <v/>
      </c>
      <c r="H96" s="6">
        <f>IF(A96="","", IF(XLOOKUP(A96, INPUT_Rooms!$B:$B, INPUT_Rooms!$W:$W, "")="", $B$5, XLOOKUP(A96, INPUT_Rooms!$B:$B, INPUT_Rooms!$W:$W, "")))</f>
        <v/>
      </c>
      <c r="I96" s="6">
        <f>IF(A96="","", IF(C96="Doors (leaf)", 0, E96*XLOOKUP(C96,Constants!$A$40:$A$200,Constants!$C$40:$C$200,0,0)*XLOOKUP(H96,Constants!$E$10:$E$30,Constants!$F$10:$F$30)))</f>
        <v/>
      </c>
      <c r="J96" s="6">
        <f>IF(A96="","", IF(C96="Doors (leaf)", 0, E96*XLOOKUP(C96,Constants!$A$40:$A$200,Constants!$D$40:$D$200,0,0)*G96))</f>
        <v/>
      </c>
      <c r="K96" s="6">
        <f>IF(A96="","", IF(C96="Doors (leaf)", 0, IF(F96="Full", E96*XLOOKUP(C96,Constants!$A$40:$A$200,Constants!$E$40:$E$200,0,0), IF(F96="Spot", E96*XLOOKUP(C96,Constants!$A$40:$A$200,Constants!$E$40:$E$200,0,0)*0.35, 0))))</f>
        <v/>
      </c>
      <c r="L96">
        <f>IF(A96="","",0)</f>
        <v/>
      </c>
      <c r="M96" s="6">
        <f>IF(A96="","", SUM(I96:K96))</f>
        <v/>
      </c>
      <c r="N96" s="6">
        <f>IF(A96="","", L96/60)</f>
        <v/>
      </c>
      <c r="O96" s="6">
        <f>IF(A96="","", N96*(IF(=IF('Job Control'!$B$3="","", XLOOKUP('Job Control'!$B$3, INPUT_JobSettings!$A:$A, INPUT_JobSettings!$F:$F, ""))&lt;&gt;"", =IF('Job Control'!$B$3="","", XLOOKUP('Job Control'!$B$3, INPUT_JobSettings!$A:$A, INPUT_JobSettings!$F:$F, "")), $B$6)))</f>
        <v/>
      </c>
      <c r="P96" s="6">
        <f>IF(A96="","", (O96+L96)*(IF(=IF('Job Control'!$B$3="","", XLOOKUP('Job Control'!$B$3, INPUT_JobSettings!$A:$A, INPUT_JobSettings!$G:$G, ""))&lt;&gt;"", =IF('Job Control'!$B$3="","", XLOOKUP('Job Control'!$B$3, INPUT_JobSettings!$A:$A, INPUT_JobSettings!$G:$G, "")), $B$7)))</f>
        <v/>
      </c>
    </row>
    <row r="97">
      <c r="A97" s="6">
        <f>IFERROR(INDEX(FILTER(INPUT_Rooms!$B$4:$B$83, INPUT_Rooms!$A$4:$A$83=$B$4, INPUT_Rooms!$T$4:$T$83="Y"), 18), "")</f>
        <v/>
      </c>
      <c r="B97" s="6">
        <f>IF(A97="","", XLOOKUP(A97, FILTER(INPUT_Rooms!$B$4:$B$83, INPUT_Rooms!$A$4:$A$83=$B$4), FILTER(INPUT_Rooms!$C$4:$C$83, INPUT_Rooms!$A$4:$A$83=$B$4), ""))</f>
        <v/>
      </c>
      <c r="C97" s="6">
        <f>IF(A97="","", CHOOSE(2,"Baseboard","Crown","Window Casing","Door Casing","Doors (leaf)"))</f>
        <v/>
      </c>
      <c r="D97" s="6">
        <f>IF(A97="","", XLOOKUP(C97,Constants!$A$40:$A$200,Constants!$B$40:$B$200,"",0))</f>
        <v/>
      </c>
      <c r="E97" s="6">
        <f>IF(A97="","", IF(C97="Baseboard", IF(XLOOKUP(A97,INPUT_Rooms!$B:$B,INPUT_Rooms!$X:$X,"")="Y", XLOOKUP(A97,INPUT_Rooms!$B:$B,INPUT_Rooms!$AF:$AF,""), 0),IF(C97="Crown", IF(XLOOKUP(A97,INPUT_Rooms!$B:$B,INPUT_Rooms!$Y:$Y,"")="Y", XLOOKUP(A97,INPUT_Rooms!$B:$B,INPUT_Rooms!$AG:$AG,""), 0),IF(C97="Window Casing", IF(XLOOKUP(A97,INPUT_Rooms!$B:$B,INPUT_Rooms!$Z:$Z,"")="Y", SUMPRODUCT((INPUT_Openings!$A:$A=$B$4)*(INPUT_Openings!$B:$B=A97)*(INPUT_Openings!$D:$D)*XLOOKUP(INPUT_Openings!$C:$C,Constants!$A$30:$A$200,Constants!$E$30:$E$200,"",0)*(INPUT_Openings!$E:$E="Window")), 0),IF(C97="Door Casing", IF(XLOOKUP(A97,INPUT_Rooms!$B:$B,INPUT_Rooms!$AA:$AA,"")="Y", SUMPRODUCT((INPUT_Openings!$A:$A=$B$4)*(INPUT_Openings!$B:$B=A97)*(INPUT_Openings!$D:$D)*XLOOKUP(INPUT_Openings!$C:$C,Constants!$A$30:$A$200,Constants!$E$30:$E$200,"",0)*(INPUT_Openings!$E:$E="Door")), 0),IF(C97="Doors (leaf)", IF(XLOOKUP(A97,INPUT_Rooms!$B:$B,INPUT_Rooms!$AB:$AB,"")="Y", SUMPRODUCT((INPUT_Doors!$A:$A=$B$4)*(INPUT_Doors!$B:$B=A97)*(INPUT_Doors!$D:$D)*(INPUT_Doors!$E:$E)), 0), 0))))))</f>
        <v/>
      </c>
      <c r="F97" s="6">
        <f>IF(A97="","", XLOOKUP(A97, INPUT_Rooms!$B:$B, INPUT_Rooms!$U:$U, ""))</f>
        <v/>
      </c>
      <c r="G97" s="6">
        <f>IF(A97="","", XLOOKUP(A97, INPUT_Rooms!$B:$B, INPUT_Rooms!$V:$V, ""))</f>
        <v/>
      </c>
      <c r="H97" s="6">
        <f>IF(A97="","", IF(XLOOKUP(A97, INPUT_Rooms!$B:$B, INPUT_Rooms!$W:$W, "")="", $B$5, XLOOKUP(A97, INPUT_Rooms!$B:$B, INPUT_Rooms!$W:$W, "")))</f>
        <v/>
      </c>
      <c r="I97" s="6">
        <f>IF(A97="","", IF(C97="Doors (leaf)", 0, E97*XLOOKUP(C97,Constants!$A$40:$A$200,Constants!$C$40:$C$200,0,0)*XLOOKUP(H97,Constants!$E$10:$E$30,Constants!$F$10:$F$30)))</f>
        <v/>
      </c>
      <c r="J97" s="6">
        <f>IF(A97="","", IF(C97="Doors (leaf)", 0, E97*XLOOKUP(C97,Constants!$A$40:$A$200,Constants!$D$40:$D$200,0,0)*G97))</f>
        <v/>
      </c>
      <c r="K97" s="6">
        <f>IF(A97="","", IF(C97="Doors (leaf)", 0, IF(F97="Full", E97*XLOOKUP(C97,Constants!$A$40:$A$200,Constants!$E$40:$E$200,0,0), IF(F97="Spot", E97*XLOOKUP(C97,Constants!$A$40:$A$200,Constants!$E$40:$E$200,0,0)*0.35, 0))))</f>
        <v/>
      </c>
      <c r="L97">
        <f>IF(A97="","",0)</f>
        <v/>
      </c>
      <c r="M97" s="6">
        <f>IF(A97="","", SUM(I97:K97))</f>
        <v/>
      </c>
      <c r="N97" s="6">
        <f>IF(A97="","", L97/60)</f>
        <v/>
      </c>
      <c r="O97" s="6">
        <f>IF(A97="","", N97*(IF(=IF('Job Control'!$B$3="","", XLOOKUP('Job Control'!$B$3, INPUT_JobSettings!$A:$A, INPUT_JobSettings!$F:$F, ""))&lt;&gt;"", =IF('Job Control'!$B$3="","", XLOOKUP('Job Control'!$B$3, INPUT_JobSettings!$A:$A, INPUT_JobSettings!$F:$F, "")), $B$6)))</f>
        <v/>
      </c>
      <c r="P97" s="6">
        <f>IF(A97="","", (O97+L97)*(IF(=IF('Job Control'!$B$3="","", XLOOKUP('Job Control'!$B$3, INPUT_JobSettings!$A:$A, INPUT_JobSettings!$G:$G, ""))&lt;&gt;"", =IF('Job Control'!$B$3="","", XLOOKUP('Job Control'!$B$3, INPUT_JobSettings!$A:$A, INPUT_JobSettings!$G:$G, "")), $B$7)))</f>
        <v/>
      </c>
    </row>
    <row r="98">
      <c r="A98" s="6">
        <f>IFERROR(INDEX(FILTER(INPUT_Rooms!$B$4:$B$83, INPUT_Rooms!$A$4:$A$83=$B$4, INPUT_Rooms!$T$4:$T$83="Y"), 18), "")</f>
        <v/>
      </c>
      <c r="B98" s="6">
        <f>IF(A98="","", XLOOKUP(A98, FILTER(INPUT_Rooms!$B$4:$B$83, INPUT_Rooms!$A$4:$A$83=$B$4), FILTER(INPUT_Rooms!$C$4:$C$83, INPUT_Rooms!$A$4:$A$83=$B$4), ""))</f>
        <v/>
      </c>
      <c r="C98" s="6">
        <f>IF(A98="","", CHOOSE(3,"Baseboard","Crown","Window Casing","Door Casing","Doors (leaf)"))</f>
        <v/>
      </c>
      <c r="D98" s="6">
        <f>IF(A98="","", XLOOKUP(C98,Constants!$A$40:$A$200,Constants!$B$40:$B$200,"",0))</f>
        <v/>
      </c>
      <c r="E98" s="6">
        <f>IF(A98="","", IF(C98="Baseboard", IF(XLOOKUP(A98,INPUT_Rooms!$B:$B,INPUT_Rooms!$X:$X,"")="Y", XLOOKUP(A98,INPUT_Rooms!$B:$B,INPUT_Rooms!$AF:$AF,""), 0),IF(C98="Crown", IF(XLOOKUP(A98,INPUT_Rooms!$B:$B,INPUT_Rooms!$Y:$Y,"")="Y", XLOOKUP(A98,INPUT_Rooms!$B:$B,INPUT_Rooms!$AG:$AG,""), 0),IF(C98="Window Casing", IF(XLOOKUP(A98,INPUT_Rooms!$B:$B,INPUT_Rooms!$Z:$Z,"")="Y", SUMPRODUCT((INPUT_Openings!$A:$A=$B$4)*(INPUT_Openings!$B:$B=A98)*(INPUT_Openings!$D:$D)*XLOOKUP(INPUT_Openings!$C:$C,Constants!$A$30:$A$200,Constants!$E$30:$E$200,"",0)*(INPUT_Openings!$E:$E="Window")), 0),IF(C98="Door Casing", IF(XLOOKUP(A98,INPUT_Rooms!$B:$B,INPUT_Rooms!$AA:$AA,"")="Y", SUMPRODUCT((INPUT_Openings!$A:$A=$B$4)*(INPUT_Openings!$B:$B=A98)*(INPUT_Openings!$D:$D)*XLOOKUP(INPUT_Openings!$C:$C,Constants!$A$30:$A$200,Constants!$E$30:$E$200,"",0)*(INPUT_Openings!$E:$E="Door")), 0),IF(C98="Doors (leaf)", IF(XLOOKUP(A98,INPUT_Rooms!$B:$B,INPUT_Rooms!$AB:$AB,"")="Y", SUMPRODUCT((INPUT_Doors!$A:$A=$B$4)*(INPUT_Doors!$B:$B=A98)*(INPUT_Doors!$D:$D)*(INPUT_Doors!$E:$E)), 0), 0))))))</f>
        <v/>
      </c>
      <c r="F98" s="6">
        <f>IF(A98="","", XLOOKUP(A98, INPUT_Rooms!$B:$B, INPUT_Rooms!$U:$U, ""))</f>
        <v/>
      </c>
      <c r="G98" s="6">
        <f>IF(A98="","", XLOOKUP(A98, INPUT_Rooms!$B:$B, INPUT_Rooms!$V:$V, ""))</f>
        <v/>
      </c>
      <c r="H98" s="6">
        <f>IF(A98="","", IF(XLOOKUP(A98, INPUT_Rooms!$B:$B, INPUT_Rooms!$W:$W, "")="", $B$5, XLOOKUP(A98, INPUT_Rooms!$B:$B, INPUT_Rooms!$W:$W, "")))</f>
        <v/>
      </c>
      <c r="I98" s="6">
        <f>IF(A98="","", IF(C98="Doors (leaf)", 0, E98*XLOOKUP(C98,Constants!$A$40:$A$200,Constants!$C$40:$C$200,0,0)*XLOOKUP(H98,Constants!$E$10:$E$30,Constants!$F$10:$F$30)))</f>
        <v/>
      </c>
      <c r="J98" s="6">
        <f>IF(A98="","", IF(C98="Doors (leaf)", 0, E98*XLOOKUP(C98,Constants!$A$40:$A$200,Constants!$D$40:$D$200,0,0)*G98))</f>
        <v/>
      </c>
      <c r="K98" s="6">
        <f>IF(A98="","", IF(C98="Doors (leaf)", 0, IF(F98="Full", E98*XLOOKUP(C98,Constants!$A$40:$A$200,Constants!$E$40:$E$200,0,0), IF(F98="Spot", E98*XLOOKUP(C98,Constants!$A$40:$A$200,Constants!$E$40:$E$200,0,0)*0.35, 0))))</f>
        <v/>
      </c>
      <c r="L98">
        <f>IF(A98="","",0)</f>
        <v/>
      </c>
      <c r="M98" s="6">
        <f>IF(A98="","", SUM(I98:K98))</f>
        <v/>
      </c>
      <c r="N98" s="6">
        <f>IF(A98="","", L98/60)</f>
        <v/>
      </c>
      <c r="O98" s="6">
        <f>IF(A98="","", N98*(IF(=IF('Job Control'!$B$3="","", XLOOKUP('Job Control'!$B$3, INPUT_JobSettings!$A:$A, INPUT_JobSettings!$F:$F, ""))&lt;&gt;"", =IF('Job Control'!$B$3="","", XLOOKUP('Job Control'!$B$3, INPUT_JobSettings!$A:$A, INPUT_JobSettings!$F:$F, "")), $B$6)))</f>
        <v/>
      </c>
      <c r="P98" s="6">
        <f>IF(A98="","", (O98+L98)*(IF(=IF('Job Control'!$B$3="","", XLOOKUP('Job Control'!$B$3, INPUT_JobSettings!$A:$A, INPUT_JobSettings!$G:$G, ""))&lt;&gt;"", =IF('Job Control'!$B$3="","", XLOOKUP('Job Control'!$B$3, INPUT_JobSettings!$A:$A, INPUT_JobSettings!$G:$G, "")), $B$7)))</f>
        <v/>
      </c>
    </row>
    <row r="99">
      <c r="A99" s="6">
        <f>IFERROR(INDEX(FILTER(INPUT_Rooms!$B$4:$B$83, INPUT_Rooms!$A$4:$A$83=$B$4, INPUT_Rooms!$T$4:$T$83="Y"), 18), "")</f>
        <v/>
      </c>
      <c r="B99" s="6">
        <f>IF(A99="","", XLOOKUP(A99, FILTER(INPUT_Rooms!$B$4:$B$83, INPUT_Rooms!$A$4:$A$83=$B$4), FILTER(INPUT_Rooms!$C$4:$C$83, INPUT_Rooms!$A$4:$A$83=$B$4), ""))</f>
        <v/>
      </c>
      <c r="C99" s="6">
        <f>IF(A99="","", CHOOSE(4,"Baseboard","Crown","Window Casing","Door Casing","Doors (leaf)"))</f>
        <v/>
      </c>
      <c r="D99" s="6">
        <f>IF(A99="","", XLOOKUP(C99,Constants!$A$40:$A$200,Constants!$B$40:$B$200,"",0))</f>
        <v/>
      </c>
      <c r="E99" s="6">
        <f>IF(A99="","", IF(C99="Baseboard", IF(XLOOKUP(A99,INPUT_Rooms!$B:$B,INPUT_Rooms!$X:$X,"")="Y", XLOOKUP(A99,INPUT_Rooms!$B:$B,INPUT_Rooms!$AF:$AF,""), 0),IF(C99="Crown", IF(XLOOKUP(A99,INPUT_Rooms!$B:$B,INPUT_Rooms!$Y:$Y,"")="Y", XLOOKUP(A99,INPUT_Rooms!$B:$B,INPUT_Rooms!$AG:$AG,""), 0),IF(C99="Window Casing", IF(XLOOKUP(A99,INPUT_Rooms!$B:$B,INPUT_Rooms!$Z:$Z,"")="Y", SUMPRODUCT((INPUT_Openings!$A:$A=$B$4)*(INPUT_Openings!$B:$B=A99)*(INPUT_Openings!$D:$D)*XLOOKUP(INPUT_Openings!$C:$C,Constants!$A$30:$A$200,Constants!$E$30:$E$200,"",0)*(INPUT_Openings!$E:$E="Window")), 0),IF(C99="Door Casing", IF(XLOOKUP(A99,INPUT_Rooms!$B:$B,INPUT_Rooms!$AA:$AA,"")="Y", SUMPRODUCT((INPUT_Openings!$A:$A=$B$4)*(INPUT_Openings!$B:$B=A99)*(INPUT_Openings!$D:$D)*XLOOKUP(INPUT_Openings!$C:$C,Constants!$A$30:$A$200,Constants!$E$30:$E$200,"",0)*(INPUT_Openings!$E:$E="Door")), 0),IF(C99="Doors (leaf)", IF(XLOOKUP(A99,INPUT_Rooms!$B:$B,INPUT_Rooms!$AB:$AB,"")="Y", SUMPRODUCT((INPUT_Doors!$A:$A=$B$4)*(INPUT_Doors!$B:$B=A99)*(INPUT_Doors!$D:$D)*(INPUT_Doors!$E:$E)), 0), 0))))))</f>
        <v/>
      </c>
      <c r="F99" s="6">
        <f>IF(A99="","", XLOOKUP(A99, INPUT_Rooms!$B:$B, INPUT_Rooms!$U:$U, ""))</f>
        <v/>
      </c>
      <c r="G99" s="6">
        <f>IF(A99="","", XLOOKUP(A99, INPUT_Rooms!$B:$B, INPUT_Rooms!$V:$V, ""))</f>
        <v/>
      </c>
      <c r="H99" s="6">
        <f>IF(A99="","", IF(XLOOKUP(A99, INPUT_Rooms!$B:$B, INPUT_Rooms!$W:$W, "")="", $B$5, XLOOKUP(A99, INPUT_Rooms!$B:$B, INPUT_Rooms!$W:$W, "")))</f>
        <v/>
      </c>
      <c r="I99" s="6">
        <f>IF(A99="","", IF(C99="Doors (leaf)", 0, E99*XLOOKUP(C99,Constants!$A$40:$A$200,Constants!$C$40:$C$200,0,0)*XLOOKUP(H99,Constants!$E$10:$E$30,Constants!$F$10:$F$30)))</f>
        <v/>
      </c>
      <c r="J99" s="6">
        <f>IF(A99="","", IF(C99="Doors (leaf)", 0, E99*XLOOKUP(C99,Constants!$A$40:$A$200,Constants!$D$40:$D$200,0,0)*G99))</f>
        <v/>
      </c>
      <c r="K99" s="6">
        <f>IF(A99="","", IF(C99="Doors (leaf)", 0, IF(F99="Full", E99*XLOOKUP(C99,Constants!$A$40:$A$200,Constants!$E$40:$E$200,0,0), IF(F99="Spot", E99*XLOOKUP(C99,Constants!$A$40:$A$200,Constants!$E$40:$E$200,0,0)*0.35, 0))))</f>
        <v/>
      </c>
      <c r="L99">
        <f>IF(A99="","",0)</f>
        <v/>
      </c>
      <c r="M99" s="6">
        <f>IF(A99="","", SUM(I99:K99))</f>
        <v/>
      </c>
      <c r="N99" s="6">
        <f>IF(A99="","", L99/60)</f>
        <v/>
      </c>
      <c r="O99" s="6">
        <f>IF(A99="","", N99*(IF(=IF('Job Control'!$B$3="","", XLOOKUP('Job Control'!$B$3, INPUT_JobSettings!$A:$A, INPUT_JobSettings!$F:$F, ""))&lt;&gt;"", =IF('Job Control'!$B$3="","", XLOOKUP('Job Control'!$B$3, INPUT_JobSettings!$A:$A, INPUT_JobSettings!$F:$F, "")), $B$6)))</f>
        <v/>
      </c>
      <c r="P99" s="6">
        <f>IF(A99="","", (O99+L99)*(IF(=IF('Job Control'!$B$3="","", XLOOKUP('Job Control'!$B$3, INPUT_JobSettings!$A:$A, INPUT_JobSettings!$G:$G, ""))&lt;&gt;"", =IF('Job Control'!$B$3="","", XLOOKUP('Job Control'!$B$3, INPUT_JobSettings!$A:$A, INPUT_JobSettings!$G:$G, "")), $B$7)))</f>
        <v/>
      </c>
    </row>
    <row r="100">
      <c r="A100" s="6">
        <f>IFERROR(INDEX(FILTER(INPUT_Rooms!$B$4:$B$83, INPUT_Rooms!$A$4:$A$83=$B$4, INPUT_Rooms!$T$4:$T$83="Y"), 18), "")</f>
        <v/>
      </c>
      <c r="B100" s="6">
        <f>IF(A100="","", XLOOKUP(A100, FILTER(INPUT_Rooms!$B$4:$B$83, INPUT_Rooms!$A$4:$A$83=$B$4), FILTER(INPUT_Rooms!$C$4:$C$83, INPUT_Rooms!$A$4:$A$83=$B$4), ""))</f>
        <v/>
      </c>
      <c r="C100" s="6">
        <f>IF(A100="","", CHOOSE(5,"Baseboard","Crown","Window Casing","Door Casing","Doors (leaf)"))</f>
        <v/>
      </c>
      <c r="D100" s="6">
        <f>IF(A100="","", XLOOKUP(C100,Constants!$A$40:$A$200,Constants!$B$40:$B$200,"",0))</f>
        <v/>
      </c>
      <c r="E100" s="6">
        <f>IF(A100="","", IF(C100="Baseboard", IF(XLOOKUP(A100,INPUT_Rooms!$B:$B,INPUT_Rooms!$X:$X,"")="Y", XLOOKUP(A100,INPUT_Rooms!$B:$B,INPUT_Rooms!$AF:$AF,""), 0),IF(C100="Crown", IF(XLOOKUP(A100,INPUT_Rooms!$B:$B,INPUT_Rooms!$Y:$Y,"")="Y", XLOOKUP(A100,INPUT_Rooms!$B:$B,INPUT_Rooms!$AG:$AG,""), 0),IF(C100="Window Casing", IF(XLOOKUP(A100,INPUT_Rooms!$B:$B,INPUT_Rooms!$Z:$Z,"")="Y", SUMPRODUCT((INPUT_Openings!$A:$A=$B$4)*(INPUT_Openings!$B:$B=A100)*(INPUT_Openings!$D:$D)*XLOOKUP(INPUT_Openings!$C:$C,Constants!$A$30:$A$200,Constants!$E$30:$E$200,"",0)*(INPUT_Openings!$E:$E="Window")), 0),IF(C100="Door Casing", IF(XLOOKUP(A100,INPUT_Rooms!$B:$B,INPUT_Rooms!$AA:$AA,"")="Y", SUMPRODUCT((INPUT_Openings!$A:$A=$B$4)*(INPUT_Openings!$B:$B=A100)*(INPUT_Openings!$D:$D)*XLOOKUP(INPUT_Openings!$C:$C,Constants!$A$30:$A$200,Constants!$E$30:$E$200,"",0)*(INPUT_Openings!$E:$E="Door")), 0),IF(C100="Doors (leaf)", IF(XLOOKUP(A100,INPUT_Rooms!$B:$B,INPUT_Rooms!$AB:$AB,"")="Y", SUMPRODUCT((INPUT_Doors!$A:$A=$B$4)*(INPUT_Doors!$B:$B=A100)*(INPUT_Doors!$D:$D)*(INPUT_Doors!$E:$E)), 0), 0))))))</f>
        <v/>
      </c>
      <c r="F100" s="6">
        <f>IF(A100="","", XLOOKUP(A100, INPUT_Rooms!$B:$B, INPUT_Rooms!$U:$U, ""))</f>
        <v/>
      </c>
      <c r="G100" s="6">
        <f>IF(A100="","", XLOOKUP(A100, INPUT_Rooms!$B:$B, INPUT_Rooms!$V:$V, ""))</f>
        <v/>
      </c>
      <c r="H100" s="6">
        <f>IF(A100="","", IF(XLOOKUP(A100, INPUT_Rooms!$B:$B, INPUT_Rooms!$W:$W, "")="", $B$5, XLOOKUP(A100, INPUT_Rooms!$B:$B, INPUT_Rooms!$W:$W, "")))</f>
        <v/>
      </c>
      <c r="I100" s="6">
        <f>IF(A100="","", IF(C100="Doors (leaf)", 0, E100*XLOOKUP(C100,Constants!$A$40:$A$200,Constants!$C$40:$C$200,0,0)*XLOOKUP(H100,Constants!$E$10:$E$30,Constants!$F$10:$F$30)))</f>
        <v/>
      </c>
      <c r="J100" s="6">
        <f>IF(A100="","", IF(C100="Doors (leaf)", 0, E100*XLOOKUP(C100,Constants!$A$40:$A$200,Constants!$D$40:$D$200,0,0)*G100))</f>
        <v/>
      </c>
      <c r="K100" s="6">
        <f>IF(A100="","", IF(C100="Doors (leaf)", 0, IF(F100="Full", E100*XLOOKUP(C100,Constants!$A$40:$A$200,Constants!$E$40:$E$200,0,0), IF(F100="Spot", E100*XLOOKUP(C100,Constants!$A$40:$A$200,Constants!$E$40:$E$200,0,0)*0.35, 0))))</f>
        <v/>
      </c>
      <c r="L100">
        <f>IF(A100="","",0)</f>
        <v/>
      </c>
      <c r="M100" s="6">
        <f>IF(A100="","", SUM(I100:K100))</f>
        <v/>
      </c>
      <c r="N100" s="6">
        <f>IF(A100="","", L100/60)</f>
        <v/>
      </c>
      <c r="O100" s="6">
        <f>IF(A100="","", N100*(IF(=IF('Job Control'!$B$3="","", XLOOKUP('Job Control'!$B$3, INPUT_JobSettings!$A:$A, INPUT_JobSettings!$F:$F, ""))&lt;&gt;"", =IF('Job Control'!$B$3="","", XLOOKUP('Job Control'!$B$3, INPUT_JobSettings!$A:$A, INPUT_JobSettings!$F:$F, "")), $B$6)))</f>
        <v/>
      </c>
      <c r="P100" s="6">
        <f>IF(A100="","", (O100+L100)*(IF(=IF('Job Control'!$B$3="","", XLOOKUP('Job Control'!$B$3, INPUT_JobSettings!$A:$A, INPUT_JobSettings!$G:$G, ""))&lt;&gt;"", =IF('Job Control'!$B$3="","", XLOOKUP('Job Control'!$B$3, INPUT_JobSettings!$A:$A, INPUT_JobSettings!$G:$G, "")), $B$7)))</f>
        <v/>
      </c>
    </row>
    <row r="101">
      <c r="A101" s="6">
        <f>IFERROR(INDEX(FILTER(INPUT_Rooms!$B$4:$B$83, INPUT_Rooms!$A$4:$A$83=$B$4, INPUT_Rooms!$T$4:$T$83="Y"), 19), "")</f>
        <v/>
      </c>
      <c r="B101" s="6">
        <f>IF(A101="","", XLOOKUP(A101, FILTER(INPUT_Rooms!$B$4:$B$83, INPUT_Rooms!$A$4:$A$83=$B$4), FILTER(INPUT_Rooms!$C$4:$C$83, INPUT_Rooms!$A$4:$A$83=$B$4), ""))</f>
        <v/>
      </c>
      <c r="C101" s="6">
        <f>IF(A101="","", CHOOSE(1,"Baseboard","Crown","Window Casing","Door Casing","Doors (leaf)"))</f>
        <v/>
      </c>
      <c r="D101" s="6">
        <f>IF(A101="","", XLOOKUP(C101,Constants!$A$40:$A$200,Constants!$B$40:$B$200,"",0))</f>
        <v/>
      </c>
      <c r="E101" s="6">
        <f>IF(A101="","", IF(C101="Baseboard", IF(XLOOKUP(A101,INPUT_Rooms!$B:$B,INPUT_Rooms!$X:$X,"")="Y", XLOOKUP(A101,INPUT_Rooms!$B:$B,INPUT_Rooms!$AF:$AF,""), 0),IF(C101="Crown", IF(XLOOKUP(A101,INPUT_Rooms!$B:$B,INPUT_Rooms!$Y:$Y,"")="Y", XLOOKUP(A101,INPUT_Rooms!$B:$B,INPUT_Rooms!$AG:$AG,""), 0),IF(C101="Window Casing", IF(XLOOKUP(A101,INPUT_Rooms!$B:$B,INPUT_Rooms!$Z:$Z,"")="Y", SUMPRODUCT((INPUT_Openings!$A:$A=$B$4)*(INPUT_Openings!$B:$B=A101)*(INPUT_Openings!$D:$D)*XLOOKUP(INPUT_Openings!$C:$C,Constants!$A$30:$A$200,Constants!$E$30:$E$200,"",0)*(INPUT_Openings!$E:$E="Window")), 0),IF(C101="Door Casing", IF(XLOOKUP(A101,INPUT_Rooms!$B:$B,INPUT_Rooms!$AA:$AA,"")="Y", SUMPRODUCT((INPUT_Openings!$A:$A=$B$4)*(INPUT_Openings!$B:$B=A101)*(INPUT_Openings!$D:$D)*XLOOKUP(INPUT_Openings!$C:$C,Constants!$A$30:$A$200,Constants!$E$30:$E$200,"",0)*(INPUT_Openings!$E:$E="Door")), 0),IF(C101="Doors (leaf)", IF(XLOOKUP(A101,INPUT_Rooms!$B:$B,INPUT_Rooms!$AB:$AB,"")="Y", SUMPRODUCT((INPUT_Doors!$A:$A=$B$4)*(INPUT_Doors!$B:$B=A101)*(INPUT_Doors!$D:$D)*(INPUT_Doors!$E:$E)), 0), 0))))))</f>
        <v/>
      </c>
      <c r="F101" s="6">
        <f>IF(A101="","", XLOOKUP(A101, INPUT_Rooms!$B:$B, INPUT_Rooms!$U:$U, ""))</f>
        <v/>
      </c>
      <c r="G101" s="6">
        <f>IF(A101="","", XLOOKUP(A101, INPUT_Rooms!$B:$B, INPUT_Rooms!$V:$V, ""))</f>
        <v/>
      </c>
      <c r="H101" s="6">
        <f>IF(A101="","", IF(XLOOKUP(A101, INPUT_Rooms!$B:$B, INPUT_Rooms!$W:$W, "")="", $B$5, XLOOKUP(A101, INPUT_Rooms!$B:$B, INPUT_Rooms!$W:$W, "")))</f>
        <v/>
      </c>
      <c r="I101" s="6">
        <f>IF(A101="","", IF(C101="Doors (leaf)", 0, E101*XLOOKUP(C101,Constants!$A$40:$A$200,Constants!$C$40:$C$200,0,0)*XLOOKUP(H101,Constants!$E$10:$E$30,Constants!$F$10:$F$30)))</f>
        <v/>
      </c>
      <c r="J101" s="6">
        <f>IF(A101="","", IF(C101="Doors (leaf)", 0, E101*XLOOKUP(C101,Constants!$A$40:$A$200,Constants!$D$40:$D$200,0,0)*G101))</f>
        <v/>
      </c>
      <c r="K101" s="6">
        <f>IF(A101="","", IF(C101="Doors (leaf)", 0, IF(F101="Full", E101*XLOOKUP(C101,Constants!$A$40:$A$200,Constants!$E$40:$E$200,0,0), IF(F101="Spot", E101*XLOOKUP(C101,Constants!$A$40:$A$200,Constants!$E$40:$E$200,0,0)*0.35, 0))))</f>
        <v/>
      </c>
      <c r="L101">
        <f>IF(A101="","",0)</f>
        <v/>
      </c>
      <c r="M101" s="6">
        <f>IF(A101="","", SUM(I101:K101))</f>
        <v/>
      </c>
      <c r="N101" s="6">
        <f>IF(A101="","", L101/60)</f>
        <v/>
      </c>
      <c r="O101" s="6">
        <f>IF(A101="","", N101*(IF(=IF('Job Control'!$B$3="","", XLOOKUP('Job Control'!$B$3, INPUT_JobSettings!$A:$A, INPUT_JobSettings!$F:$F, ""))&lt;&gt;"", =IF('Job Control'!$B$3="","", XLOOKUP('Job Control'!$B$3, INPUT_JobSettings!$A:$A, INPUT_JobSettings!$F:$F, "")), $B$6)))</f>
        <v/>
      </c>
      <c r="P101" s="6">
        <f>IF(A101="","", (O101+L101)*(IF(=IF('Job Control'!$B$3="","", XLOOKUP('Job Control'!$B$3, INPUT_JobSettings!$A:$A, INPUT_JobSettings!$G:$G, ""))&lt;&gt;"", =IF('Job Control'!$B$3="","", XLOOKUP('Job Control'!$B$3, INPUT_JobSettings!$A:$A, INPUT_JobSettings!$G:$G, "")), $B$7)))</f>
        <v/>
      </c>
    </row>
    <row r="102">
      <c r="A102" s="6">
        <f>IFERROR(INDEX(FILTER(INPUT_Rooms!$B$4:$B$83, INPUT_Rooms!$A$4:$A$83=$B$4, INPUT_Rooms!$T$4:$T$83="Y"), 19), "")</f>
        <v/>
      </c>
      <c r="B102" s="6">
        <f>IF(A102="","", XLOOKUP(A102, FILTER(INPUT_Rooms!$B$4:$B$83, INPUT_Rooms!$A$4:$A$83=$B$4), FILTER(INPUT_Rooms!$C$4:$C$83, INPUT_Rooms!$A$4:$A$83=$B$4), ""))</f>
        <v/>
      </c>
      <c r="C102" s="6">
        <f>IF(A102="","", CHOOSE(2,"Baseboard","Crown","Window Casing","Door Casing","Doors (leaf)"))</f>
        <v/>
      </c>
      <c r="D102" s="6">
        <f>IF(A102="","", XLOOKUP(C102,Constants!$A$40:$A$200,Constants!$B$40:$B$200,"",0))</f>
        <v/>
      </c>
      <c r="E102" s="6">
        <f>IF(A102="","", IF(C102="Baseboard", IF(XLOOKUP(A102,INPUT_Rooms!$B:$B,INPUT_Rooms!$X:$X,"")="Y", XLOOKUP(A102,INPUT_Rooms!$B:$B,INPUT_Rooms!$AF:$AF,""), 0),IF(C102="Crown", IF(XLOOKUP(A102,INPUT_Rooms!$B:$B,INPUT_Rooms!$Y:$Y,"")="Y", XLOOKUP(A102,INPUT_Rooms!$B:$B,INPUT_Rooms!$AG:$AG,""), 0),IF(C102="Window Casing", IF(XLOOKUP(A102,INPUT_Rooms!$B:$B,INPUT_Rooms!$Z:$Z,"")="Y", SUMPRODUCT((INPUT_Openings!$A:$A=$B$4)*(INPUT_Openings!$B:$B=A102)*(INPUT_Openings!$D:$D)*XLOOKUP(INPUT_Openings!$C:$C,Constants!$A$30:$A$200,Constants!$E$30:$E$200,"",0)*(INPUT_Openings!$E:$E="Window")), 0),IF(C102="Door Casing", IF(XLOOKUP(A102,INPUT_Rooms!$B:$B,INPUT_Rooms!$AA:$AA,"")="Y", SUMPRODUCT((INPUT_Openings!$A:$A=$B$4)*(INPUT_Openings!$B:$B=A102)*(INPUT_Openings!$D:$D)*XLOOKUP(INPUT_Openings!$C:$C,Constants!$A$30:$A$200,Constants!$E$30:$E$200,"",0)*(INPUT_Openings!$E:$E="Door")), 0),IF(C102="Doors (leaf)", IF(XLOOKUP(A102,INPUT_Rooms!$B:$B,INPUT_Rooms!$AB:$AB,"")="Y", SUMPRODUCT((INPUT_Doors!$A:$A=$B$4)*(INPUT_Doors!$B:$B=A102)*(INPUT_Doors!$D:$D)*(INPUT_Doors!$E:$E)), 0), 0))))))</f>
        <v/>
      </c>
      <c r="F102" s="6">
        <f>IF(A102="","", XLOOKUP(A102, INPUT_Rooms!$B:$B, INPUT_Rooms!$U:$U, ""))</f>
        <v/>
      </c>
      <c r="G102" s="6">
        <f>IF(A102="","", XLOOKUP(A102, INPUT_Rooms!$B:$B, INPUT_Rooms!$V:$V, ""))</f>
        <v/>
      </c>
      <c r="H102" s="6">
        <f>IF(A102="","", IF(XLOOKUP(A102, INPUT_Rooms!$B:$B, INPUT_Rooms!$W:$W, "")="", $B$5, XLOOKUP(A102, INPUT_Rooms!$B:$B, INPUT_Rooms!$W:$W, "")))</f>
        <v/>
      </c>
      <c r="I102" s="6">
        <f>IF(A102="","", IF(C102="Doors (leaf)", 0, E102*XLOOKUP(C102,Constants!$A$40:$A$200,Constants!$C$40:$C$200,0,0)*XLOOKUP(H102,Constants!$E$10:$E$30,Constants!$F$10:$F$30)))</f>
        <v/>
      </c>
      <c r="J102" s="6">
        <f>IF(A102="","", IF(C102="Doors (leaf)", 0, E102*XLOOKUP(C102,Constants!$A$40:$A$200,Constants!$D$40:$D$200,0,0)*G102))</f>
        <v/>
      </c>
      <c r="K102" s="6">
        <f>IF(A102="","", IF(C102="Doors (leaf)", 0, IF(F102="Full", E102*XLOOKUP(C102,Constants!$A$40:$A$200,Constants!$E$40:$E$200,0,0), IF(F102="Spot", E102*XLOOKUP(C102,Constants!$A$40:$A$200,Constants!$E$40:$E$200,0,0)*0.35, 0))))</f>
        <v/>
      </c>
      <c r="L102">
        <f>IF(A102="","",0)</f>
        <v/>
      </c>
      <c r="M102" s="6">
        <f>IF(A102="","", SUM(I102:K102))</f>
        <v/>
      </c>
      <c r="N102" s="6">
        <f>IF(A102="","", L102/60)</f>
        <v/>
      </c>
      <c r="O102" s="6">
        <f>IF(A102="","", N102*(IF(=IF('Job Control'!$B$3="","", XLOOKUP('Job Control'!$B$3, INPUT_JobSettings!$A:$A, INPUT_JobSettings!$F:$F, ""))&lt;&gt;"", =IF('Job Control'!$B$3="","", XLOOKUP('Job Control'!$B$3, INPUT_JobSettings!$A:$A, INPUT_JobSettings!$F:$F, "")), $B$6)))</f>
        <v/>
      </c>
      <c r="P102" s="6">
        <f>IF(A102="","", (O102+L102)*(IF(=IF('Job Control'!$B$3="","", XLOOKUP('Job Control'!$B$3, INPUT_JobSettings!$A:$A, INPUT_JobSettings!$G:$G, ""))&lt;&gt;"", =IF('Job Control'!$B$3="","", XLOOKUP('Job Control'!$B$3, INPUT_JobSettings!$A:$A, INPUT_JobSettings!$G:$G, "")), $B$7)))</f>
        <v/>
      </c>
    </row>
    <row r="103">
      <c r="A103" s="6">
        <f>IFERROR(INDEX(FILTER(INPUT_Rooms!$B$4:$B$83, INPUT_Rooms!$A$4:$A$83=$B$4, INPUT_Rooms!$T$4:$T$83="Y"), 19), "")</f>
        <v/>
      </c>
      <c r="B103" s="6">
        <f>IF(A103="","", XLOOKUP(A103, FILTER(INPUT_Rooms!$B$4:$B$83, INPUT_Rooms!$A$4:$A$83=$B$4), FILTER(INPUT_Rooms!$C$4:$C$83, INPUT_Rooms!$A$4:$A$83=$B$4), ""))</f>
        <v/>
      </c>
      <c r="C103" s="6">
        <f>IF(A103="","", CHOOSE(3,"Baseboard","Crown","Window Casing","Door Casing","Doors (leaf)"))</f>
        <v/>
      </c>
      <c r="D103" s="6">
        <f>IF(A103="","", XLOOKUP(C103,Constants!$A$40:$A$200,Constants!$B$40:$B$200,"",0))</f>
        <v/>
      </c>
      <c r="E103" s="6">
        <f>IF(A103="","", IF(C103="Baseboard", IF(XLOOKUP(A103,INPUT_Rooms!$B:$B,INPUT_Rooms!$X:$X,"")="Y", XLOOKUP(A103,INPUT_Rooms!$B:$B,INPUT_Rooms!$AF:$AF,""), 0),IF(C103="Crown", IF(XLOOKUP(A103,INPUT_Rooms!$B:$B,INPUT_Rooms!$Y:$Y,"")="Y", XLOOKUP(A103,INPUT_Rooms!$B:$B,INPUT_Rooms!$AG:$AG,""), 0),IF(C103="Window Casing", IF(XLOOKUP(A103,INPUT_Rooms!$B:$B,INPUT_Rooms!$Z:$Z,"")="Y", SUMPRODUCT((INPUT_Openings!$A:$A=$B$4)*(INPUT_Openings!$B:$B=A103)*(INPUT_Openings!$D:$D)*XLOOKUP(INPUT_Openings!$C:$C,Constants!$A$30:$A$200,Constants!$E$30:$E$200,"",0)*(INPUT_Openings!$E:$E="Window")), 0),IF(C103="Door Casing", IF(XLOOKUP(A103,INPUT_Rooms!$B:$B,INPUT_Rooms!$AA:$AA,"")="Y", SUMPRODUCT((INPUT_Openings!$A:$A=$B$4)*(INPUT_Openings!$B:$B=A103)*(INPUT_Openings!$D:$D)*XLOOKUP(INPUT_Openings!$C:$C,Constants!$A$30:$A$200,Constants!$E$30:$E$200,"",0)*(INPUT_Openings!$E:$E="Door")), 0),IF(C103="Doors (leaf)", IF(XLOOKUP(A103,INPUT_Rooms!$B:$B,INPUT_Rooms!$AB:$AB,"")="Y", SUMPRODUCT((INPUT_Doors!$A:$A=$B$4)*(INPUT_Doors!$B:$B=A103)*(INPUT_Doors!$D:$D)*(INPUT_Doors!$E:$E)), 0), 0))))))</f>
        <v/>
      </c>
      <c r="F103" s="6">
        <f>IF(A103="","", XLOOKUP(A103, INPUT_Rooms!$B:$B, INPUT_Rooms!$U:$U, ""))</f>
        <v/>
      </c>
      <c r="G103" s="6">
        <f>IF(A103="","", XLOOKUP(A103, INPUT_Rooms!$B:$B, INPUT_Rooms!$V:$V, ""))</f>
        <v/>
      </c>
      <c r="H103" s="6">
        <f>IF(A103="","", IF(XLOOKUP(A103, INPUT_Rooms!$B:$B, INPUT_Rooms!$W:$W, "")="", $B$5, XLOOKUP(A103, INPUT_Rooms!$B:$B, INPUT_Rooms!$W:$W, "")))</f>
        <v/>
      </c>
      <c r="I103" s="6">
        <f>IF(A103="","", IF(C103="Doors (leaf)", 0, E103*XLOOKUP(C103,Constants!$A$40:$A$200,Constants!$C$40:$C$200,0,0)*XLOOKUP(H103,Constants!$E$10:$E$30,Constants!$F$10:$F$30)))</f>
        <v/>
      </c>
      <c r="J103" s="6">
        <f>IF(A103="","", IF(C103="Doors (leaf)", 0, E103*XLOOKUP(C103,Constants!$A$40:$A$200,Constants!$D$40:$D$200,0,0)*G103))</f>
        <v/>
      </c>
      <c r="K103" s="6">
        <f>IF(A103="","", IF(C103="Doors (leaf)", 0, IF(F103="Full", E103*XLOOKUP(C103,Constants!$A$40:$A$200,Constants!$E$40:$E$200,0,0), IF(F103="Spot", E103*XLOOKUP(C103,Constants!$A$40:$A$200,Constants!$E$40:$E$200,0,0)*0.35, 0))))</f>
        <v/>
      </c>
      <c r="L103">
        <f>IF(A103="","",0)</f>
        <v/>
      </c>
      <c r="M103" s="6">
        <f>IF(A103="","", SUM(I103:K103))</f>
        <v/>
      </c>
      <c r="N103" s="6">
        <f>IF(A103="","", L103/60)</f>
        <v/>
      </c>
      <c r="O103" s="6">
        <f>IF(A103="","", N103*(IF(=IF('Job Control'!$B$3="","", XLOOKUP('Job Control'!$B$3, INPUT_JobSettings!$A:$A, INPUT_JobSettings!$F:$F, ""))&lt;&gt;"", =IF('Job Control'!$B$3="","", XLOOKUP('Job Control'!$B$3, INPUT_JobSettings!$A:$A, INPUT_JobSettings!$F:$F, "")), $B$6)))</f>
        <v/>
      </c>
      <c r="P103" s="6">
        <f>IF(A103="","", (O103+L103)*(IF(=IF('Job Control'!$B$3="","", XLOOKUP('Job Control'!$B$3, INPUT_JobSettings!$A:$A, INPUT_JobSettings!$G:$G, ""))&lt;&gt;"", =IF('Job Control'!$B$3="","", XLOOKUP('Job Control'!$B$3, INPUT_JobSettings!$A:$A, INPUT_JobSettings!$G:$G, "")), $B$7)))</f>
        <v/>
      </c>
    </row>
    <row r="104">
      <c r="A104" s="6">
        <f>IFERROR(INDEX(FILTER(INPUT_Rooms!$B$4:$B$83, INPUT_Rooms!$A$4:$A$83=$B$4, INPUT_Rooms!$T$4:$T$83="Y"), 19), "")</f>
        <v/>
      </c>
      <c r="B104" s="6">
        <f>IF(A104="","", XLOOKUP(A104, FILTER(INPUT_Rooms!$B$4:$B$83, INPUT_Rooms!$A$4:$A$83=$B$4), FILTER(INPUT_Rooms!$C$4:$C$83, INPUT_Rooms!$A$4:$A$83=$B$4), ""))</f>
        <v/>
      </c>
      <c r="C104" s="6">
        <f>IF(A104="","", CHOOSE(4,"Baseboard","Crown","Window Casing","Door Casing","Doors (leaf)"))</f>
        <v/>
      </c>
      <c r="D104" s="6">
        <f>IF(A104="","", XLOOKUP(C104,Constants!$A$40:$A$200,Constants!$B$40:$B$200,"",0))</f>
        <v/>
      </c>
      <c r="E104" s="6">
        <f>IF(A104="","", IF(C104="Baseboard", IF(XLOOKUP(A104,INPUT_Rooms!$B:$B,INPUT_Rooms!$X:$X,"")="Y", XLOOKUP(A104,INPUT_Rooms!$B:$B,INPUT_Rooms!$AF:$AF,""), 0),IF(C104="Crown", IF(XLOOKUP(A104,INPUT_Rooms!$B:$B,INPUT_Rooms!$Y:$Y,"")="Y", XLOOKUP(A104,INPUT_Rooms!$B:$B,INPUT_Rooms!$AG:$AG,""), 0),IF(C104="Window Casing", IF(XLOOKUP(A104,INPUT_Rooms!$B:$B,INPUT_Rooms!$Z:$Z,"")="Y", SUMPRODUCT((INPUT_Openings!$A:$A=$B$4)*(INPUT_Openings!$B:$B=A104)*(INPUT_Openings!$D:$D)*XLOOKUP(INPUT_Openings!$C:$C,Constants!$A$30:$A$200,Constants!$E$30:$E$200,"",0)*(INPUT_Openings!$E:$E="Window")), 0),IF(C104="Door Casing", IF(XLOOKUP(A104,INPUT_Rooms!$B:$B,INPUT_Rooms!$AA:$AA,"")="Y", SUMPRODUCT((INPUT_Openings!$A:$A=$B$4)*(INPUT_Openings!$B:$B=A104)*(INPUT_Openings!$D:$D)*XLOOKUP(INPUT_Openings!$C:$C,Constants!$A$30:$A$200,Constants!$E$30:$E$200,"",0)*(INPUT_Openings!$E:$E="Door")), 0),IF(C104="Doors (leaf)", IF(XLOOKUP(A104,INPUT_Rooms!$B:$B,INPUT_Rooms!$AB:$AB,"")="Y", SUMPRODUCT((INPUT_Doors!$A:$A=$B$4)*(INPUT_Doors!$B:$B=A104)*(INPUT_Doors!$D:$D)*(INPUT_Doors!$E:$E)), 0), 0))))))</f>
        <v/>
      </c>
      <c r="F104" s="6">
        <f>IF(A104="","", XLOOKUP(A104, INPUT_Rooms!$B:$B, INPUT_Rooms!$U:$U, ""))</f>
        <v/>
      </c>
      <c r="G104" s="6">
        <f>IF(A104="","", XLOOKUP(A104, INPUT_Rooms!$B:$B, INPUT_Rooms!$V:$V, ""))</f>
        <v/>
      </c>
      <c r="H104" s="6">
        <f>IF(A104="","", IF(XLOOKUP(A104, INPUT_Rooms!$B:$B, INPUT_Rooms!$W:$W, "")="", $B$5, XLOOKUP(A104, INPUT_Rooms!$B:$B, INPUT_Rooms!$W:$W, "")))</f>
        <v/>
      </c>
      <c r="I104" s="6">
        <f>IF(A104="","", IF(C104="Doors (leaf)", 0, E104*XLOOKUP(C104,Constants!$A$40:$A$200,Constants!$C$40:$C$200,0,0)*XLOOKUP(H104,Constants!$E$10:$E$30,Constants!$F$10:$F$30)))</f>
        <v/>
      </c>
      <c r="J104" s="6">
        <f>IF(A104="","", IF(C104="Doors (leaf)", 0, E104*XLOOKUP(C104,Constants!$A$40:$A$200,Constants!$D$40:$D$200,0,0)*G104))</f>
        <v/>
      </c>
      <c r="K104" s="6">
        <f>IF(A104="","", IF(C104="Doors (leaf)", 0, IF(F104="Full", E104*XLOOKUP(C104,Constants!$A$40:$A$200,Constants!$E$40:$E$200,0,0), IF(F104="Spot", E104*XLOOKUP(C104,Constants!$A$40:$A$200,Constants!$E$40:$E$200,0,0)*0.35, 0))))</f>
        <v/>
      </c>
      <c r="L104">
        <f>IF(A104="","",0)</f>
        <v/>
      </c>
      <c r="M104" s="6">
        <f>IF(A104="","", SUM(I104:K104))</f>
        <v/>
      </c>
      <c r="N104" s="6">
        <f>IF(A104="","", L104/60)</f>
        <v/>
      </c>
      <c r="O104" s="6">
        <f>IF(A104="","", N104*(IF(=IF('Job Control'!$B$3="","", XLOOKUP('Job Control'!$B$3, INPUT_JobSettings!$A:$A, INPUT_JobSettings!$F:$F, ""))&lt;&gt;"", =IF('Job Control'!$B$3="","", XLOOKUP('Job Control'!$B$3, INPUT_JobSettings!$A:$A, INPUT_JobSettings!$F:$F, "")), $B$6)))</f>
        <v/>
      </c>
      <c r="P104" s="6">
        <f>IF(A104="","", (O104+L104)*(IF(=IF('Job Control'!$B$3="","", XLOOKUP('Job Control'!$B$3, INPUT_JobSettings!$A:$A, INPUT_JobSettings!$G:$G, ""))&lt;&gt;"", =IF('Job Control'!$B$3="","", XLOOKUP('Job Control'!$B$3, INPUT_JobSettings!$A:$A, INPUT_JobSettings!$G:$G, "")), $B$7)))</f>
        <v/>
      </c>
    </row>
    <row r="105">
      <c r="A105" s="6">
        <f>IFERROR(INDEX(FILTER(INPUT_Rooms!$B$4:$B$83, INPUT_Rooms!$A$4:$A$83=$B$4, INPUT_Rooms!$T$4:$T$83="Y"), 19), "")</f>
        <v/>
      </c>
      <c r="B105" s="6">
        <f>IF(A105="","", XLOOKUP(A105, FILTER(INPUT_Rooms!$B$4:$B$83, INPUT_Rooms!$A$4:$A$83=$B$4), FILTER(INPUT_Rooms!$C$4:$C$83, INPUT_Rooms!$A$4:$A$83=$B$4), ""))</f>
        <v/>
      </c>
      <c r="C105" s="6">
        <f>IF(A105="","", CHOOSE(5,"Baseboard","Crown","Window Casing","Door Casing","Doors (leaf)"))</f>
        <v/>
      </c>
      <c r="D105" s="6">
        <f>IF(A105="","", XLOOKUP(C105,Constants!$A$40:$A$200,Constants!$B$40:$B$200,"",0))</f>
        <v/>
      </c>
      <c r="E105" s="6">
        <f>IF(A105="","", IF(C105="Baseboard", IF(XLOOKUP(A105,INPUT_Rooms!$B:$B,INPUT_Rooms!$X:$X,"")="Y", XLOOKUP(A105,INPUT_Rooms!$B:$B,INPUT_Rooms!$AF:$AF,""), 0),IF(C105="Crown", IF(XLOOKUP(A105,INPUT_Rooms!$B:$B,INPUT_Rooms!$Y:$Y,"")="Y", XLOOKUP(A105,INPUT_Rooms!$B:$B,INPUT_Rooms!$AG:$AG,""), 0),IF(C105="Window Casing", IF(XLOOKUP(A105,INPUT_Rooms!$B:$B,INPUT_Rooms!$Z:$Z,"")="Y", SUMPRODUCT((INPUT_Openings!$A:$A=$B$4)*(INPUT_Openings!$B:$B=A105)*(INPUT_Openings!$D:$D)*XLOOKUP(INPUT_Openings!$C:$C,Constants!$A$30:$A$200,Constants!$E$30:$E$200,"",0)*(INPUT_Openings!$E:$E="Window")), 0),IF(C105="Door Casing", IF(XLOOKUP(A105,INPUT_Rooms!$B:$B,INPUT_Rooms!$AA:$AA,"")="Y", SUMPRODUCT((INPUT_Openings!$A:$A=$B$4)*(INPUT_Openings!$B:$B=A105)*(INPUT_Openings!$D:$D)*XLOOKUP(INPUT_Openings!$C:$C,Constants!$A$30:$A$200,Constants!$E$30:$E$200,"",0)*(INPUT_Openings!$E:$E="Door")), 0),IF(C105="Doors (leaf)", IF(XLOOKUP(A105,INPUT_Rooms!$B:$B,INPUT_Rooms!$AB:$AB,"")="Y", SUMPRODUCT((INPUT_Doors!$A:$A=$B$4)*(INPUT_Doors!$B:$B=A105)*(INPUT_Doors!$D:$D)*(INPUT_Doors!$E:$E)), 0), 0))))))</f>
        <v/>
      </c>
      <c r="F105" s="6">
        <f>IF(A105="","", XLOOKUP(A105, INPUT_Rooms!$B:$B, INPUT_Rooms!$U:$U, ""))</f>
        <v/>
      </c>
      <c r="G105" s="6">
        <f>IF(A105="","", XLOOKUP(A105, INPUT_Rooms!$B:$B, INPUT_Rooms!$V:$V, ""))</f>
        <v/>
      </c>
      <c r="H105" s="6">
        <f>IF(A105="","", IF(XLOOKUP(A105, INPUT_Rooms!$B:$B, INPUT_Rooms!$W:$W, "")="", $B$5, XLOOKUP(A105, INPUT_Rooms!$B:$B, INPUT_Rooms!$W:$W, "")))</f>
        <v/>
      </c>
      <c r="I105" s="6">
        <f>IF(A105="","", IF(C105="Doors (leaf)", 0, E105*XLOOKUP(C105,Constants!$A$40:$A$200,Constants!$C$40:$C$200,0,0)*XLOOKUP(H105,Constants!$E$10:$E$30,Constants!$F$10:$F$30)))</f>
        <v/>
      </c>
      <c r="J105" s="6">
        <f>IF(A105="","", IF(C105="Doors (leaf)", 0, E105*XLOOKUP(C105,Constants!$A$40:$A$200,Constants!$D$40:$D$200,0,0)*G105))</f>
        <v/>
      </c>
      <c r="K105" s="6">
        <f>IF(A105="","", IF(C105="Doors (leaf)", 0, IF(F105="Full", E105*XLOOKUP(C105,Constants!$A$40:$A$200,Constants!$E$40:$E$200,0,0), IF(F105="Spot", E105*XLOOKUP(C105,Constants!$A$40:$A$200,Constants!$E$40:$E$200,0,0)*0.35, 0))))</f>
        <v/>
      </c>
      <c r="L105">
        <f>IF(A105="","",0)</f>
        <v/>
      </c>
      <c r="M105" s="6">
        <f>IF(A105="","", SUM(I105:K105))</f>
        <v/>
      </c>
      <c r="N105" s="6">
        <f>IF(A105="","", L105/60)</f>
        <v/>
      </c>
      <c r="O105" s="6">
        <f>IF(A105="","", N105*(IF(=IF('Job Control'!$B$3="","", XLOOKUP('Job Control'!$B$3, INPUT_JobSettings!$A:$A, INPUT_JobSettings!$F:$F, ""))&lt;&gt;"", =IF('Job Control'!$B$3="","", XLOOKUP('Job Control'!$B$3, INPUT_JobSettings!$A:$A, INPUT_JobSettings!$F:$F, "")), $B$6)))</f>
        <v/>
      </c>
      <c r="P105" s="6">
        <f>IF(A105="","", (O105+L105)*(IF(=IF('Job Control'!$B$3="","", XLOOKUP('Job Control'!$B$3, INPUT_JobSettings!$A:$A, INPUT_JobSettings!$G:$G, ""))&lt;&gt;"", =IF('Job Control'!$B$3="","", XLOOKUP('Job Control'!$B$3, INPUT_JobSettings!$A:$A, INPUT_JobSettings!$G:$G, "")), $B$7)))</f>
        <v/>
      </c>
    </row>
    <row r="106">
      <c r="A106" s="6">
        <f>IFERROR(INDEX(FILTER(INPUT_Rooms!$B$4:$B$83, INPUT_Rooms!$A$4:$A$83=$B$4, INPUT_Rooms!$T$4:$T$83="Y"), 20), "")</f>
        <v/>
      </c>
      <c r="B106" s="6">
        <f>IF(A106="","", XLOOKUP(A106, FILTER(INPUT_Rooms!$B$4:$B$83, INPUT_Rooms!$A$4:$A$83=$B$4), FILTER(INPUT_Rooms!$C$4:$C$83, INPUT_Rooms!$A$4:$A$83=$B$4), ""))</f>
        <v/>
      </c>
      <c r="C106" s="6">
        <f>IF(A106="","", CHOOSE(1,"Baseboard","Crown","Window Casing","Door Casing","Doors (leaf)"))</f>
        <v/>
      </c>
      <c r="D106" s="6">
        <f>IF(A106="","", XLOOKUP(C106,Constants!$A$40:$A$200,Constants!$B$40:$B$200,"",0))</f>
        <v/>
      </c>
      <c r="E106" s="6">
        <f>IF(A106="","", IF(C106="Baseboard", IF(XLOOKUP(A106,INPUT_Rooms!$B:$B,INPUT_Rooms!$X:$X,"")="Y", XLOOKUP(A106,INPUT_Rooms!$B:$B,INPUT_Rooms!$AF:$AF,""), 0),IF(C106="Crown", IF(XLOOKUP(A106,INPUT_Rooms!$B:$B,INPUT_Rooms!$Y:$Y,"")="Y", XLOOKUP(A106,INPUT_Rooms!$B:$B,INPUT_Rooms!$AG:$AG,""), 0),IF(C106="Window Casing", IF(XLOOKUP(A106,INPUT_Rooms!$B:$B,INPUT_Rooms!$Z:$Z,"")="Y", SUMPRODUCT((INPUT_Openings!$A:$A=$B$4)*(INPUT_Openings!$B:$B=A106)*(INPUT_Openings!$D:$D)*XLOOKUP(INPUT_Openings!$C:$C,Constants!$A$30:$A$200,Constants!$E$30:$E$200,"",0)*(INPUT_Openings!$E:$E="Window")), 0),IF(C106="Door Casing", IF(XLOOKUP(A106,INPUT_Rooms!$B:$B,INPUT_Rooms!$AA:$AA,"")="Y", SUMPRODUCT((INPUT_Openings!$A:$A=$B$4)*(INPUT_Openings!$B:$B=A106)*(INPUT_Openings!$D:$D)*XLOOKUP(INPUT_Openings!$C:$C,Constants!$A$30:$A$200,Constants!$E$30:$E$200,"",0)*(INPUT_Openings!$E:$E="Door")), 0),IF(C106="Doors (leaf)", IF(XLOOKUP(A106,INPUT_Rooms!$B:$B,INPUT_Rooms!$AB:$AB,"")="Y", SUMPRODUCT((INPUT_Doors!$A:$A=$B$4)*(INPUT_Doors!$B:$B=A106)*(INPUT_Doors!$D:$D)*(INPUT_Doors!$E:$E)), 0), 0))))))</f>
        <v/>
      </c>
      <c r="F106" s="6">
        <f>IF(A106="","", XLOOKUP(A106, INPUT_Rooms!$B:$B, INPUT_Rooms!$U:$U, ""))</f>
        <v/>
      </c>
      <c r="G106" s="6">
        <f>IF(A106="","", XLOOKUP(A106, INPUT_Rooms!$B:$B, INPUT_Rooms!$V:$V, ""))</f>
        <v/>
      </c>
      <c r="H106" s="6">
        <f>IF(A106="","", IF(XLOOKUP(A106, INPUT_Rooms!$B:$B, INPUT_Rooms!$W:$W, "")="", $B$5, XLOOKUP(A106, INPUT_Rooms!$B:$B, INPUT_Rooms!$W:$W, "")))</f>
        <v/>
      </c>
      <c r="I106" s="6">
        <f>IF(A106="","", IF(C106="Doors (leaf)", 0, E106*XLOOKUP(C106,Constants!$A$40:$A$200,Constants!$C$40:$C$200,0,0)*XLOOKUP(H106,Constants!$E$10:$E$30,Constants!$F$10:$F$30)))</f>
        <v/>
      </c>
      <c r="J106" s="6">
        <f>IF(A106="","", IF(C106="Doors (leaf)", 0, E106*XLOOKUP(C106,Constants!$A$40:$A$200,Constants!$D$40:$D$200,0,0)*G106))</f>
        <v/>
      </c>
      <c r="K106" s="6">
        <f>IF(A106="","", IF(C106="Doors (leaf)", 0, IF(F106="Full", E106*XLOOKUP(C106,Constants!$A$40:$A$200,Constants!$E$40:$E$200,0,0), IF(F106="Spot", E106*XLOOKUP(C106,Constants!$A$40:$A$200,Constants!$E$40:$E$200,0,0)*0.35, 0))))</f>
        <v/>
      </c>
      <c r="L106">
        <f>IF(A106="","",0)</f>
        <v/>
      </c>
      <c r="M106" s="6">
        <f>IF(A106="","", SUM(I106:K106))</f>
        <v/>
      </c>
      <c r="N106" s="6">
        <f>IF(A106="","", L106/60)</f>
        <v/>
      </c>
      <c r="O106" s="6">
        <f>IF(A106="","", N106*(IF(=IF('Job Control'!$B$3="","", XLOOKUP('Job Control'!$B$3, INPUT_JobSettings!$A:$A, INPUT_JobSettings!$F:$F, ""))&lt;&gt;"", =IF('Job Control'!$B$3="","", XLOOKUP('Job Control'!$B$3, INPUT_JobSettings!$A:$A, INPUT_JobSettings!$F:$F, "")), $B$6)))</f>
        <v/>
      </c>
      <c r="P106" s="6">
        <f>IF(A106="","", (O106+L106)*(IF(=IF('Job Control'!$B$3="","", XLOOKUP('Job Control'!$B$3, INPUT_JobSettings!$A:$A, INPUT_JobSettings!$G:$G, ""))&lt;&gt;"", =IF('Job Control'!$B$3="","", XLOOKUP('Job Control'!$B$3, INPUT_JobSettings!$A:$A, INPUT_JobSettings!$G:$G, "")), $B$7)))</f>
        <v/>
      </c>
    </row>
    <row r="107">
      <c r="A107" s="6">
        <f>IFERROR(INDEX(FILTER(INPUT_Rooms!$B$4:$B$83, INPUT_Rooms!$A$4:$A$83=$B$4, INPUT_Rooms!$T$4:$T$83="Y"), 20), "")</f>
        <v/>
      </c>
      <c r="B107" s="6">
        <f>IF(A107="","", XLOOKUP(A107, FILTER(INPUT_Rooms!$B$4:$B$83, INPUT_Rooms!$A$4:$A$83=$B$4), FILTER(INPUT_Rooms!$C$4:$C$83, INPUT_Rooms!$A$4:$A$83=$B$4), ""))</f>
        <v/>
      </c>
      <c r="C107" s="6">
        <f>IF(A107="","", CHOOSE(2,"Baseboard","Crown","Window Casing","Door Casing","Doors (leaf)"))</f>
        <v/>
      </c>
      <c r="D107" s="6">
        <f>IF(A107="","", XLOOKUP(C107,Constants!$A$40:$A$200,Constants!$B$40:$B$200,"",0))</f>
        <v/>
      </c>
      <c r="E107" s="6">
        <f>IF(A107="","", IF(C107="Baseboard", IF(XLOOKUP(A107,INPUT_Rooms!$B:$B,INPUT_Rooms!$X:$X,"")="Y", XLOOKUP(A107,INPUT_Rooms!$B:$B,INPUT_Rooms!$AF:$AF,""), 0),IF(C107="Crown", IF(XLOOKUP(A107,INPUT_Rooms!$B:$B,INPUT_Rooms!$Y:$Y,"")="Y", XLOOKUP(A107,INPUT_Rooms!$B:$B,INPUT_Rooms!$AG:$AG,""), 0),IF(C107="Window Casing", IF(XLOOKUP(A107,INPUT_Rooms!$B:$B,INPUT_Rooms!$Z:$Z,"")="Y", SUMPRODUCT((INPUT_Openings!$A:$A=$B$4)*(INPUT_Openings!$B:$B=A107)*(INPUT_Openings!$D:$D)*XLOOKUP(INPUT_Openings!$C:$C,Constants!$A$30:$A$200,Constants!$E$30:$E$200,"",0)*(INPUT_Openings!$E:$E="Window")), 0),IF(C107="Door Casing", IF(XLOOKUP(A107,INPUT_Rooms!$B:$B,INPUT_Rooms!$AA:$AA,"")="Y", SUMPRODUCT((INPUT_Openings!$A:$A=$B$4)*(INPUT_Openings!$B:$B=A107)*(INPUT_Openings!$D:$D)*XLOOKUP(INPUT_Openings!$C:$C,Constants!$A$30:$A$200,Constants!$E$30:$E$200,"",0)*(INPUT_Openings!$E:$E="Door")), 0),IF(C107="Doors (leaf)", IF(XLOOKUP(A107,INPUT_Rooms!$B:$B,INPUT_Rooms!$AB:$AB,"")="Y", SUMPRODUCT((INPUT_Doors!$A:$A=$B$4)*(INPUT_Doors!$B:$B=A107)*(INPUT_Doors!$D:$D)*(INPUT_Doors!$E:$E)), 0), 0))))))</f>
        <v/>
      </c>
      <c r="F107" s="6">
        <f>IF(A107="","", XLOOKUP(A107, INPUT_Rooms!$B:$B, INPUT_Rooms!$U:$U, ""))</f>
        <v/>
      </c>
      <c r="G107" s="6">
        <f>IF(A107="","", XLOOKUP(A107, INPUT_Rooms!$B:$B, INPUT_Rooms!$V:$V, ""))</f>
        <v/>
      </c>
      <c r="H107" s="6">
        <f>IF(A107="","", IF(XLOOKUP(A107, INPUT_Rooms!$B:$B, INPUT_Rooms!$W:$W, "")="", $B$5, XLOOKUP(A107, INPUT_Rooms!$B:$B, INPUT_Rooms!$W:$W, "")))</f>
        <v/>
      </c>
      <c r="I107" s="6">
        <f>IF(A107="","", IF(C107="Doors (leaf)", 0, E107*XLOOKUP(C107,Constants!$A$40:$A$200,Constants!$C$40:$C$200,0,0)*XLOOKUP(H107,Constants!$E$10:$E$30,Constants!$F$10:$F$30)))</f>
        <v/>
      </c>
      <c r="J107" s="6">
        <f>IF(A107="","", IF(C107="Doors (leaf)", 0, E107*XLOOKUP(C107,Constants!$A$40:$A$200,Constants!$D$40:$D$200,0,0)*G107))</f>
        <v/>
      </c>
      <c r="K107" s="6">
        <f>IF(A107="","", IF(C107="Doors (leaf)", 0, IF(F107="Full", E107*XLOOKUP(C107,Constants!$A$40:$A$200,Constants!$E$40:$E$200,0,0), IF(F107="Spot", E107*XLOOKUP(C107,Constants!$A$40:$A$200,Constants!$E$40:$E$200,0,0)*0.35, 0))))</f>
        <v/>
      </c>
      <c r="L107">
        <f>IF(A107="","",0)</f>
        <v/>
      </c>
      <c r="M107" s="6">
        <f>IF(A107="","", SUM(I107:K107))</f>
        <v/>
      </c>
      <c r="N107" s="6">
        <f>IF(A107="","", L107/60)</f>
        <v/>
      </c>
      <c r="O107" s="6">
        <f>IF(A107="","", N107*(IF(=IF('Job Control'!$B$3="","", XLOOKUP('Job Control'!$B$3, INPUT_JobSettings!$A:$A, INPUT_JobSettings!$F:$F, ""))&lt;&gt;"", =IF('Job Control'!$B$3="","", XLOOKUP('Job Control'!$B$3, INPUT_JobSettings!$A:$A, INPUT_JobSettings!$F:$F, "")), $B$6)))</f>
        <v/>
      </c>
      <c r="P107" s="6">
        <f>IF(A107="","", (O107+L107)*(IF(=IF('Job Control'!$B$3="","", XLOOKUP('Job Control'!$B$3, INPUT_JobSettings!$A:$A, INPUT_JobSettings!$G:$G, ""))&lt;&gt;"", =IF('Job Control'!$B$3="","", XLOOKUP('Job Control'!$B$3, INPUT_JobSettings!$A:$A, INPUT_JobSettings!$G:$G, "")), $B$7)))</f>
        <v/>
      </c>
    </row>
    <row r="108">
      <c r="A108" s="6">
        <f>IFERROR(INDEX(FILTER(INPUT_Rooms!$B$4:$B$83, INPUT_Rooms!$A$4:$A$83=$B$4, INPUT_Rooms!$T$4:$T$83="Y"), 20), "")</f>
        <v/>
      </c>
      <c r="B108" s="6">
        <f>IF(A108="","", XLOOKUP(A108, FILTER(INPUT_Rooms!$B$4:$B$83, INPUT_Rooms!$A$4:$A$83=$B$4), FILTER(INPUT_Rooms!$C$4:$C$83, INPUT_Rooms!$A$4:$A$83=$B$4), ""))</f>
        <v/>
      </c>
      <c r="C108" s="6">
        <f>IF(A108="","", CHOOSE(3,"Baseboard","Crown","Window Casing","Door Casing","Doors (leaf)"))</f>
        <v/>
      </c>
      <c r="D108" s="6">
        <f>IF(A108="","", XLOOKUP(C108,Constants!$A$40:$A$200,Constants!$B$40:$B$200,"",0))</f>
        <v/>
      </c>
      <c r="E108" s="6">
        <f>IF(A108="","", IF(C108="Baseboard", IF(XLOOKUP(A108,INPUT_Rooms!$B:$B,INPUT_Rooms!$X:$X,"")="Y", XLOOKUP(A108,INPUT_Rooms!$B:$B,INPUT_Rooms!$AF:$AF,""), 0),IF(C108="Crown", IF(XLOOKUP(A108,INPUT_Rooms!$B:$B,INPUT_Rooms!$Y:$Y,"")="Y", XLOOKUP(A108,INPUT_Rooms!$B:$B,INPUT_Rooms!$AG:$AG,""), 0),IF(C108="Window Casing", IF(XLOOKUP(A108,INPUT_Rooms!$B:$B,INPUT_Rooms!$Z:$Z,"")="Y", SUMPRODUCT((INPUT_Openings!$A:$A=$B$4)*(INPUT_Openings!$B:$B=A108)*(INPUT_Openings!$D:$D)*XLOOKUP(INPUT_Openings!$C:$C,Constants!$A$30:$A$200,Constants!$E$30:$E$200,"",0)*(INPUT_Openings!$E:$E="Window")), 0),IF(C108="Door Casing", IF(XLOOKUP(A108,INPUT_Rooms!$B:$B,INPUT_Rooms!$AA:$AA,"")="Y", SUMPRODUCT((INPUT_Openings!$A:$A=$B$4)*(INPUT_Openings!$B:$B=A108)*(INPUT_Openings!$D:$D)*XLOOKUP(INPUT_Openings!$C:$C,Constants!$A$30:$A$200,Constants!$E$30:$E$200,"",0)*(INPUT_Openings!$E:$E="Door")), 0),IF(C108="Doors (leaf)", IF(XLOOKUP(A108,INPUT_Rooms!$B:$B,INPUT_Rooms!$AB:$AB,"")="Y", SUMPRODUCT((INPUT_Doors!$A:$A=$B$4)*(INPUT_Doors!$B:$B=A108)*(INPUT_Doors!$D:$D)*(INPUT_Doors!$E:$E)), 0), 0))))))</f>
        <v/>
      </c>
      <c r="F108" s="6">
        <f>IF(A108="","", XLOOKUP(A108, INPUT_Rooms!$B:$B, INPUT_Rooms!$U:$U, ""))</f>
        <v/>
      </c>
      <c r="G108" s="6">
        <f>IF(A108="","", XLOOKUP(A108, INPUT_Rooms!$B:$B, INPUT_Rooms!$V:$V, ""))</f>
        <v/>
      </c>
      <c r="H108" s="6">
        <f>IF(A108="","", IF(XLOOKUP(A108, INPUT_Rooms!$B:$B, INPUT_Rooms!$W:$W, "")="", $B$5, XLOOKUP(A108, INPUT_Rooms!$B:$B, INPUT_Rooms!$W:$W, "")))</f>
        <v/>
      </c>
      <c r="I108" s="6">
        <f>IF(A108="","", IF(C108="Doors (leaf)", 0, E108*XLOOKUP(C108,Constants!$A$40:$A$200,Constants!$C$40:$C$200,0,0)*XLOOKUP(H108,Constants!$E$10:$E$30,Constants!$F$10:$F$30)))</f>
        <v/>
      </c>
      <c r="J108" s="6">
        <f>IF(A108="","", IF(C108="Doors (leaf)", 0, E108*XLOOKUP(C108,Constants!$A$40:$A$200,Constants!$D$40:$D$200,0,0)*G108))</f>
        <v/>
      </c>
      <c r="K108" s="6">
        <f>IF(A108="","", IF(C108="Doors (leaf)", 0, IF(F108="Full", E108*XLOOKUP(C108,Constants!$A$40:$A$200,Constants!$E$40:$E$200,0,0), IF(F108="Spot", E108*XLOOKUP(C108,Constants!$A$40:$A$200,Constants!$E$40:$E$200,0,0)*0.35, 0))))</f>
        <v/>
      </c>
      <c r="L108">
        <f>IF(A108="","",0)</f>
        <v/>
      </c>
      <c r="M108" s="6">
        <f>IF(A108="","", SUM(I108:K108))</f>
        <v/>
      </c>
      <c r="N108" s="6">
        <f>IF(A108="","", L108/60)</f>
        <v/>
      </c>
      <c r="O108" s="6">
        <f>IF(A108="","", N108*(IF(=IF('Job Control'!$B$3="","", XLOOKUP('Job Control'!$B$3, INPUT_JobSettings!$A:$A, INPUT_JobSettings!$F:$F, ""))&lt;&gt;"", =IF('Job Control'!$B$3="","", XLOOKUP('Job Control'!$B$3, INPUT_JobSettings!$A:$A, INPUT_JobSettings!$F:$F, "")), $B$6)))</f>
        <v/>
      </c>
      <c r="P108" s="6">
        <f>IF(A108="","", (O108+L108)*(IF(=IF('Job Control'!$B$3="","", XLOOKUP('Job Control'!$B$3, INPUT_JobSettings!$A:$A, INPUT_JobSettings!$G:$G, ""))&lt;&gt;"", =IF('Job Control'!$B$3="","", XLOOKUP('Job Control'!$B$3, INPUT_JobSettings!$A:$A, INPUT_JobSettings!$G:$G, "")), $B$7)))</f>
        <v/>
      </c>
    </row>
    <row r="109">
      <c r="A109" s="6">
        <f>IFERROR(INDEX(FILTER(INPUT_Rooms!$B$4:$B$83, INPUT_Rooms!$A$4:$A$83=$B$4, INPUT_Rooms!$T$4:$T$83="Y"), 20), "")</f>
        <v/>
      </c>
      <c r="B109" s="6">
        <f>IF(A109="","", XLOOKUP(A109, FILTER(INPUT_Rooms!$B$4:$B$83, INPUT_Rooms!$A$4:$A$83=$B$4), FILTER(INPUT_Rooms!$C$4:$C$83, INPUT_Rooms!$A$4:$A$83=$B$4), ""))</f>
        <v/>
      </c>
      <c r="C109" s="6">
        <f>IF(A109="","", CHOOSE(4,"Baseboard","Crown","Window Casing","Door Casing","Doors (leaf)"))</f>
        <v/>
      </c>
      <c r="D109" s="6">
        <f>IF(A109="","", XLOOKUP(C109,Constants!$A$40:$A$200,Constants!$B$40:$B$200,"",0))</f>
        <v/>
      </c>
      <c r="E109" s="6">
        <f>IF(A109="","", IF(C109="Baseboard", IF(XLOOKUP(A109,INPUT_Rooms!$B:$B,INPUT_Rooms!$X:$X,"")="Y", XLOOKUP(A109,INPUT_Rooms!$B:$B,INPUT_Rooms!$AF:$AF,""), 0),IF(C109="Crown", IF(XLOOKUP(A109,INPUT_Rooms!$B:$B,INPUT_Rooms!$Y:$Y,"")="Y", XLOOKUP(A109,INPUT_Rooms!$B:$B,INPUT_Rooms!$AG:$AG,""), 0),IF(C109="Window Casing", IF(XLOOKUP(A109,INPUT_Rooms!$B:$B,INPUT_Rooms!$Z:$Z,"")="Y", SUMPRODUCT((INPUT_Openings!$A:$A=$B$4)*(INPUT_Openings!$B:$B=A109)*(INPUT_Openings!$D:$D)*XLOOKUP(INPUT_Openings!$C:$C,Constants!$A$30:$A$200,Constants!$E$30:$E$200,"",0)*(INPUT_Openings!$E:$E="Window")), 0),IF(C109="Door Casing", IF(XLOOKUP(A109,INPUT_Rooms!$B:$B,INPUT_Rooms!$AA:$AA,"")="Y", SUMPRODUCT((INPUT_Openings!$A:$A=$B$4)*(INPUT_Openings!$B:$B=A109)*(INPUT_Openings!$D:$D)*XLOOKUP(INPUT_Openings!$C:$C,Constants!$A$30:$A$200,Constants!$E$30:$E$200,"",0)*(INPUT_Openings!$E:$E="Door")), 0),IF(C109="Doors (leaf)", IF(XLOOKUP(A109,INPUT_Rooms!$B:$B,INPUT_Rooms!$AB:$AB,"")="Y", SUMPRODUCT((INPUT_Doors!$A:$A=$B$4)*(INPUT_Doors!$B:$B=A109)*(INPUT_Doors!$D:$D)*(INPUT_Doors!$E:$E)), 0), 0))))))</f>
        <v/>
      </c>
      <c r="F109" s="6">
        <f>IF(A109="","", XLOOKUP(A109, INPUT_Rooms!$B:$B, INPUT_Rooms!$U:$U, ""))</f>
        <v/>
      </c>
      <c r="G109" s="6">
        <f>IF(A109="","", XLOOKUP(A109, INPUT_Rooms!$B:$B, INPUT_Rooms!$V:$V, ""))</f>
        <v/>
      </c>
      <c r="H109" s="6">
        <f>IF(A109="","", IF(XLOOKUP(A109, INPUT_Rooms!$B:$B, INPUT_Rooms!$W:$W, "")="", $B$5, XLOOKUP(A109, INPUT_Rooms!$B:$B, INPUT_Rooms!$W:$W, "")))</f>
        <v/>
      </c>
      <c r="I109" s="6">
        <f>IF(A109="","", IF(C109="Doors (leaf)", 0, E109*XLOOKUP(C109,Constants!$A$40:$A$200,Constants!$C$40:$C$200,0,0)*XLOOKUP(H109,Constants!$E$10:$E$30,Constants!$F$10:$F$30)))</f>
        <v/>
      </c>
      <c r="J109" s="6">
        <f>IF(A109="","", IF(C109="Doors (leaf)", 0, E109*XLOOKUP(C109,Constants!$A$40:$A$200,Constants!$D$40:$D$200,0,0)*G109))</f>
        <v/>
      </c>
      <c r="K109" s="6">
        <f>IF(A109="","", IF(C109="Doors (leaf)", 0, IF(F109="Full", E109*XLOOKUP(C109,Constants!$A$40:$A$200,Constants!$E$40:$E$200,0,0), IF(F109="Spot", E109*XLOOKUP(C109,Constants!$A$40:$A$200,Constants!$E$40:$E$200,0,0)*0.35, 0))))</f>
        <v/>
      </c>
      <c r="L109">
        <f>IF(A109="","",0)</f>
        <v/>
      </c>
      <c r="M109" s="6">
        <f>IF(A109="","", SUM(I109:K109))</f>
        <v/>
      </c>
      <c r="N109" s="6">
        <f>IF(A109="","", L109/60)</f>
        <v/>
      </c>
      <c r="O109" s="6">
        <f>IF(A109="","", N109*(IF(=IF('Job Control'!$B$3="","", XLOOKUP('Job Control'!$B$3, INPUT_JobSettings!$A:$A, INPUT_JobSettings!$F:$F, ""))&lt;&gt;"", =IF('Job Control'!$B$3="","", XLOOKUP('Job Control'!$B$3, INPUT_JobSettings!$A:$A, INPUT_JobSettings!$F:$F, "")), $B$6)))</f>
        <v/>
      </c>
      <c r="P109" s="6">
        <f>IF(A109="","", (O109+L109)*(IF(=IF('Job Control'!$B$3="","", XLOOKUP('Job Control'!$B$3, INPUT_JobSettings!$A:$A, INPUT_JobSettings!$G:$G, ""))&lt;&gt;"", =IF('Job Control'!$B$3="","", XLOOKUP('Job Control'!$B$3, INPUT_JobSettings!$A:$A, INPUT_JobSettings!$G:$G, "")), $B$7)))</f>
        <v/>
      </c>
    </row>
    <row r="110">
      <c r="A110" s="6">
        <f>IFERROR(INDEX(FILTER(INPUT_Rooms!$B$4:$B$83, INPUT_Rooms!$A$4:$A$83=$B$4, INPUT_Rooms!$T$4:$T$83="Y"), 20), "")</f>
        <v/>
      </c>
      <c r="B110" s="6">
        <f>IF(A110="","", XLOOKUP(A110, FILTER(INPUT_Rooms!$B$4:$B$83, INPUT_Rooms!$A$4:$A$83=$B$4), FILTER(INPUT_Rooms!$C$4:$C$83, INPUT_Rooms!$A$4:$A$83=$B$4), ""))</f>
        <v/>
      </c>
      <c r="C110" s="6">
        <f>IF(A110="","", CHOOSE(5,"Baseboard","Crown","Window Casing","Door Casing","Doors (leaf)"))</f>
        <v/>
      </c>
      <c r="D110" s="6">
        <f>IF(A110="","", XLOOKUP(C110,Constants!$A$40:$A$200,Constants!$B$40:$B$200,"",0))</f>
        <v/>
      </c>
      <c r="E110" s="6">
        <f>IF(A110="","", IF(C110="Baseboard", IF(XLOOKUP(A110,INPUT_Rooms!$B:$B,INPUT_Rooms!$X:$X,"")="Y", XLOOKUP(A110,INPUT_Rooms!$B:$B,INPUT_Rooms!$AF:$AF,""), 0),IF(C110="Crown", IF(XLOOKUP(A110,INPUT_Rooms!$B:$B,INPUT_Rooms!$Y:$Y,"")="Y", XLOOKUP(A110,INPUT_Rooms!$B:$B,INPUT_Rooms!$AG:$AG,""), 0),IF(C110="Window Casing", IF(XLOOKUP(A110,INPUT_Rooms!$B:$B,INPUT_Rooms!$Z:$Z,"")="Y", SUMPRODUCT((INPUT_Openings!$A:$A=$B$4)*(INPUT_Openings!$B:$B=A110)*(INPUT_Openings!$D:$D)*XLOOKUP(INPUT_Openings!$C:$C,Constants!$A$30:$A$200,Constants!$E$30:$E$200,"",0)*(INPUT_Openings!$E:$E="Window")), 0),IF(C110="Door Casing", IF(XLOOKUP(A110,INPUT_Rooms!$B:$B,INPUT_Rooms!$AA:$AA,"")="Y", SUMPRODUCT((INPUT_Openings!$A:$A=$B$4)*(INPUT_Openings!$B:$B=A110)*(INPUT_Openings!$D:$D)*XLOOKUP(INPUT_Openings!$C:$C,Constants!$A$30:$A$200,Constants!$E$30:$E$200,"",0)*(INPUT_Openings!$E:$E="Door")), 0),IF(C110="Doors (leaf)", IF(XLOOKUP(A110,INPUT_Rooms!$B:$B,INPUT_Rooms!$AB:$AB,"")="Y", SUMPRODUCT((INPUT_Doors!$A:$A=$B$4)*(INPUT_Doors!$B:$B=A110)*(INPUT_Doors!$D:$D)*(INPUT_Doors!$E:$E)), 0), 0))))))</f>
        <v/>
      </c>
      <c r="F110" s="6">
        <f>IF(A110="","", XLOOKUP(A110, INPUT_Rooms!$B:$B, INPUT_Rooms!$U:$U, ""))</f>
        <v/>
      </c>
      <c r="G110" s="6">
        <f>IF(A110="","", XLOOKUP(A110, INPUT_Rooms!$B:$B, INPUT_Rooms!$V:$V, ""))</f>
        <v/>
      </c>
      <c r="H110" s="6">
        <f>IF(A110="","", IF(XLOOKUP(A110, INPUT_Rooms!$B:$B, INPUT_Rooms!$W:$W, "")="", $B$5, XLOOKUP(A110, INPUT_Rooms!$B:$B, INPUT_Rooms!$W:$W, "")))</f>
        <v/>
      </c>
      <c r="I110" s="6">
        <f>IF(A110="","", IF(C110="Doors (leaf)", 0, E110*XLOOKUP(C110,Constants!$A$40:$A$200,Constants!$C$40:$C$200,0,0)*XLOOKUP(H110,Constants!$E$10:$E$30,Constants!$F$10:$F$30)))</f>
        <v/>
      </c>
      <c r="J110" s="6">
        <f>IF(A110="","", IF(C110="Doors (leaf)", 0, E110*XLOOKUP(C110,Constants!$A$40:$A$200,Constants!$D$40:$D$200,0,0)*G110))</f>
        <v/>
      </c>
      <c r="K110" s="6">
        <f>IF(A110="","", IF(C110="Doors (leaf)", 0, IF(F110="Full", E110*XLOOKUP(C110,Constants!$A$40:$A$200,Constants!$E$40:$E$200,0,0), IF(F110="Spot", E110*XLOOKUP(C110,Constants!$A$40:$A$200,Constants!$E$40:$E$200,0,0)*0.35, 0))))</f>
        <v/>
      </c>
      <c r="L110">
        <f>IF(A110="","",0)</f>
        <v/>
      </c>
      <c r="M110" s="6">
        <f>IF(A110="","", SUM(I110:K110))</f>
        <v/>
      </c>
      <c r="N110" s="6">
        <f>IF(A110="","", L110/60)</f>
        <v/>
      </c>
      <c r="O110" s="6">
        <f>IF(A110="","", N110*(IF(=IF('Job Control'!$B$3="","", XLOOKUP('Job Control'!$B$3, INPUT_JobSettings!$A:$A, INPUT_JobSettings!$F:$F, ""))&lt;&gt;"", =IF('Job Control'!$B$3="","", XLOOKUP('Job Control'!$B$3, INPUT_JobSettings!$A:$A, INPUT_JobSettings!$F:$F, "")), $B$6)))</f>
        <v/>
      </c>
      <c r="P110" s="6">
        <f>IF(A110="","", (O110+L110)*(IF(=IF('Job Control'!$B$3="","", XLOOKUP('Job Control'!$B$3, INPUT_JobSettings!$A:$A, INPUT_JobSettings!$G:$G, ""))&lt;&gt;"", =IF('Job Control'!$B$3="","", XLOOKUP('Job Control'!$B$3, INPUT_JobSettings!$A:$A, INPUT_JobSettings!$G:$G, "")), $B$7)))</f>
        <v/>
      </c>
    </row>
    <row r="111">
      <c r="A111" s="6">
        <f>IFERROR(INDEX(FILTER(INPUT_Rooms!$B$4:$B$83, INPUT_Rooms!$A$4:$A$83=$B$4, INPUT_Rooms!$T$4:$T$83="Y"), 21), "")</f>
        <v/>
      </c>
      <c r="B111" s="6">
        <f>IF(A111="","", XLOOKUP(A111, FILTER(INPUT_Rooms!$B$4:$B$83, INPUT_Rooms!$A$4:$A$83=$B$4), FILTER(INPUT_Rooms!$C$4:$C$83, INPUT_Rooms!$A$4:$A$83=$B$4), ""))</f>
        <v/>
      </c>
      <c r="C111" s="6">
        <f>IF(A111="","", CHOOSE(1,"Baseboard","Crown","Window Casing","Door Casing","Doors (leaf)"))</f>
        <v/>
      </c>
      <c r="D111" s="6">
        <f>IF(A111="","", XLOOKUP(C111,Constants!$A$40:$A$200,Constants!$B$40:$B$200,"",0))</f>
        <v/>
      </c>
      <c r="E111" s="6">
        <f>IF(A111="","", IF(C111="Baseboard", IF(XLOOKUP(A111,INPUT_Rooms!$B:$B,INPUT_Rooms!$X:$X,"")="Y", XLOOKUP(A111,INPUT_Rooms!$B:$B,INPUT_Rooms!$AF:$AF,""), 0),IF(C111="Crown", IF(XLOOKUP(A111,INPUT_Rooms!$B:$B,INPUT_Rooms!$Y:$Y,"")="Y", XLOOKUP(A111,INPUT_Rooms!$B:$B,INPUT_Rooms!$AG:$AG,""), 0),IF(C111="Window Casing", IF(XLOOKUP(A111,INPUT_Rooms!$B:$B,INPUT_Rooms!$Z:$Z,"")="Y", SUMPRODUCT((INPUT_Openings!$A:$A=$B$4)*(INPUT_Openings!$B:$B=A111)*(INPUT_Openings!$D:$D)*XLOOKUP(INPUT_Openings!$C:$C,Constants!$A$30:$A$200,Constants!$E$30:$E$200,"",0)*(INPUT_Openings!$E:$E="Window")), 0),IF(C111="Door Casing", IF(XLOOKUP(A111,INPUT_Rooms!$B:$B,INPUT_Rooms!$AA:$AA,"")="Y", SUMPRODUCT((INPUT_Openings!$A:$A=$B$4)*(INPUT_Openings!$B:$B=A111)*(INPUT_Openings!$D:$D)*XLOOKUP(INPUT_Openings!$C:$C,Constants!$A$30:$A$200,Constants!$E$30:$E$200,"",0)*(INPUT_Openings!$E:$E="Door")), 0),IF(C111="Doors (leaf)", IF(XLOOKUP(A111,INPUT_Rooms!$B:$B,INPUT_Rooms!$AB:$AB,"")="Y", SUMPRODUCT((INPUT_Doors!$A:$A=$B$4)*(INPUT_Doors!$B:$B=A111)*(INPUT_Doors!$D:$D)*(INPUT_Doors!$E:$E)), 0), 0))))))</f>
        <v/>
      </c>
      <c r="F111" s="6">
        <f>IF(A111="","", XLOOKUP(A111, INPUT_Rooms!$B:$B, INPUT_Rooms!$U:$U, ""))</f>
        <v/>
      </c>
      <c r="G111" s="6">
        <f>IF(A111="","", XLOOKUP(A111, INPUT_Rooms!$B:$B, INPUT_Rooms!$V:$V, ""))</f>
        <v/>
      </c>
      <c r="H111" s="6">
        <f>IF(A111="","", IF(XLOOKUP(A111, INPUT_Rooms!$B:$B, INPUT_Rooms!$W:$W, "")="", $B$5, XLOOKUP(A111, INPUT_Rooms!$B:$B, INPUT_Rooms!$W:$W, "")))</f>
        <v/>
      </c>
      <c r="I111" s="6">
        <f>IF(A111="","", IF(C111="Doors (leaf)", 0, E111*XLOOKUP(C111,Constants!$A$40:$A$200,Constants!$C$40:$C$200,0,0)*XLOOKUP(H111,Constants!$E$10:$E$30,Constants!$F$10:$F$30)))</f>
        <v/>
      </c>
      <c r="J111" s="6">
        <f>IF(A111="","", IF(C111="Doors (leaf)", 0, E111*XLOOKUP(C111,Constants!$A$40:$A$200,Constants!$D$40:$D$200,0,0)*G111))</f>
        <v/>
      </c>
      <c r="K111" s="6">
        <f>IF(A111="","", IF(C111="Doors (leaf)", 0, IF(F111="Full", E111*XLOOKUP(C111,Constants!$A$40:$A$200,Constants!$E$40:$E$200,0,0), IF(F111="Spot", E111*XLOOKUP(C111,Constants!$A$40:$A$200,Constants!$E$40:$E$200,0,0)*0.35, 0))))</f>
        <v/>
      </c>
      <c r="L111">
        <f>IF(A111="","",0)</f>
        <v/>
      </c>
      <c r="M111" s="6">
        <f>IF(A111="","", SUM(I111:K111))</f>
        <v/>
      </c>
      <c r="N111" s="6">
        <f>IF(A111="","", L111/60)</f>
        <v/>
      </c>
      <c r="O111" s="6">
        <f>IF(A111="","", N111*(IF(=IF('Job Control'!$B$3="","", XLOOKUP('Job Control'!$B$3, INPUT_JobSettings!$A:$A, INPUT_JobSettings!$F:$F, ""))&lt;&gt;"", =IF('Job Control'!$B$3="","", XLOOKUP('Job Control'!$B$3, INPUT_JobSettings!$A:$A, INPUT_JobSettings!$F:$F, "")), $B$6)))</f>
        <v/>
      </c>
      <c r="P111" s="6">
        <f>IF(A111="","", (O111+L111)*(IF(=IF('Job Control'!$B$3="","", XLOOKUP('Job Control'!$B$3, INPUT_JobSettings!$A:$A, INPUT_JobSettings!$G:$G, ""))&lt;&gt;"", =IF('Job Control'!$B$3="","", XLOOKUP('Job Control'!$B$3, INPUT_JobSettings!$A:$A, INPUT_JobSettings!$G:$G, "")), $B$7)))</f>
        <v/>
      </c>
    </row>
    <row r="112">
      <c r="A112" s="6">
        <f>IFERROR(INDEX(FILTER(INPUT_Rooms!$B$4:$B$83, INPUT_Rooms!$A$4:$A$83=$B$4, INPUT_Rooms!$T$4:$T$83="Y"), 21), "")</f>
        <v/>
      </c>
      <c r="B112" s="6">
        <f>IF(A112="","", XLOOKUP(A112, FILTER(INPUT_Rooms!$B$4:$B$83, INPUT_Rooms!$A$4:$A$83=$B$4), FILTER(INPUT_Rooms!$C$4:$C$83, INPUT_Rooms!$A$4:$A$83=$B$4), ""))</f>
        <v/>
      </c>
      <c r="C112" s="6">
        <f>IF(A112="","", CHOOSE(2,"Baseboard","Crown","Window Casing","Door Casing","Doors (leaf)"))</f>
        <v/>
      </c>
      <c r="D112" s="6">
        <f>IF(A112="","", XLOOKUP(C112,Constants!$A$40:$A$200,Constants!$B$40:$B$200,"",0))</f>
        <v/>
      </c>
      <c r="E112" s="6">
        <f>IF(A112="","", IF(C112="Baseboard", IF(XLOOKUP(A112,INPUT_Rooms!$B:$B,INPUT_Rooms!$X:$X,"")="Y", XLOOKUP(A112,INPUT_Rooms!$B:$B,INPUT_Rooms!$AF:$AF,""), 0),IF(C112="Crown", IF(XLOOKUP(A112,INPUT_Rooms!$B:$B,INPUT_Rooms!$Y:$Y,"")="Y", XLOOKUP(A112,INPUT_Rooms!$B:$B,INPUT_Rooms!$AG:$AG,""), 0),IF(C112="Window Casing", IF(XLOOKUP(A112,INPUT_Rooms!$B:$B,INPUT_Rooms!$Z:$Z,"")="Y", SUMPRODUCT((INPUT_Openings!$A:$A=$B$4)*(INPUT_Openings!$B:$B=A112)*(INPUT_Openings!$D:$D)*XLOOKUP(INPUT_Openings!$C:$C,Constants!$A$30:$A$200,Constants!$E$30:$E$200,"",0)*(INPUT_Openings!$E:$E="Window")), 0),IF(C112="Door Casing", IF(XLOOKUP(A112,INPUT_Rooms!$B:$B,INPUT_Rooms!$AA:$AA,"")="Y", SUMPRODUCT((INPUT_Openings!$A:$A=$B$4)*(INPUT_Openings!$B:$B=A112)*(INPUT_Openings!$D:$D)*XLOOKUP(INPUT_Openings!$C:$C,Constants!$A$30:$A$200,Constants!$E$30:$E$200,"",0)*(INPUT_Openings!$E:$E="Door")), 0),IF(C112="Doors (leaf)", IF(XLOOKUP(A112,INPUT_Rooms!$B:$B,INPUT_Rooms!$AB:$AB,"")="Y", SUMPRODUCT((INPUT_Doors!$A:$A=$B$4)*(INPUT_Doors!$B:$B=A112)*(INPUT_Doors!$D:$D)*(INPUT_Doors!$E:$E)), 0), 0))))))</f>
        <v/>
      </c>
      <c r="F112" s="6">
        <f>IF(A112="","", XLOOKUP(A112, INPUT_Rooms!$B:$B, INPUT_Rooms!$U:$U, ""))</f>
        <v/>
      </c>
      <c r="G112" s="6">
        <f>IF(A112="","", XLOOKUP(A112, INPUT_Rooms!$B:$B, INPUT_Rooms!$V:$V, ""))</f>
        <v/>
      </c>
      <c r="H112" s="6">
        <f>IF(A112="","", IF(XLOOKUP(A112, INPUT_Rooms!$B:$B, INPUT_Rooms!$W:$W, "")="", $B$5, XLOOKUP(A112, INPUT_Rooms!$B:$B, INPUT_Rooms!$W:$W, "")))</f>
        <v/>
      </c>
      <c r="I112" s="6">
        <f>IF(A112="","", IF(C112="Doors (leaf)", 0, E112*XLOOKUP(C112,Constants!$A$40:$A$200,Constants!$C$40:$C$200,0,0)*XLOOKUP(H112,Constants!$E$10:$E$30,Constants!$F$10:$F$30)))</f>
        <v/>
      </c>
      <c r="J112" s="6">
        <f>IF(A112="","", IF(C112="Doors (leaf)", 0, E112*XLOOKUP(C112,Constants!$A$40:$A$200,Constants!$D$40:$D$200,0,0)*G112))</f>
        <v/>
      </c>
      <c r="K112" s="6">
        <f>IF(A112="","", IF(C112="Doors (leaf)", 0, IF(F112="Full", E112*XLOOKUP(C112,Constants!$A$40:$A$200,Constants!$E$40:$E$200,0,0), IF(F112="Spot", E112*XLOOKUP(C112,Constants!$A$40:$A$200,Constants!$E$40:$E$200,0,0)*0.35, 0))))</f>
        <v/>
      </c>
      <c r="L112">
        <f>IF(A112="","",0)</f>
        <v/>
      </c>
      <c r="M112" s="6">
        <f>IF(A112="","", SUM(I112:K112))</f>
        <v/>
      </c>
      <c r="N112" s="6">
        <f>IF(A112="","", L112/60)</f>
        <v/>
      </c>
      <c r="O112" s="6">
        <f>IF(A112="","", N112*(IF(=IF('Job Control'!$B$3="","", XLOOKUP('Job Control'!$B$3, INPUT_JobSettings!$A:$A, INPUT_JobSettings!$F:$F, ""))&lt;&gt;"", =IF('Job Control'!$B$3="","", XLOOKUP('Job Control'!$B$3, INPUT_JobSettings!$A:$A, INPUT_JobSettings!$F:$F, "")), $B$6)))</f>
        <v/>
      </c>
      <c r="P112" s="6">
        <f>IF(A112="","", (O112+L112)*(IF(=IF('Job Control'!$B$3="","", XLOOKUP('Job Control'!$B$3, INPUT_JobSettings!$A:$A, INPUT_JobSettings!$G:$G, ""))&lt;&gt;"", =IF('Job Control'!$B$3="","", XLOOKUP('Job Control'!$B$3, INPUT_JobSettings!$A:$A, INPUT_JobSettings!$G:$G, "")), $B$7)))</f>
        <v/>
      </c>
    </row>
    <row r="113">
      <c r="A113" s="6">
        <f>IFERROR(INDEX(FILTER(INPUT_Rooms!$B$4:$B$83, INPUT_Rooms!$A$4:$A$83=$B$4, INPUT_Rooms!$T$4:$T$83="Y"), 21), "")</f>
        <v/>
      </c>
      <c r="B113" s="6">
        <f>IF(A113="","", XLOOKUP(A113, FILTER(INPUT_Rooms!$B$4:$B$83, INPUT_Rooms!$A$4:$A$83=$B$4), FILTER(INPUT_Rooms!$C$4:$C$83, INPUT_Rooms!$A$4:$A$83=$B$4), ""))</f>
        <v/>
      </c>
      <c r="C113" s="6">
        <f>IF(A113="","", CHOOSE(3,"Baseboard","Crown","Window Casing","Door Casing","Doors (leaf)"))</f>
        <v/>
      </c>
      <c r="D113" s="6">
        <f>IF(A113="","", XLOOKUP(C113,Constants!$A$40:$A$200,Constants!$B$40:$B$200,"",0))</f>
        <v/>
      </c>
      <c r="E113" s="6">
        <f>IF(A113="","", IF(C113="Baseboard", IF(XLOOKUP(A113,INPUT_Rooms!$B:$B,INPUT_Rooms!$X:$X,"")="Y", XLOOKUP(A113,INPUT_Rooms!$B:$B,INPUT_Rooms!$AF:$AF,""), 0),IF(C113="Crown", IF(XLOOKUP(A113,INPUT_Rooms!$B:$B,INPUT_Rooms!$Y:$Y,"")="Y", XLOOKUP(A113,INPUT_Rooms!$B:$B,INPUT_Rooms!$AG:$AG,""), 0),IF(C113="Window Casing", IF(XLOOKUP(A113,INPUT_Rooms!$B:$B,INPUT_Rooms!$Z:$Z,"")="Y", SUMPRODUCT((INPUT_Openings!$A:$A=$B$4)*(INPUT_Openings!$B:$B=A113)*(INPUT_Openings!$D:$D)*XLOOKUP(INPUT_Openings!$C:$C,Constants!$A$30:$A$200,Constants!$E$30:$E$200,"",0)*(INPUT_Openings!$E:$E="Window")), 0),IF(C113="Door Casing", IF(XLOOKUP(A113,INPUT_Rooms!$B:$B,INPUT_Rooms!$AA:$AA,"")="Y", SUMPRODUCT((INPUT_Openings!$A:$A=$B$4)*(INPUT_Openings!$B:$B=A113)*(INPUT_Openings!$D:$D)*XLOOKUP(INPUT_Openings!$C:$C,Constants!$A$30:$A$200,Constants!$E$30:$E$200,"",0)*(INPUT_Openings!$E:$E="Door")), 0),IF(C113="Doors (leaf)", IF(XLOOKUP(A113,INPUT_Rooms!$B:$B,INPUT_Rooms!$AB:$AB,"")="Y", SUMPRODUCT((INPUT_Doors!$A:$A=$B$4)*(INPUT_Doors!$B:$B=A113)*(INPUT_Doors!$D:$D)*(INPUT_Doors!$E:$E)), 0), 0))))))</f>
        <v/>
      </c>
      <c r="F113" s="6">
        <f>IF(A113="","", XLOOKUP(A113, INPUT_Rooms!$B:$B, INPUT_Rooms!$U:$U, ""))</f>
        <v/>
      </c>
      <c r="G113" s="6">
        <f>IF(A113="","", XLOOKUP(A113, INPUT_Rooms!$B:$B, INPUT_Rooms!$V:$V, ""))</f>
        <v/>
      </c>
      <c r="H113" s="6">
        <f>IF(A113="","", IF(XLOOKUP(A113, INPUT_Rooms!$B:$B, INPUT_Rooms!$W:$W, "")="", $B$5, XLOOKUP(A113, INPUT_Rooms!$B:$B, INPUT_Rooms!$W:$W, "")))</f>
        <v/>
      </c>
      <c r="I113" s="6">
        <f>IF(A113="","", IF(C113="Doors (leaf)", 0, E113*XLOOKUP(C113,Constants!$A$40:$A$200,Constants!$C$40:$C$200,0,0)*XLOOKUP(H113,Constants!$E$10:$E$30,Constants!$F$10:$F$30)))</f>
        <v/>
      </c>
      <c r="J113" s="6">
        <f>IF(A113="","", IF(C113="Doors (leaf)", 0, E113*XLOOKUP(C113,Constants!$A$40:$A$200,Constants!$D$40:$D$200,0,0)*G113))</f>
        <v/>
      </c>
      <c r="K113" s="6">
        <f>IF(A113="","", IF(C113="Doors (leaf)", 0, IF(F113="Full", E113*XLOOKUP(C113,Constants!$A$40:$A$200,Constants!$E$40:$E$200,0,0), IF(F113="Spot", E113*XLOOKUP(C113,Constants!$A$40:$A$200,Constants!$E$40:$E$200,0,0)*0.35, 0))))</f>
        <v/>
      </c>
      <c r="L113">
        <f>IF(A113="","",0)</f>
        <v/>
      </c>
      <c r="M113" s="6">
        <f>IF(A113="","", SUM(I113:K113))</f>
        <v/>
      </c>
      <c r="N113" s="6">
        <f>IF(A113="","", L113/60)</f>
        <v/>
      </c>
      <c r="O113" s="6">
        <f>IF(A113="","", N113*(IF(=IF('Job Control'!$B$3="","", XLOOKUP('Job Control'!$B$3, INPUT_JobSettings!$A:$A, INPUT_JobSettings!$F:$F, ""))&lt;&gt;"", =IF('Job Control'!$B$3="","", XLOOKUP('Job Control'!$B$3, INPUT_JobSettings!$A:$A, INPUT_JobSettings!$F:$F, "")), $B$6)))</f>
        <v/>
      </c>
      <c r="P113" s="6">
        <f>IF(A113="","", (O113+L113)*(IF(=IF('Job Control'!$B$3="","", XLOOKUP('Job Control'!$B$3, INPUT_JobSettings!$A:$A, INPUT_JobSettings!$G:$G, ""))&lt;&gt;"", =IF('Job Control'!$B$3="","", XLOOKUP('Job Control'!$B$3, INPUT_JobSettings!$A:$A, INPUT_JobSettings!$G:$G, "")), $B$7)))</f>
        <v/>
      </c>
    </row>
    <row r="114">
      <c r="A114" s="6">
        <f>IFERROR(INDEX(FILTER(INPUT_Rooms!$B$4:$B$83, INPUT_Rooms!$A$4:$A$83=$B$4, INPUT_Rooms!$T$4:$T$83="Y"), 21), "")</f>
        <v/>
      </c>
      <c r="B114" s="6">
        <f>IF(A114="","", XLOOKUP(A114, FILTER(INPUT_Rooms!$B$4:$B$83, INPUT_Rooms!$A$4:$A$83=$B$4), FILTER(INPUT_Rooms!$C$4:$C$83, INPUT_Rooms!$A$4:$A$83=$B$4), ""))</f>
        <v/>
      </c>
      <c r="C114" s="6">
        <f>IF(A114="","", CHOOSE(4,"Baseboard","Crown","Window Casing","Door Casing","Doors (leaf)"))</f>
        <v/>
      </c>
      <c r="D114" s="6">
        <f>IF(A114="","", XLOOKUP(C114,Constants!$A$40:$A$200,Constants!$B$40:$B$200,"",0))</f>
        <v/>
      </c>
      <c r="E114" s="6">
        <f>IF(A114="","", IF(C114="Baseboard", IF(XLOOKUP(A114,INPUT_Rooms!$B:$B,INPUT_Rooms!$X:$X,"")="Y", XLOOKUP(A114,INPUT_Rooms!$B:$B,INPUT_Rooms!$AF:$AF,""), 0),IF(C114="Crown", IF(XLOOKUP(A114,INPUT_Rooms!$B:$B,INPUT_Rooms!$Y:$Y,"")="Y", XLOOKUP(A114,INPUT_Rooms!$B:$B,INPUT_Rooms!$AG:$AG,""), 0),IF(C114="Window Casing", IF(XLOOKUP(A114,INPUT_Rooms!$B:$B,INPUT_Rooms!$Z:$Z,"")="Y", SUMPRODUCT((INPUT_Openings!$A:$A=$B$4)*(INPUT_Openings!$B:$B=A114)*(INPUT_Openings!$D:$D)*XLOOKUP(INPUT_Openings!$C:$C,Constants!$A$30:$A$200,Constants!$E$30:$E$200,"",0)*(INPUT_Openings!$E:$E="Window")), 0),IF(C114="Door Casing", IF(XLOOKUP(A114,INPUT_Rooms!$B:$B,INPUT_Rooms!$AA:$AA,"")="Y", SUMPRODUCT((INPUT_Openings!$A:$A=$B$4)*(INPUT_Openings!$B:$B=A114)*(INPUT_Openings!$D:$D)*XLOOKUP(INPUT_Openings!$C:$C,Constants!$A$30:$A$200,Constants!$E$30:$E$200,"",0)*(INPUT_Openings!$E:$E="Door")), 0),IF(C114="Doors (leaf)", IF(XLOOKUP(A114,INPUT_Rooms!$B:$B,INPUT_Rooms!$AB:$AB,"")="Y", SUMPRODUCT((INPUT_Doors!$A:$A=$B$4)*(INPUT_Doors!$B:$B=A114)*(INPUT_Doors!$D:$D)*(INPUT_Doors!$E:$E)), 0), 0))))))</f>
        <v/>
      </c>
      <c r="F114" s="6">
        <f>IF(A114="","", XLOOKUP(A114, INPUT_Rooms!$B:$B, INPUT_Rooms!$U:$U, ""))</f>
        <v/>
      </c>
      <c r="G114" s="6">
        <f>IF(A114="","", XLOOKUP(A114, INPUT_Rooms!$B:$B, INPUT_Rooms!$V:$V, ""))</f>
        <v/>
      </c>
      <c r="H114" s="6">
        <f>IF(A114="","", IF(XLOOKUP(A114, INPUT_Rooms!$B:$B, INPUT_Rooms!$W:$W, "")="", $B$5, XLOOKUP(A114, INPUT_Rooms!$B:$B, INPUT_Rooms!$W:$W, "")))</f>
        <v/>
      </c>
      <c r="I114" s="6">
        <f>IF(A114="","", IF(C114="Doors (leaf)", 0, E114*XLOOKUP(C114,Constants!$A$40:$A$200,Constants!$C$40:$C$200,0,0)*XLOOKUP(H114,Constants!$E$10:$E$30,Constants!$F$10:$F$30)))</f>
        <v/>
      </c>
      <c r="J114" s="6">
        <f>IF(A114="","", IF(C114="Doors (leaf)", 0, E114*XLOOKUP(C114,Constants!$A$40:$A$200,Constants!$D$40:$D$200,0,0)*G114))</f>
        <v/>
      </c>
      <c r="K114" s="6">
        <f>IF(A114="","", IF(C114="Doors (leaf)", 0, IF(F114="Full", E114*XLOOKUP(C114,Constants!$A$40:$A$200,Constants!$E$40:$E$200,0,0), IF(F114="Spot", E114*XLOOKUP(C114,Constants!$A$40:$A$200,Constants!$E$40:$E$200,0,0)*0.35, 0))))</f>
        <v/>
      </c>
      <c r="L114">
        <f>IF(A114="","",0)</f>
        <v/>
      </c>
      <c r="M114" s="6">
        <f>IF(A114="","", SUM(I114:K114))</f>
        <v/>
      </c>
      <c r="N114" s="6">
        <f>IF(A114="","", L114/60)</f>
        <v/>
      </c>
      <c r="O114" s="6">
        <f>IF(A114="","", N114*(IF(=IF('Job Control'!$B$3="","", XLOOKUP('Job Control'!$B$3, INPUT_JobSettings!$A:$A, INPUT_JobSettings!$F:$F, ""))&lt;&gt;"", =IF('Job Control'!$B$3="","", XLOOKUP('Job Control'!$B$3, INPUT_JobSettings!$A:$A, INPUT_JobSettings!$F:$F, "")), $B$6)))</f>
        <v/>
      </c>
      <c r="P114" s="6">
        <f>IF(A114="","", (O114+L114)*(IF(=IF('Job Control'!$B$3="","", XLOOKUP('Job Control'!$B$3, INPUT_JobSettings!$A:$A, INPUT_JobSettings!$G:$G, ""))&lt;&gt;"", =IF('Job Control'!$B$3="","", XLOOKUP('Job Control'!$B$3, INPUT_JobSettings!$A:$A, INPUT_JobSettings!$G:$G, "")), $B$7)))</f>
        <v/>
      </c>
    </row>
    <row r="115">
      <c r="A115" s="6">
        <f>IFERROR(INDEX(FILTER(INPUT_Rooms!$B$4:$B$83, INPUT_Rooms!$A$4:$A$83=$B$4, INPUT_Rooms!$T$4:$T$83="Y"), 21), "")</f>
        <v/>
      </c>
      <c r="B115" s="6">
        <f>IF(A115="","", XLOOKUP(A115, FILTER(INPUT_Rooms!$B$4:$B$83, INPUT_Rooms!$A$4:$A$83=$B$4), FILTER(INPUT_Rooms!$C$4:$C$83, INPUT_Rooms!$A$4:$A$83=$B$4), ""))</f>
        <v/>
      </c>
      <c r="C115" s="6">
        <f>IF(A115="","", CHOOSE(5,"Baseboard","Crown","Window Casing","Door Casing","Doors (leaf)"))</f>
        <v/>
      </c>
      <c r="D115" s="6">
        <f>IF(A115="","", XLOOKUP(C115,Constants!$A$40:$A$200,Constants!$B$40:$B$200,"",0))</f>
        <v/>
      </c>
      <c r="E115" s="6">
        <f>IF(A115="","", IF(C115="Baseboard", IF(XLOOKUP(A115,INPUT_Rooms!$B:$B,INPUT_Rooms!$X:$X,"")="Y", XLOOKUP(A115,INPUT_Rooms!$B:$B,INPUT_Rooms!$AF:$AF,""), 0),IF(C115="Crown", IF(XLOOKUP(A115,INPUT_Rooms!$B:$B,INPUT_Rooms!$Y:$Y,"")="Y", XLOOKUP(A115,INPUT_Rooms!$B:$B,INPUT_Rooms!$AG:$AG,""), 0),IF(C115="Window Casing", IF(XLOOKUP(A115,INPUT_Rooms!$B:$B,INPUT_Rooms!$Z:$Z,"")="Y", SUMPRODUCT((INPUT_Openings!$A:$A=$B$4)*(INPUT_Openings!$B:$B=A115)*(INPUT_Openings!$D:$D)*XLOOKUP(INPUT_Openings!$C:$C,Constants!$A$30:$A$200,Constants!$E$30:$E$200,"",0)*(INPUT_Openings!$E:$E="Window")), 0),IF(C115="Door Casing", IF(XLOOKUP(A115,INPUT_Rooms!$B:$B,INPUT_Rooms!$AA:$AA,"")="Y", SUMPRODUCT((INPUT_Openings!$A:$A=$B$4)*(INPUT_Openings!$B:$B=A115)*(INPUT_Openings!$D:$D)*XLOOKUP(INPUT_Openings!$C:$C,Constants!$A$30:$A$200,Constants!$E$30:$E$200,"",0)*(INPUT_Openings!$E:$E="Door")), 0),IF(C115="Doors (leaf)", IF(XLOOKUP(A115,INPUT_Rooms!$B:$B,INPUT_Rooms!$AB:$AB,"")="Y", SUMPRODUCT((INPUT_Doors!$A:$A=$B$4)*(INPUT_Doors!$B:$B=A115)*(INPUT_Doors!$D:$D)*(INPUT_Doors!$E:$E)), 0), 0))))))</f>
        <v/>
      </c>
      <c r="F115" s="6">
        <f>IF(A115="","", XLOOKUP(A115, INPUT_Rooms!$B:$B, INPUT_Rooms!$U:$U, ""))</f>
        <v/>
      </c>
      <c r="G115" s="6">
        <f>IF(A115="","", XLOOKUP(A115, INPUT_Rooms!$B:$B, INPUT_Rooms!$V:$V, ""))</f>
        <v/>
      </c>
      <c r="H115" s="6">
        <f>IF(A115="","", IF(XLOOKUP(A115, INPUT_Rooms!$B:$B, INPUT_Rooms!$W:$W, "")="", $B$5, XLOOKUP(A115, INPUT_Rooms!$B:$B, INPUT_Rooms!$W:$W, "")))</f>
        <v/>
      </c>
      <c r="I115" s="6">
        <f>IF(A115="","", IF(C115="Doors (leaf)", 0, E115*XLOOKUP(C115,Constants!$A$40:$A$200,Constants!$C$40:$C$200,0,0)*XLOOKUP(H115,Constants!$E$10:$E$30,Constants!$F$10:$F$30)))</f>
        <v/>
      </c>
      <c r="J115" s="6">
        <f>IF(A115="","", IF(C115="Doors (leaf)", 0, E115*XLOOKUP(C115,Constants!$A$40:$A$200,Constants!$D$40:$D$200,0,0)*G115))</f>
        <v/>
      </c>
      <c r="K115" s="6">
        <f>IF(A115="","", IF(C115="Doors (leaf)", 0, IF(F115="Full", E115*XLOOKUP(C115,Constants!$A$40:$A$200,Constants!$E$40:$E$200,0,0), IF(F115="Spot", E115*XLOOKUP(C115,Constants!$A$40:$A$200,Constants!$E$40:$E$200,0,0)*0.35, 0))))</f>
        <v/>
      </c>
      <c r="L115">
        <f>IF(A115="","",0)</f>
        <v/>
      </c>
      <c r="M115" s="6">
        <f>IF(A115="","", SUM(I115:K115))</f>
        <v/>
      </c>
      <c r="N115" s="6">
        <f>IF(A115="","", L115/60)</f>
        <v/>
      </c>
      <c r="O115" s="6">
        <f>IF(A115="","", N115*(IF(=IF('Job Control'!$B$3="","", XLOOKUP('Job Control'!$B$3, INPUT_JobSettings!$A:$A, INPUT_JobSettings!$F:$F, ""))&lt;&gt;"", =IF('Job Control'!$B$3="","", XLOOKUP('Job Control'!$B$3, INPUT_JobSettings!$A:$A, INPUT_JobSettings!$F:$F, "")), $B$6)))</f>
        <v/>
      </c>
      <c r="P115" s="6">
        <f>IF(A115="","", (O115+L115)*(IF(=IF('Job Control'!$B$3="","", XLOOKUP('Job Control'!$B$3, INPUT_JobSettings!$A:$A, INPUT_JobSettings!$G:$G, ""))&lt;&gt;"", =IF('Job Control'!$B$3="","", XLOOKUP('Job Control'!$B$3, INPUT_JobSettings!$A:$A, INPUT_JobSettings!$G:$G, "")), $B$7)))</f>
        <v/>
      </c>
    </row>
    <row r="116">
      <c r="A116" s="6">
        <f>IFERROR(INDEX(FILTER(INPUT_Rooms!$B$4:$B$83, INPUT_Rooms!$A$4:$A$83=$B$4, INPUT_Rooms!$T$4:$T$83="Y"), 22), "")</f>
        <v/>
      </c>
      <c r="B116" s="6">
        <f>IF(A116="","", XLOOKUP(A116, FILTER(INPUT_Rooms!$B$4:$B$83, INPUT_Rooms!$A$4:$A$83=$B$4), FILTER(INPUT_Rooms!$C$4:$C$83, INPUT_Rooms!$A$4:$A$83=$B$4), ""))</f>
        <v/>
      </c>
      <c r="C116" s="6">
        <f>IF(A116="","", CHOOSE(1,"Baseboard","Crown","Window Casing","Door Casing","Doors (leaf)"))</f>
        <v/>
      </c>
      <c r="D116" s="6">
        <f>IF(A116="","", XLOOKUP(C116,Constants!$A$40:$A$200,Constants!$B$40:$B$200,"",0))</f>
        <v/>
      </c>
      <c r="E116" s="6">
        <f>IF(A116="","", IF(C116="Baseboard", IF(XLOOKUP(A116,INPUT_Rooms!$B:$B,INPUT_Rooms!$X:$X,"")="Y", XLOOKUP(A116,INPUT_Rooms!$B:$B,INPUT_Rooms!$AF:$AF,""), 0),IF(C116="Crown", IF(XLOOKUP(A116,INPUT_Rooms!$B:$B,INPUT_Rooms!$Y:$Y,"")="Y", XLOOKUP(A116,INPUT_Rooms!$B:$B,INPUT_Rooms!$AG:$AG,""), 0),IF(C116="Window Casing", IF(XLOOKUP(A116,INPUT_Rooms!$B:$B,INPUT_Rooms!$Z:$Z,"")="Y", SUMPRODUCT((INPUT_Openings!$A:$A=$B$4)*(INPUT_Openings!$B:$B=A116)*(INPUT_Openings!$D:$D)*XLOOKUP(INPUT_Openings!$C:$C,Constants!$A$30:$A$200,Constants!$E$30:$E$200,"",0)*(INPUT_Openings!$E:$E="Window")), 0),IF(C116="Door Casing", IF(XLOOKUP(A116,INPUT_Rooms!$B:$B,INPUT_Rooms!$AA:$AA,"")="Y", SUMPRODUCT((INPUT_Openings!$A:$A=$B$4)*(INPUT_Openings!$B:$B=A116)*(INPUT_Openings!$D:$D)*XLOOKUP(INPUT_Openings!$C:$C,Constants!$A$30:$A$200,Constants!$E$30:$E$200,"",0)*(INPUT_Openings!$E:$E="Door")), 0),IF(C116="Doors (leaf)", IF(XLOOKUP(A116,INPUT_Rooms!$B:$B,INPUT_Rooms!$AB:$AB,"")="Y", SUMPRODUCT((INPUT_Doors!$A:$A=$B$4)*(INPUT_Doors!$B:$B=A116)*(INPUT_Doors!$D:$D)*(INPUT_Doors!$E:$E)), 0), 0))))))</f>
        <v/>
      </c>
      <c r="F116" s="6">
        <f>IF(A116="","", XLOOKUP(A116, INPUT_Rooms!$B:$B, INPUT_Rooms!$U:$U, ""))</f>
        <v/>
      </c>
      <c r="G116" s="6">
        <f>IF(A116="","", XLOOKUP(A116, INPUT_Rooms!$B:$B, INPUT_Rooms!$V:$V, ""))</f>
        <v/>
      </c>
      <c r="H116" s="6">
        <f>IF(A116="","", IF(XLOOKUP(A116, INPUT_Rooms!$B:$B, INPUT_Rooms!$W:$W, "")="", $B$5, XLOOKUP(A116, INPUT_Rooms!$B:$B, INPUT_Rooms!$W:$W, "")))</f>
        <v/>
      </c>
      <c r="I116" s="6">
        <f>IF(A116="","", IF(C116="Doors (leaf)", 0, E116*XLOOKUP(C116,Constants!$A$40:$A$200,Constants!$C$40:$C$200,0,0)*XLOOKUP(H116,Constants!$E$10:$E$30,Constants!$F$10:$F$30)))</f>
        <v/>
      </c>
      <c r="J116" s="6">
        <f>IF(A116="","", IF(C116="Doors (leaf)", 0, E116*XLOOKUP(C116,Constants!$A$40:$A$200,Constants!$D$40:$D$200,0,0)*G116))</f>
        <v/>
      </c>
      <c r="K116" s="6">
        <f>IF(A116="","", IF(C116="Doors (leaf)", 0, IF(F116="Full", E116*XLOOKUP(C116,Constants!$A$40:$A$200,Constants!$E$40:$E$200,0,0), IF(F116="Spot", E116*XLOOKUP(C116,Constants!$A$40:$A$200,Constants!$E$40:$E$200,0,0)*0.35, 0))))</f>
        <v/>
      </c>
      <c r="L116">
        <f>IF(A116="","",0)</f>
        <v/>
      </c>
      <c r="M116" s="6">
        <f>IF(A116="","", SUM(I116:K116))</f>
        <v/>
      </c>
      <c r="N116" s="6">
        <f>IF(A116="","", L116/60)</f>
        <v/>
      </c>
      <c r="O116" s="6">
        <f>IF(A116="","", N116*(IF(=IF('Job Control'!$B$3="","", XLOOKUP('Job Control'!$B$3, INPUT_JobSettings!$A:$A, INPUT_JobSettings!$F:$F, ""))&lt;&gt;"", =IF('Job Control'!$B$3="","", XLOOKUP('Job Control'!$B$3, INPUT_JobSettings!$A:$A, INPUT_JobSettings!$F:$F, "")), $B$6)))</f>
        <v/>
      </c>
      <c r="P116" s="6">
        <f>IF(A116="","", (O116+L116)*(IF(=IF('Job Control'!$B$3="","", XLOOKUP('Job Control'!$B$3, INPUT_JobSettings!$A:$A, INPUT_JobSettings!$G:$G, ""))&lt;&gt;"", =IF('Job Control'!$B$3="","", XLOOKUP('Job Control'!$B$3, INPUT_JobSettings!$A:$A, INPUT_JobSettings!$G:$G, "")), $B$7)))</f>
        <v/>
      </c>
    </row>
    <row r="117">
      <c r="A117" s="6">
        <f>IFERROR(INDEX(FILTER(INPUT_Rooms!$B$4:$B$83, INPUT_Rooms!$A$4:$A$83=$B$4, INPUT_Rooms!$T$4:$T$83="Y"), 22), "")</f>
        <v/>
      </c>
      <c r="B117" s="6">
        <f>IF(A117="","", XLOOKUP(A117, FILTER(INPUT_Rooms!$B$4:$B$83, INPUT_Rooms!$A$4:$A$83=$B$4), FILTER(INPUT_Rooms!$C$4:$C$83, INPUT_Rooms!$A$4:$A$83=$B$4), ""))</f>
        <v/>
      </c>
      <c r="C117" s="6">
        <f>IF(A117="","", CHOOSE(2,"Baseboard","Crown","Window Casing","Door Casing","Doors (leaf)"))</f>
        <v/>
      </c>
      <c r="D117" s="6">
        <f>IF(A117="","", XLOOKUP(C117,Constants!$A$40:$A$200,Constants!$B$40:$B$200,"",0))</f>
        <v/>
      </c>
      <c r="E117" s="6">
        <f>IF(A117="","", IF(C117="Baseboard", IF(XLOOKUP(A117,INPUT_Rooms!$B:$B,INPUT_Rooms!$X:$X,"")="Y", XLOOKUP(A117,INPUT_Rooms!$B:$B,INPUT_Rooms!$AF:$AF,""), 0),IF(C117="Crown", IF(XLOOKUP(A117,INPUT_Rooms!$B:$B,INPUT_Rooms!$Y:$Y,"")="Y", XLOOKUP(A117,INPUT_Rooms!$B:$B,INPUT_Rooms!$AG:$AG,""), 0),IF(C117="Window Casing", IF(XLOOKUP(A117,INPUT_Rooms!$B:$B,INPUT_Rooms!$Z:$Z,"")="Y", SUMPRODUCT((INPUT_Openings!$A:$A=$B$4)*(INPUT_Openings!$B:$B=A117)*(INPUT_Openings!$D:$D)*XLOOKUP(INPUT_Openings!$C:$C,Constants!$A$30:$A$200,Constants!$E$30:$E$200,"",0)*(INPUT_Openings!$E:$E="Window")), 0),IF(C117="Door Casing", IF(XLOOKUP(A117,INPUT_Rooms!$B:$B,INPUT_Rooms!$AA:$AA,"")="Y", SUMPRODUCT((INPUT_Openings!$A:$A=$B$4)*(INPUT_Openings!$B:$B=A117)*(INPUT_Openings!$D:$D)*XLOOKUP(INPUT_Openings!$C:$C,Constants!$A$30:$A$200,Constants!$E$30:$E$200,"",0)*(INPUT_Openings!$E:$E="Door")), 0),IF(C117="Doors (leaf)", IF(XLOOKUP(A117,INPUT_Rooms!$B:$B,INPUT_Rooms!$AB:$AB,"")="Y", SUMPRODUCT((INPUT_Doors!$A:$A=$B$4)*(INPUT_Doors!$B:$B=A117)*(INPUT_Doors!$D:$D)*(INPUT_Doors!$E:$E)), 0), 0))))))</f>
        <v/>
      </c>
      <c r="F117" s="6">
        <f>IF(A117="","", XLOOKUP(A117, INPUT_Rooms!$B:$B, INPUT_Rooms!$U:$U, ""))</f>
        <v/>
      </c>
      <c r="G117" s="6">
        <f>IF(A117="","", XLOOKUP(A117, INPUT_Rooms!$B:$B, INPUT_Rooms!$V:$V, ""))</f>
        <v/>
      </c>
      <c r="H117" s="6">
        <f>IF(A117="","", IF(XLOOKUP(A117, INPUT_Rooms!$B:$B, INPUT_Rooms!$W:$W, "")="", $B$5, XLOOKUP(A117, INPUT_Rooms!$B:$B, INPUT_Rooms!$W:$W, "")))</f>
        <v/>
      </c>
      <c r="I117" s="6">
        <f>IF(A117="","", IF(C117="Doors (leaf)", 0, E117*XLOOKUP(C117,Constants!$A$40:$A$200,Constants!$C$40:$C$200,0,0)*XLOOKUP(H117,Constants!$E$10:$E$30,Constants!$F$10:$F$30)))</f>
        <v/>
      </c>
      <c r="J117" s="6">
        <f>IF(A117="","", IF(C117="Doors (leaf)", 0, E117*XLOOKUP(C117,Constants!$A$40:$A$200,Constants!$D$40:$D$200,0,0)*G117))</f>
        <v/>
      </c>
      <c r="K117" s="6">
        <f>IF(A117="","", IF(C117="Doors (leaf)", 0, IF(F117="Full", E117*XLOOKUP(C117,Constants!$A$40:$A$200,Constants!$E$40:$E$200,0,0), IF(F117="Spot", E117*XLOOKUP(C117,Constants!$A$40:$A$200,Constants!$E$40:$E$200,0,0)*0.35, 0))))</f>
        <v/>
      </c>
      <c r="L117">
        <f>IF(A117="","",0)</f>
        <v/>
      </c>
      <c r="M117" s="6">
        <f>IF(A117="","", SUM(I117:K117))</f>
        <v/>
      </c>
      <c r="N117" s="6">
        <f>IF(A117="","", L117/60)</f>
        <v/>
      </c>
      <c r="O117" s="6">
        <f>IF(A117="","", N117*(IF(=IF('Job Control'!$B$3="","", XLOOKUP('Job Control'!$B$3, INPUT_JobSettings!$A:$A, INPUT_JobSettings!$F:$F, ""))&lt;&gt;"", =IF('Job Control'!$B$3="","", XLOOKUP('Job Control'!$B$3, INPUT_JobSettings!$A:$A, INPUT_JobSettings!$F:$F, "")), $B$6)))</f>
        <v/>
      </c>
      <c r="P117" s="6">
        <f>IF(A117="","", (O117+L117)*(IF(=IF('Job Control'!$B$3="","", XLOOKUP('Job Control'!$B$3, INPUT_JobSettings!$A:$A, INPUT_JobSettings!$G:$G, ""))&lt;&gt;"", =IF('Job Control'!$B$3="","", XLOOKUP('Job Control'!$B$3, INPUT_JobSettings!$A:$A, INPUT_JobSettings!$G:$G, "")), $B$7)))</f>
        <v/>
      </c>
    </row>
    <row r="118">
      <c r="A118" s="6">
        <f>IFERROR(INDEX(FILTER(INPUT_Rooms!$B$4:$B$83, INPUT_Rooms!$A$4:$A$83=$B$4, INPUT_Rooms!$T$4:$T$83="Y"), 22), "")</f>
        <v/>
      </c>
      <c r="B118" s="6">
        <f>IF(A118="","", XLOOKUP(A118, FILTER(INPUT_Rooms!$B$4:$B$83, INPUT_Rooms!$A$4:$A$83=$B$4), FILTER(INPUT_Rooms!$C$4:$C$83, INPUT_Rooms!$A$4:$A$83=$B$4), ""))</f>
        <v/>
      </c>
      <c r="C118" s="6">
        <f>IF(A118="","", CHOOSE(3,"Baseboard","Crown","Window Casing","Door Casing","Doors (leaf)"))</f>
        <v/>
      </c>
      <c r="D118" s="6">
        <f>IF(A118="","", XLOOKUP(C118,Constants!$A$40:$A$200,Constants!$B$40:$B$200,"",0))</f>
        <v/>
      </c>
      <c r="E118" s="6">
        <f>IF(A118="","", IF(C118="Baseboard", IF(XLOOKUP(A118,INPUT_Rooms!$B:$B,INPUT_Rooms!$X:$X,"")="Y", XLOOKUP(A118,INPUT_Rooms!$B:$B,INPUT_Rooms!$AF:$AF,""), 0),IF(C118="Crown", IF(XLOOKUP(A118,INPUT_Rooms!$B:$B,INPUT_Rooms!$Y:$Y,"")="Y", XLOOKUP(A118,INPUT_Rooms!$B:$B,INPUT_Rooms!$AG:$AG,""), 0),IF(C118="Window Casing", IF(XLOOKUP(A118,INPUT_Rooms!$B:$B,INPUT_Rooms!$Z:$Z,"")="Y", SUMPRODUCT((INPUT_Openings!$A:$A=$B$4)*(INPUT_Openings!$B:$B=A118)*(INPUT_Openings!$D:$D)*XLOOKUP(INPUT_Openings!$C:$C,Constants!$A$30:$A$200,Constants!$E$30:$E$200,"",0)*(INPUT_Openings!$E:$E="Window")), 0),IF(C118="Door Casing", IF(XLOOKUP(A118,INPUT_Rooms!$B:$B,INPUT_Rooms!$AA:$AA,"")="Y", SUMPRODUCT((INPUT_Openings!$A:$A=$B$4)*(INPUT_Openings!$B:$B=A118)*(INPUT_Openings!$D:$D)*XLOOKUP(INPUT_Openings!$C:$C,Constants!$A$30:$A$200,Constants!$E$30:$E$200,"",0)*(INPUT_Openings!$E:$E="Door")), 0),IF(C118="Doors (leaf)", IF(XLOOKUP(A118,INPUT_Rooms!$B:$B,INPUT_Rooms!$AB:$AB,"")="Y", SUMPRODUCT((INPUT_Doors!$A:$A=$B$4)*(INPUT_Doors!$B:$B=A118)*(INPUT_Doors!$D:$D)*(INPUT_Doors!$E:$E)), 0), 0))))))</f>
        <v/>
      </c>
      <c r="F118" s="6">
        <f>IF(A118="","", XLOOKUP(A118, INPUT_Rooms!$B:$B, INPUT_Rooms!$U:$U, ""))</f>
        <v/>
      </c>
      <c r="G118" s="6">
        <f>IF(A118="","", XLOOKUP(A118, INPUT_Rooms!$B:$B, INPUT_Rooms!$V:$V, ""))</f>
        <v/>
      </c>
      <c r="H118" s="6">
        <f>IF(A118="","", IF(XLOOKUP(A118, INPUT_Rooms!$B:$B, INPUT_Rooms!$W:$W, "")="", $B$5, XLOOKUP(A118, INPUT_Rooms!$B:$B, INPUT_Rooms!$W:$W, "")))</f>
        <v/>
      </c>
      <c r="I118" s="6">
        <f>IF(A118="","", IF(C118="Doors (leaf)", 0, E118*XLOOKUP(C118,Constants!$A$40:$A$200,Constants!$C$40:$C$200,0,0)*XLOOKUP(H118,Constants!$E$10:$E$30,Constants!$F$10:$F$30)))</f>
        <v/>
      </c>
      <c r="J118" s="6">
        <f>IF(A118="","", IF(C118="Doors (leaf)", 0, E118*XLOOKUP(C118,Constants!$A$40:$A$200,Constants!$D$40:$D$200,0,0)*G118))</f>
        <v/>
      </c>
      <c r="K118" s="6">
        <f>IF(A118="","", IF(C118="Doors (leaf)", 0, IF(F118="Full", E118*XLOOKUP(C118,Constants!$A$40:$A$200,Constants!$E$40:$E$200,0,0), IF(F118="Spot", E118*XLOOKUP(C118,Constants!$A$40:$A$200,Constants!$E$40:$E$200,0,0)*0.35, 0))))</f>
        <v/>
      </c>
      <c r="L118">
        <f>IF(A118="","",0)</f>
        <v/>
      </c>
      <c r="M118" s="6">
        <f>IF(A118="","", SUM(I118:K118))</f>
        <v/>
      </c>
      <c r="N118" s="6">
        <f>IF(A118="","", L118/60)</f>
        <v/>
      </c>
      <c r="O118" s="6">
        <f>IF(A118="","", N118*(IF(=IF('Job Control'!$B$3="","", XLOOKUP('Job Control'!$B$3, INPUT_JobSettings!$A:$A, INPUT_JobSettings!$F:$F, ""))&lt;&gt;"", =IF('Job Control'!$B$3="","", XLOOKUP('Job Control'!$B$3, INPUT_JobSettings!$A:$A, INPUT_JobSettings!$F:$F, "")), $B$6)))</f>
        <v/>
      </c>
      <c r="P118" s="6">
        <f>IF(A118="","", (O118+L118)*(IF(=IF('Job Control'!$B$3="","", XLOOKUP('Job Control'!$B$3, INPUT_JobSettings!$A:$A, INPUT_JobSettings!$G:$G, ""))&lt;&gt;"", =IF('Job Control'!$B$3="","", XLOOKUP('Job Control'!$B$3, INPUT_JobSettings!$A:$A, INPUT_JobSettings!$G:$G, "")), $B$7)))</f>
        <v/>
      </c>
    </row>
    <row r="119">
      <c r="A119" s="6">
        <f>IFERROR(INDEX(FILTER(INPUT_Rooms!$B$4:$B$83, INPUT_Rooms!$A$4:$A$83=$B$4, INPUT_Rooms!$T$4:$T$83="Y"), 22), "")</f>
        <v/>
      </c>
      <c r="B119" s="6">
        <f>IF(A119="","", XLOOKUP(A119, FILTER(INPUT_Rooms!$B$4:$B$83, INPUT_Rooms!$A$4:$A$83=$B$4), FILTER(INPUT_Rooms!$C$4:$C$83, INPUT_Rooms!$A$4:$A$83=$B$4), ""))</f>
        <v/>
      </c>
      <c r="C119" s="6">
        <f>IF(A119="","", CHOOSE(4,"Baseboard","Crown","Window Casing","Door Casing","Doors (leaf)"))</f>
        <v/>
      </c>
      <c r="D119" s="6">
        <f>IF(A119="","", XLOOKUP(C119,Constants!$A$40:$A$200,Constants!$B$40:$B$200,"",0))</f>
        <v/>
      </c>
      <c r="E119" s="6">
        <f>IF(A119="","", IF(C119="Baseboard", IF(XLOOKUP(A119,INPUT_Rooms!$B:$B,INPUT_Rooms!$X:$X,"")="Y", XLOOKUP(A119,INPUT_Rooms!$B:$B,INPUT_Rooms!$AF:$AF,""), 0),IF(C119="Crown", IF(XLOOKUP(A119,INPUT_Rooms!$B:$B,INPUT_Rooms!$Y:$Y,"")="Y", XLOOKUP(A119,INPUT_Rooms!$B:$B,INPUT_Rooms!$AG:$AG,""), 0),IF(C119="Window Casing", IF(XLOOKUP(A119,INPUT_Rooms!$B:$B,INPUT_Rooms!$Z:$Z,"")="Y", SUMPRODUCT((INPUT_Openings!$A:$A=$B$4)*(INPUT_Openings!$B:$B=A119)*(INPUT_Openings!$D:$D)*XLOOKUP(INPUT_Openings!$C:$C,Constants!$A$30:$A$200,Constants!$E$30:$E$200,"",0)*(INPUT_Openings!$E:$E="Window")), 0),IF(C119="Door Casing", IF(XLOOKUP(A119,INPUT_Rooms!$B:$B,INPUT_Rooms!$AA:$AA,"")="Y", SUMPRODUCT((INPUT_Openings!$A:$A=$B$4)*(INPUT_Openings!$B:$B=A119)*(INPUT_Openings!$D:$D)*XLOOKUP(INPUT_Openings!$C:$C,Constants!$A$30:$A$200,Constants!$E$30:$E$200,"",0)*(INPUT_Openings!$E:$E="Door")), 0),IF(C119="Doors (leaf)", IF(XLOOKUP(A119,INPUT_Rooms!$B:$B,INPUT_Rooms!$AB:$AB,"")="Y", SUMPRODUCT((INPUT_Doors!$A:$A=$B$4)*(INPUT_Doors!$B:$B=A119)*(INPUT_Doors!$D:$D)*(INPUT_Doors!$E:$E)), 0), 0))))))</f>
        <v/>
      </c>
      <c r="F119" s="6">
        <f>IF(A119="","", XLOOKUP(A119, INPUT_Rooms!$B:$B, INPUT_Rooms!$U:$U, ""))</f>
        <v/>
      </c>
      <c r="G119" s="6">
        <f>IF(A119="","", XLOOKUP(A119, INPUT_Rooms!$B:$B, INPUT_Rooms!$V:$V, ""))</f>
        <v/>
      </c>
      <c r="H119" s="6">
        <f>IF(A119="","", IF(XLOOKUP(A119, INPUT_Rooms!$B:$B, INPUT_Rooms!$W:$W, "")="", $B$5, XLOOKUP(A119, INPUT_Rooms!$B:$B, INPUT_Rooms!$W:$W, "")))</f>
        <v/>
      </c>
      <c r="I119" s="6">
        <f>IF(A119="","", IF(C119="Doors (leaf)", 0, E119*XLOOKUP(C119,Constants!$A$40:$A$200,Constants!$C$40:$C$200,0,0)*XLOOKUP(H119,Constants!$E$10:$E$30,Constants!$F$10:$F$30)))</f>
        <v/>
      </c>
      <c r="J119" s="6">
        <f>IF(A119="","", IF(C119="Doors (leaf)", 0, E119*XLOOKUP(C119,Constants!$A$40:$A$200,Constants!$D$40:$D$200,0,0)*G119))</f>
        <v/>
      </c>
      <c r="K119" s="6">
        <f>IF(A119="","", IF(C119="Doors (leaf)", 0, IF(F119="Full", E119*XLOOKUP(C119,Constants!$A$40:$A$200,Constants!$E$40:$E$200,0,0), IF(F119="Spot", E119*XLOOKUP(C119,Constants!$A$40:$A$200,Constants!$E$40:$E$200,0,0)*0.35, 0))))</f>
        <v/>
      </c>
      <c r="L119">
        <f>IF(A119="","",0)</f>
        <v/>
      </c>
      <c r="M119" s="6">
        <f>IF(A119="","", SUM(I119:K119))</f>
        <v/>
      </c>
      <c r="N119" s="6">
        <f>IF(A119="","", L119/60)</f>
        <v/>
      </c>
      <c r="O119" s="6">
        <f>IF(A119="","", N119*(IF(=IF('Job Control'!$B$3="","", XLOOKUP('Job Control'!$B$3, INPUT_JobSettings!$A:$A, INPUT_JobSettings!$F:$F, ""))&lt;&gt;"", =IF('Job Control'!$B$3="","", XLOOKUP('Job Control'!$B$3, INPUT_JobSettings!$A:$A, INPUT_JobSettings!$F:$F, "")), $B$6)))</f>
        <v/>
      </c>
      <c r="P119" s="6">
        <f>IF(A119="","", (O119+L119)*(IF(=IF('Job Control'!$B$3="","", XLOOKUP('Job Control'!$B$3, INPUT_JobSettings!$A:$A, INPUT_JobSettings!$G:$G, ""))&lt;&gt;"", =IF('Job Control'!$B$3="","", XLOOKUP('Job Control'!$B$3, INPUT_JobSettings!$A:$A, INPUT_JobSettings!$G:$G, "")), $B$7)))</f>
        <v/>
      </c>
    </row>
    <row r="120">
      <c r="A120" s="6">
        <f>IFERROR(INDEX(FILTER(INPUT_Rooms!$B$4:$B$83, INPUT_Rooms!$A$4:$A$83=$B$4, INPUT_Rooms!$T$4:$T$83="Y"), 22), "")</f>
        <v/>
      </c>
      <c r="B120" s="6">
        <f>IF(A120="","", XLOOKUP(A120, FILTER(INPUT_Rooms!$B$4:$B$83, INPUT_Rooms!$A$4:$A$83=$B$4), FILTER(INPUT_Rooms!$C$4:$C$83, INPUT_Rooms!$A$4:$A$83=$B$4), ""))</f>
        <v/>
      </c>
      <c r="C120" s="6">
        <f>IF(A120="","", CHOOSE(5,"Baseboard","Crown","Window Casing","Door Casing","Doors (leaf)"))</f>
        <v/>
      </c>
      <c r="D120" s="6">
        <f>IF(A120="","", XLOOKUP(C120,Constants!$A$40:$A$200,Constants!$B$40:$B$200,"",0))</f>
        <v/>
      </c>
      <c r="E120" s="6">
        <f>IF(A120="","", IF(C120="Baseboard", IF(XLOOKUP(A120,INPUT_Rooms!$B:$B,INPUT_Rooms!$X:$X,"")="Y", XLOOKUP(A120,INPUT_Rooms!$B:$B,INPUT_Rooms!$AF:$AF,""), 0),IF(C120="Crown", IF(XLOOKUP(A120,INPUT_Rooms!$B:$B,INPUT_Rooms!$Y:$Y,"")="Y", XLOOKUP(A120,INPUT_Rooms!$B:$B,INPUT_Rooms!$AG:$AG,""), 0),IF(C120="Window Casing", IF(XLOOKUP(A120,INPUT_Rooms!$B:$B,INPUT_Rooms!$Z:$Z,"")="Y", SUMPRODUCT((INPUT_Openings!$A:$A=$B$4)*(INPUT_Openings!$B:$B=A120)*(INPUT_Openings!$D:$D)*XLOOKUP(INPUT_Openings!$C:$C,Constants!$A$30:$A$200,Constants!$E$30:$E$200,"",0)*(INPUT_Openings!$E:$E="Window")), 0),IF(C120="Door Casing", IF(XLOOKUP(A120,INPUT_Rooms!$B:$B,INPUT_Rooms!$AA:$AA,"")="Y", SUMPRODUCT((INPUT_Openings!$A:$A=$B$4)*(INPUT_Openings!$B:$B=A120)*(INPUT_Openings!$D:$D)*XLOOKUP(INPUT_Openings!$C:$C,Constants!$A$30:$A$200,Constants!$E$30:$E$200,"",0)*(INPUT_Openings!$E:$E="Door")), 0),IF(C120="Doors (leaf)", IF(XLOOKUP(A120,INPUT_Rooms!$B:$B,INPUT_Rooms!$AB:$AB,"")="Y", SUMPRODUCT((INPUT_Doors!$A:$A=$B$4)*(INPUT_Doors!$B:$B=A120)*(INPUT_Doors!$D:$D)*(INPUT_Doors!$E:$E)), 0), 0))))))</f>
        <v/>
      </c>
      <c r="F120" s="6">
        <f>IF(A120="","", XLOOKUP(A120, INPUT_Rooms!$B:$B, INPUT_Rooms!$U:$U, ""))</f>
        <v/>
      </c>
      <c r="G120" s="6">
        <f>IF(A120="","", XLOOKUP(A120, INPUT_Rooms!$B:$B, INPUT_Rooms!$V:$V, ""))</f>
        <v/>
      </c>
      <c r="H120" s="6">
        <f>IF(A120="","", IF(XLOOKUP(A120, INPUT_Rooms!$B:$B, INPUT_Rooms!$W:$W, "")="", $B$5, XLOOKUP(A120, INPUT_Rooms!$B:$B, INPUT_Rooms!$W:$W, "")))</f>
        <v/>
      </c>
      <c r="I120" s="6">
        <f>IF(A120="","", IF(C120="Doors (leaf)", 0, E120*XLOOKUP(C120,Constants!$A$40:$A$200,Constants!$C$40:$C$200,0,0)*XLOOKUP(H120,Constants!$E$10:$E$30,Constants!$F$10:$F$30)))</f>
        <v/>
      </c>
      <c r="J120" s="6">
        <f>IF(A120="","", IF(C120="Doors (leaf)", 0, E120*XLOOKUP(C120,Constants!$A$40:$A$200,Constants!$D$40:$D$200,0,0)*G120))</f>
        <v/>
      </c>
      <c r="K120" s="6">
        <f>IF(A120="","", IF(C120="Doors (leaf)", 0, IF(F120="Full", E120*XLOOKUP(C120,Constants!$A$40:$A$200,Constants!$E$40:$E$200,0,0), IF(F120="Spot", E120*XLOOKUP(C120,Constants!$A$40:$A$200,Constants!$E$40:$E$200,0,0)*0.35, 0))))</f>
        <v/>
      </c>
      <c r="L120">
        <f>IF(A120="","",0)</f>
        <v/>
      </c>
      <c r="M120" s="6">
        <f>IF(A120="","", SUM(I120:K120))</f>
        <v/>
      </c>
      <c r="N120" s="6">
        <f>IF(A120="","", L120/60)</f>
        <v/>
      </c>
      <c r="O120" s="6">
        <f>IF(A120="","", N120*(IF(=IF('Job Control'!$B$3="","", XLOOKUP('Job Control'!$B$3, INPUT_JobSettings!$A:$A, INPUT_JobSettings!$F:$F, ""))&lt;&gt;"", =IF('Job Control'!$B$3="","", XLOOKUP('Job Control'!$B$3, INPUT_JobSettings!$A:$A, INPUT_JobSettings!$F:$F, "")), $B$6)))</f>
        <v/>
      </c>
      <c r="P120" s="6">
        <f>IF(A120="","", (O120+L120)*(IF(=IF('Job Control'!$B$3="","", XLOOKUP('Job Control'!$B$3, INPUT_JobSettings!$A:$A, INPUT_JobSettings!$G:$G, ""))&lt;&gt;"", =IF('Job Control'!$B$3="","", XLOOKUP('Job Control'!$B$3, INPUT_JobSettings!$A:$A, INPUT_JobSettings!$G:$G, "")), $B$7)))</f>
        <v/>
      </c>
    </row>
    <row r="121">
      <c r="A121" s="6">
        <f>IFERROR(INDEX(FILTER(INPUT_Rooms!$B$4:$B$83, INPUT_Rooms!$A$4:$A$83=$B$4, INPUT_Rooms!$T$4:$T$83="Y"), 23), "")</f>
        <v/>
      </c>
      <c r="B121" s="6">
        <f>IF(A121="","", XLOOKUP(A121, FILTER(INPUT_Rooms!$B$4:$B$83, INPUT_Rooms!$A$4:$A$83=$B$4), FILTER(INPUT_Rooms!$C$4:$C$83, INPUT_Rooms!$A$4:$A$83=$B$4), ""))</f>
        <v/>
      </c>
      <c r="C121" s="6">
        <f>IF(A121="","", CHOOSE(1,"Baseboard","Crown","Window Casing","Door Casing","Doors (leaf)"))</f>
        <v/>
      </c>
      <c r="D121" s="6">
        <f>IF(A121="","", XLOOKUP(C121,Constants!$A$40:$A$200,Constants!$B$40:$B$200,"",0))</f>
        <v/>
      </c>
      <c r="E121" s="6">
        <f>IF(A121="","", IF(C121="Baseboard", IF(XLOOKUP(A121,INPUT_Rooms!$B:$B,INPUT_Rooms!$X:$X,"")="Y", XLOOKUP(A121,INPUT_Rooms!$B:$B,INPUT_Rooms!$AF:$AF,""), 0),IF(C121="Crown", IF(XLOOKUP(A121,INPUT_Rooms!$B:$B,INPUT_Rooms!$Y:$Y,"")="Y", XLOOKUP(A121,INPUT_Rooms!$B:$B,INPUT_Rooms!$AG:$AG,""), 0),IF(C121="Window Casing", IF(XLOOKUP(A121,INPUT_Rooms!$B:$B,INPUT_Rooms!$Z:$Z,"")="Y", SUMPRODUCT((INPUT_Openings!$A:$A=$B$4)*(INPUT_Openings!$B:$B=A121)*(INPUT_Openings!$D:$D)*XLOOKUP(INPUT_Openings!$C:$C,Constants!$A$30:$A$200,Constants!$E$30:$E$200,"",0)*(INPUT_Openings!$E:$E="Window")), 0),IF(C121="Door Casing", IF(XLOOKUP(A121,INPUT_Rooms!$B:$B,INPUT_Rooms!$AA:$AA,"")="Y", SUMPRODUCT((INPUT_Openings!$A:$A=$B$4)*(INPUT_Openings!$B:$B=A121)*(INPUT_Openings!$D:$D)*XLOOKUP(INPUT_Openings!$C:$C,Constants!$A$30:$A$200,Constants!$E$30:$E$200,"",0)*(INPUT_Openings!$E:$E="Door")), 0),IF(C121="Doors (leaf)", IF(XLOOKUP(A121,INPUT_Rooms!$B:$B,INPUT_Rooms!$AB:$AB,"")="Y", SUMPRODUCT((INPUT_Doors!$A:$A=$B$4)*(INPUT_Doors!$B:$B=A121)*(INPUT_Doors!$D:$D)*(INPUT_Doors!$E:$E)), 0), 0))))))</f>
        <v/>
      </c>
      <c r="F121" s="6">
        <f>IF(A121="","", XLOOKUP(A121, INPUT_Rooms!$B:$B, INPUT_Rooms!$U:$U, ""))</f>
        <v/>
      </c>
      <c r="G121" s="6">
        <f>IF(A121="","", XLOOKUP(A121, INPUT_Rooms!$B:$B, INPUT_Rooms!$V:$V, ""))</f>
        <v/>
      </c>
      <c r="H121" s="6">
        <f>IF(A121="","", IF(XLOOKUP(A121, INPUT_Rooms!$B:$B, INPUT_Rooms!$W:$W, "")="", $B$5, XLOOKUP(A121, INPUT_Rooms!$B:$B, INPUT_Rooms!$W:$W, "")))</f>
        <v/>
      </c>
      <c r="I121" s="6">
        <f>IF(A121="","", IF(C121="Doors (leaf)", 0, E121*XLOOKUP(C121,Constants!$A$40:$A$200,Constants!$C$40:$C$200,0,0)*XLOOKUP(H121,Constants!$E$10:$E$30,Constants!$F$10:$F$30)))</f>
        <v/>
      </c>
      <c r="J121" s="6">
        <f>IF(A121="","", IF(C121="Doors (leaf)", 0, E121*XLOOKUP(C121,Constants!$A$40:$A$200,Constants!$D$40:$D$200,0,0)*G121))</f>
        <v/>
      </c>
      <c r="K121" s="6">
        <f>IF(A121="","", IF(C121="Doors (leaf)", 0, IF(F121="Full", E121*XLOOKUP(C121,Constants!$A$40:$A$200,Constants!$E$40:$E$200,0,0), IF(F121="Spot", E121*XLOOKUP(C121,Constants!$A$40:$A$200,Constants!$E$40:$E$200,0,0)*0.35, 0))))</f>
        <v/>
      </c>
      <c r="L121">
        <f>IF(A121="","",0)</f>
        <v/>
      </c>
      <c r="M121" s="6">
        <f>IF(A121="","", SUM(I121:K121))</f>
        <v/>
      </c>
      <c r="N121" s="6">
        <f>IF(A121="","", L121/60)</f>
        <v/>
      </c>
      <c r="O121" s="6">
        <f>IF(A121="","", N121*(IF(=IF('Job Control'!$B$3="","", XLOOKUP('Job Control'!$B$3, INPUT_JobSettings!$A:$A, INPUT_JobSettings!$F:$F, ""))&lt;&gt;"", =IF('Job Control'!$B$3="","", XLOOKUP('Job Control'!$B$3, INPUT_JobSettings!$A:$A, INPUT_JobSettings!$F:$F, "")), $B$6)))</f>
        <v/>
      </c>
      <c r="P121" s="6">
        <f>IF(A121="","", (O121+L121)*(IF(=IF('Job Control'!$B$3="","", XLOOKUP('Job Control'!$B$3, INPUT_JobSettings!$A:$A, INPUT_JobSettings!$G:$G, ""))&lt;&gt;"", =IF('Job Control'!$B$3="","", XLOOKUP('Job Control'!$B$3, INPUT_JobSettings!$A:$A, INPUT_JobSettings!$G:$G, "")), $B$7)))</f>
        <v/>
      </c>
    </row>
    <row r="122">
      <c r="A122" s="6">
        <f>IFERROR(INDEX(FILTER(INPUT_Rooms!$B$4:$B$83, INPUT_Rooms!$A$4:$A$83=$B$4, INPUT_Rooms!$T$4:$T$83="Y"), 23), "")</f>
        <v/>
      </c>
      <c r="B122" s="6">
        <f>IF(A122="","", XLOOKUP(A122, FILTER(INPUT_Rooms!$B$4:$B$83, INPUT_Rooms!$A$4:$A$83=$B$4), FILTER(INPUT_Rooms!$C$4:$C$83, INPUT_Rooms!$A$4:$A$83=$B$4), ""))</f>
        <v/>
      </c>
      <c r="C122" s="6">
        <f>IF(A122="","", CHOOSE(2,"Baseboard","Crown","Window Casing","Door Casing","Doors (leaf)"))</f>
        <v/>
      </c>
      <c r="D122" s="6">
        <f>IF(A122="","", XLOOKUP(C122,Constants!$A$40:$A$200,Constants!$B$40:$B$200,"",0))</f>
        <v/>
      </c>
      <c r="E122" s="6">
        <f>IF(A122="","", IF(C122="Baseboard", IF(XLOOKUP(A122,INPUT_Rooms!$B:$B,INPUT_Rooms!$X:$X,"")="Y", XLOOKUP(A122,INPUT_Rooms!$B:$B,INPUT_Rooms!$AF:$AF,""), 0),IF(C122="Crown", IF(XLOOKUP(A122,INPUT_Rooms!$B:$B,INPUT_Rooms!$Y:$Y,"")="Y", XLOOKUP(A122,INPUT_Rooms!$B:$B,INPUT_Rooms!$AG:$AG,""), 0),IF(C122="Window Casing", IF(XLOOKUP(A122,INPUT_Rooms!$B:$B,INPUT_Rooms!$Z:$Z,"")="Y", SUMPRODUCT((INPUT_Openings!$A:$A=$B$4)*(INPUT_Openings!$B:$B=A122)*(INPUT_Openings!$D:$D)*XLOOKUP(INPUT_Openings!$C:$C,Constants!$A$30:$A$200,Constants!$E$30:$E$200,"",0)*(INPUT_Openings!$E:$E="Window")), 0),IF(C122="Door Casing", IF(XLOOKUP(A122,INPUT_Rooms!$B:$B,INPUT_Rooms!$AA:$AA,"")="Y", SUMPRODUCT((INPUT_Openings!$A:$A=$B$4)*(INPUT_Openings!$B:$B=A122)*(INPUT_Openings!$D:$D)*XLOOKUP(INPUT_Openings!$C:$C,Constants!$A$30:$A$200,Constants!$E$30:$E$200,"",0)*(INPUT_Openings!$E:$E="Door")), 0),IF(C122="Doors (leaf)", IF(XLOOKUP(A122,INPUT_Rooms!$B:$B,INPUT_Rooms!$AB:$AB,"")="Y", SUMPRODUCT((INPUT_Doors!$A:$A=$B$4)*(INPUT_Doors!$B:$B=A122)*(INPUT_Doors!$D:$D)*(INPUT_Doors!$E:$E)), 0), 0))))))</f>
        <v/>
      </c>
      <c r="F122" s="6">
        <f>IF(A122="","", XLOOKUP(A122, INPUT_Rooms!$B:$B, INPUT_Rooms!$U:$U, ""))</f>
        <v/>
      </c>
      <c r="G122" s="6">
        <f>IF(A122="","", XLOOKUP(A122, INPUT_Rooms!$B:$B, INPUT_Rooms!$V:$V, ""))</f>
        <v/>
      </c>
      <c r="H122" s="6">
        <f>IF(A122="","", IF(XLOOKUP(A122, INPUT_Rooms!$B:$B, INPUT_Rooms!$W:$W, "")="", $B$5, XLOOKUP(A122, INPUT_Rooms!$B:$B, INPUT_Rooms!$W:$W, "")))</f>
        <v/>
      </c>
      <c r="I122" s="6">
        <f>IF(A122="","", IF(C122="Doors (leaf)", 0, E122*XLOOKUP(C122,Constants!$A$40:$A$200,Constants!$C$40:$C$200,0,0)*XLOOKUP(H122,Constants!$E$10:$E$30,Constants!$F$10:$F$30)))</f>
        <v/>
      </c>
      <c r="J122" s="6">
        <f>IF(A122="","", IF(C122="Doors (leaf)", 0, E122*XLOOKUP(C122,Constants!$A$40:$A$200,Constants!$D$40:$D$200,0,0)*G122))</f>
        <v/>
      </c>
      <c r="K122" s="6">
        <f>IF(A122="","", IF(C122="Doors (leaf)", 0, IF(F122="Full", E122*XLOOKUP(C122,Constants!$A$40:$A$200,Constants!$E$40:$E$200,0,0), IF(F122="Spot", E122*XLOOKUP(C122,Constants!$A$40:$A$200,Constants!$E$40:$E$200,0,0)*0.35, 0))))</f>
        <v/>
      </c>
      <c r="L122">
        <f>IF(A122="","",0)</f>
        <v/>
      </c>
      <c r="M122" s="6">
        <f>IF(A122="","", SUM(I122:K122))</f>
        <v/>
      </c>
      <c r="N122" s="6">
        <f>IF(A122="","", L122/60)</f>
        <v/>
      </c>
      <c r="O122" s="6">
        <f>IF(A122="","", N122*(IF(=IF('Job Control'!$B$3="","", XLOOKUP('Job Control'!$B$3, INPUT_JobSettings!$A:$A, INPUT_JobSettings!$F:$F, ""))&lt;&gt;"", =IF('Job Control'!$B$3="","", XLOOKUP('Job Control'!$B$3, INPUT_JobSettings!$A:$A, INPUT_JobSettings!$F:$F, "")), $B$6)))</f>
        <v/>
      </c>
      <c r="P122" s="6">
        <f>IF(A122="","", (O122+L122)*(IF(=IF('Job Control'!$B$3="","", XLOOKUP('Job Control'!$B$3, INPUT_JobSettings!$A:$A, INPUT_JobSettings!$G:$G, ""))&lt;&gt;"", =IF('Job Control'!$B$3="","", XLOOKUP('Job Control'!$B$3, INPUT_JobSettings!$A:$A, INPUT_JobSettings!$G:$G, "")), $B$7)))</f>
        <v/>
      </c>
    </row>
    <row r="123">
      <c r="A123" s="6">
        <f>IFERROR(INDEX(FILTER(INPUT_Rooms!$B$4:$B$83, INPUT_Rooms!$A$4:$A$83=$B$4, INPUT_Rooms!$T$4:$T$83="Y"), 23), "")</f>
        <v/>
      </c>
      <c r="B123" s="6">
        <f>IF(A123="","", XLOOKUP(A123, FILTER(INPUT_Rooms!$B$4:$B$83, INPUT_Rooms!$A$4:$A$83=$B$4), FILTER(INPUT_Rooms!$C$4:$C$83, INPUT_Rooms!$A$4:$A$83=$B$4), ""))</f>
        <v/>
      </c>
      <c r="C123" s="6">
        <f>IF(A123="","", CHOOSE(3,"Baseboard","Crown","Window Casing","Door Casing","Doors (leaf)"))</f>
        <v/>
      </c>
      <c r="D123" s="6">
        <f>IF(A123="","", XLOOKUP(C123,Constants!$A$40:$A$200,Constants!$B$40:$B$200,"",0))</f>
        <v/>
      </c>
      <c r="E123" s="6">
        <f>IF(A123="","", IF(C123="Baseboard", IF(XLOOKUP(A123,INPUT_Rooms!$B:$B,INPUT_Rooms!$X:$X,"")="Y", XLOOKUP(A123,INPUT_Rooms!$B:$B,INPUT_Rooms!$AF:$AF,""), 0),IF(C123="Crown", IF(XLOOKUP(A123,INPUT_Rooms!$B:$B,INPUT_Rooms!$Y:$Y,"")="Y", XLOOKUP(A123,INPUT_Rooms!$B:$B,INPUT_Rooms!$AG:$AG,""), 0),IF(C123="Window Casing", IF(XLOOKUP(A123,INPUT_Rooms!$B:$B,INPUT_Rooms!$Z:$Z,"")="Y", SUMPRODUCT((INPUT_Openings!$A:$A=$B$4)*(INPUT_Openings!$B:$B=A123)*(INPUT_Openings!$D:$D)*XLOOKUP(INPUT_Openings!$C:$C,Constants!$A$30:$A$200,Constants!$E$30:$E$200,"",0)*(INPUT_Openings!$E:$E="Window")), 0),IF(C123="Door Casing", IF(XLOOKUP(A123,INPUT_Rooms!$B:$B,INPUT_Rooms!$AA:$AA,"")="Y", SUMPRODUCT((INPUT_Openings!$A:$A=$B$4)*(INPUT_Openings!$B:$B=A123)*(INPUT_Openings!$D:$D)*XLOOKUP(INPUT_Openings!$C:$C,Constants!$A$30:$A$200,Constants!$E$30:$E$200,"",0)*(INPUT_Openings!$E:$E="Door")), 0),IF(C123="Doors (leaf)", IF(XLOOKUP(A123,INPUT_Rooms!$B:$B,INPUT_Rooms!$AB:$AB,"")="Y", SUMPRODUCT((INPUT_Doors!$A:$A=$B$4)*(INPUT_Doors!$B:$B=A123)*(INPUT_Doors!$D:$D)*(INPUT_Doors!$E:$E)), 0), 0))))))</f>
        <v/>
      </c>
      <c r="F123" s="6">
        <f>IF(A123="","", XLOOKUP(A123, INPUT_Rooms!$B:$B, INPUT_Rooms!$U:$U, ""))</f>
        <v/>
      </c>
      <c r="G123" s="6">
        <f>IF(A123="","", XLOOKUP(A123, INPUT_Rooms!$B:$B, INPUT_Rooms!$V:$V, ""))</f>
        <v/>
      </c>
      <c r="H123" s="6">
        <f>IF(A123="","", IF(XLOOKUP(A123, INPUT_Rooms!$B:$B, INPUT_Rooms!$W:$W, "")="", $B$5, XLOOKUP(A123, INPUT_Rooms!$B:$B, INPUT_Rooms!$W:$W, "")))</f>
        <v/>
      </c>
      <c r="I123" s="6">
        <f>IF(A123="","", IF(C123="Doors (leaf)", 0, E123*XLOOKUP(C123,Constants!$A$40:$A$200,Constants!$C$40:$C$200,0,0)*XLOOKUP(H123,Constants!$E$10:$E$30,Constants!$F$10:$F$30)))</f>
        <v/>
      </c>
      <c r="J123" s="6">
        <f>IF(A123="","", IF(C123="Doors (leaf)", 0, E123*XLOOKUP(C123,Constants!$A$40:$A$200,Constants!$D$40:$D$200,0,0)*G123))</f>
        <v/>
      </c>
      <c r="K123" s="6">
        <f>IF(A123="","", IF(C123="Doors (leaf)", 0, IF(F123="Full", E123*XLOOKUP(C123,Constants!$A$40:$A$200,Constants!$E$40:$E$200,0,0), IF(F123="Spot", E123*XLOOKUP(C123,Constants!$A$40:$A$200,Constants!$E$40:$E$200,0,0)*0.35, 0))))</f>
        <v/>
      </c>
      <c r="L123">
        <f>IF(A123="","",0)</f>
        <v/>
      </c>
      <c r="M123" s="6">
        <f>IF(A123="","", SUM(I123:K123))</f>
        <v/>
      </c>
      <c r="N123" s="6">
        <f>IF(A123="","", L123/60)</f>
        <v/>
      </c>
      <c r="O123" s="6">
        <f>IF(A123="","", N123*(IF(=IF('Job Control'!$B$3="","", XLOOKUP('Job Control'!$B$3, INPUT_JobSettings!$A:$A, INPUT_JobSettings!$F:$F, ""))&lt;&gt;"", =IF('Job Control'!$B$3="","", XLOOKUP('Job Control'!$B$3, INPUT_JobSettings!$A:$A, INPUT_JobSettings!$F:$F, "")), $B$6)))</f>
        <v/>
      </c>
      <c r="P123" s="6">
        <f>IF(A123="","", (O123+L123)*(IF(=IF('Job Control'!$B$3="","", XLOOKUP('Job Control'!$B$3, INPUT_JobSettings!$A:$A, INPUT_JobSettings!$G:$G, ""))&lt;&gt;"", =IF('Job Control'!$B$3="","", XLOOKUP('Job Control'!$B$3, INPUT_JobSettings!$A:$A, INPUT_JobSettings!$G:$G, "")), $B$7)))</f>
        <v/>
      </c>
    </row>
    <row r="124">
      <c r="A124" s="6">
        <f>IFERROR(INDEX(FILTER(INPUT_Rooms!$B$4:$B$83, INPUT_Rooms!$A$4:$A$83=$B$4, INPUT_Rooms!$T$4:$T$83="Y"), 23), "")</f>
        <v/>
      </c>
      <c r="B124" s="6">
        <f>IF(A124="","", XLOOKUP(A124, FILTER(INPUT_Rooms!$B$4:$B$83, INPUT_Rooms!$A$4:$A$83=$B$4), FILTER(INPUT_Rooms!$C$4:$C$83, INPUT_Rooms!$A$4:$A$83=$B$4), ""))</f>
        <v/>
      </c>
      <c r="C124" s="6">
        <f>IF(A124="","", CHOOSE(4,"Baseboard","Crown","Window Casing","Door Casing","Doors (leaf)"))</f>
        <v/>
      </c>
      <c r="D124" s="6">
        <f>IF(A124="","", XLOOKUP(C124,Constants!$A$40:$A$200,Constants!$B$40:$B$200,"",0))</f>
        <v/>
      </c>
      <c r="E124" s="6">
        <f>IF(A124="","", IF(C124="Baseboard", IF(XLOOKUP(A124,INPUT_Rooms!$B:$B,INPUT_Rooms!$X:$X,"")="Y", XLOOKUP(A124,INPUT_Rooms!$B:$B,INPUT_Rooms!$AF:$AF,""), 0),IF(C124="Crown", IF(XLOOKUP(A124,INPUT_Rooms!$B:$B,INPUT_Rooms!$Y:$Y,"")="Y", XLOOKUP(A124,INPUT_Rooms!$B:$B,INPUT_Rooms!$AG:$AG,""), 0),IF(C124="Window Casing", IF(XLOOKUP(A124,INPUT_Rooms!$B:$B,INPUT_Rooms!$Z:$Z,"")="Y", SUMPRODUCT((INPUT_Openings!$A:$A=$B$4)*(INPUT_Openings!$B:$B=A124)*(INPUT_Openings!$D:$D)*XLOOKUP(INPUT_Openings!$C:$C,Constants!$A$30:$A$200,Constants!$E$30:$E$200,"",0)*(INPUT_Openings!$E:$E="Window")), 0),IF(C124="Door Casing", IF(XLOOKUP(A124,INPUT_Rooms!$B:$B,INPUT_Rooms!$AA:$AA,"")="Y", SUMPRODUCT((INPUT_Openings!$A:$A=$B$4)*(INPUT_Openings!$B:$B=A124)*(INPUT_Openings!$D:$D)*XLOOKUP(INPUT_Openings!$C:$C,Constants!$A$30:$A$200,Constants!$E$30:$E$200,"",0)*(INPUT_Openings!$E:$E="Door")), 0),IF(C124="Doors (leaf)", IF(XLOOKUP(A124,INPUT_Rooms!$B:$B,INPUT_Rooms!$AB:$AB,"")="Y", SUMPRODUCT((INPUT_Doors!$A:$A=$B$4)*(INPUT_Doors!$B:$B=A124)*(INPUT_Doors!$D:$D)*(INPUT_Doors!$E:$E)), 0), 0))))))</f>
        <v/>
      </c>
      <c r="F124" s="6">
        <f>IF(A124="","", XLOOKUP(A124, INPUT_Rooms!$B:$B, INPUT_Rooms!$U:$U, ""))</f>
        <v/>
      </c>
      <c r="G124" s="6">
        <f>IF(A124="","", XLOOKUP(A124, INPUT_Rooms!$B:$B, INPUT_Rooms!$V:$V, ""))</f>
        <v/>
      </c>
      <c r="H124" s="6">
        <f>IF(A124="","", IF(XLOOKUP(A124, INPUT_Rooms!$B:$B, INPUT_Rooms!$W:$W, "")="", $B$5, XLOOKUP(A124, INPUT_Rooms!$B:$B, INPUT_Rooms!$W:$W, "")))</f>
        <v/>
      </c>
      <c r="I124" s="6">
        <f>IF(A124="","", IF(C124="Doors (leaf)", 0, E124*XLOOKUP(C124,Constants!$A$40:$A$200,Constants!$C$40:$C$200,0,0)*XLOOKUP(H124,Constants!$E$10:$E$30,Constants!$F$10:$F$30)))</f>
        <v/>
      </c>
      <c r="J124" s="6">
        <f>IF(A124="","", IF(C124="Doors (leaf)", 0, E124*XLOOKUP(C124,Constants!$A$40:$A$200,Constants!$D$40:$D$200,0,0)*G124))</f>
        <v/>
      </c>
      <c r="K124" s="6">
        <f>IF(A124="","", IF(C124="Doors (leaf)", 0, IF(F124="Full", E124*XLOOKUP(C124,Constants!$A$40:$A$200,Constants!$E$40:$E$200,0,0), IF(F124="Spot", E124*XLOOKUP(C124,Constants!$A$40:$A$200,Constants!$E$40:$E$200,0,0)*0.35, 0))))</f>
        <v/>
      </c>
      <c r="L124">
        <f>IF(A124="","",0)</f>
        <v/>
      </c>
      <c r="M124" s="6">
        <f>IF(A124="","", SUM(I124:K124))</f>
        <v/>
      </c>
      <c r="N124" s="6">
        <f>IF(A124="","", L124/60)</f>
        <v/>
      </c>
      <c r="O124" s="6">
        <f>IF(A124="","", N124*(IF(=IF('Job Control'!$B$3="","", XLOOKUP('Job Control'!$B$3, INPUT_JobSettings!$A:$A, INPUT_JobSettings!$F:$F, ""))&lt;&gt;"", =IF('Job Control'!$B$3="","", XLOOKUP('Job Control'!$B$3, INPUT_JobSettings!$A:$A, INPUT_JobSettings!$F:$F, "")), $B$6)))</f>
        <v/>
      </c>
      <c r="P124" s="6">
        <f>IF(A124="","", (O124+L124)*(IF(=IF('Job Control'!$B$3="","", XLOOKUP('Job Control'!$B$3, INPUT_JobSettings!$A:$A, INPUT_JobSettings!$G:$G, ""))&lt;&gt;"", =IF('Job Control'!$B$3="","", XLOOKUP('Job Control'!$B$3, INPUT_JobSettings!$A:$A, INPUT_JobSettings!$G:$G, "")), $B$7)))</f>
        <v/>
      </c>
    </row>
    <row r="125">
      <c r="A125" s="6">
        <f>IFERROR(INDEX(FILTER(INPUT_Rooms!$B$4:$B$83, INPUT_Rooms!$A$4:$A$83=$B$4, INPUT_Rooms!$T$4:$T$83="Y"), 23), "")</f>
        <v/>
      </c>
      <c r="B125" s="6">
        <f>IF(A125="","", XLOOKUP(A125, FILTER(INPUT_Rooms!$B$4:$B$83, INPUT_Rooms!$A$4:$A$83=$B$4), FILTER(INPUT_Rooms!$C$4:$C$83, INPUT_Rooms!$A$4:$A$83=$B$4), ""))</f>
        <v/>
      </c>
      <c r="C125" s="6">
        <f>IF(A125="","", CHOOSE(5,"Baseboard","Crown","Window Casing","Door Casing","Doors (leaf)"))</f>
        <v/>
      </c>
      <c r="D125" s="6">
        <f>IF(A125="","", XLOOKUP(C125,Constants!$A$40:$A$200,Constants!$B$40:$B$200,"",0))</f>
        <v/>
      </c>
      <c r="E125" s="6">
        <f>IF(A125="","", IF(C125="Baseboard", IF(XLOOKUP(A125,INPUT_Rooms!$B:$B,INPUT_Rooms!$X:$X,"")="Y", XLOOKUP(A125,INPUT_Rooms!$B:$B,INPUT_Rooms!$AF:$AF,""), 0),IF(C125="Crown", IF(XLOOKUP(A125,INPUT_Rooms!$B:$B,INPUT_Rooms!$Y:$Y,"")="Y", XLOOKUP(A125,INPUT_Rooms!$B:$B,INPUT_Rooms!$AG:$AG,""), 0),IF(C125="Window Casing", IF(XLOOKUP(A125,INPUT_Rooms!$B:$B,INPUT_Rooms!$Z:$Z,"")="Y", SUMPRODUCT((INPUT_Openings!$A:$A=$B$4)*(INPUT_Openings!$B:$B=A125)*(INPUT_Openings!$D:$D)*XLOOKUP(INPUT_Openings!$C:$C,Constants!$A$30:$A$200,Constants!$E$30:$E$200,"",0)*(INPUT_Openings!$E:$E="Window")), 0),IF(C125="Door Casing", IF(XLOOKUP(A125,INPUT_Rooms!$B:$B,INPUT_Rooms!$AA:$AA,"")="Y", SUMPRODUCT((INPUT_Openings!$A:$A=$B$4)*(INPUT_Openings!$B:$B=A125)*(INPUT_Openings!$D:$D)*XLOOKUP(INPUT_Openings!$C:$C,Constants!$A$30:$A$200,Constants!$E$30:$E$200,"",0)*(INPUT_Openings!$E:$E="Door")), 0),IF(C125="Doors (leaf)", IF(XLOOKUP(A125,INPUT_Rooms!$B:$B,INPUT_Rooms!$AB:$AB,"")="Y", SUMPRODUCT((INPUT_Doors!$A:$A=$B$4)*(INPUT_Doors!$B:$B=A125)*(INPUT_Doors!$D:$D)*(INPUT_Doors!$E:$E)), 0), 0))))))</f>
        <v/>
      </c>
      <c r="F125" s="6">
        <f>IF(A125="","", XLOOKUP(A125, INPUT_Rooms!$B:$B, INPUT_Rooms!$U:$U, ""))</f>
        <v/>
      </c>
      <c r="G125" s="6">
        <f>IF(A125="","", XLOOKUP(A125, INPUT_Rooms!$B:$B, INPUT_Rooms!$V:$V, ""))</f>
        <v/>
      </c>
      <c r="H125" s="6">
        <f>IF(A125="","", IF(XLOOKUP(A125, INPUT_Rooms!$B:$B, INPUT_Rooms!$W:$W, "")="", $B$5, XLOOKUP(A125, INPUT_Rooms!$B:$B, INPUT_Rooms!$W:$W, "")))</f>
        <v/>
      </c>
      <c r="I125" s="6">
        <f>IF(A125="","", IF(C125="Doors (leaf)", 0, E125*XLOOKUP(C125,Constants!$A$40:$A$200,Constants!$C$40:$C$200,0,0)*XLOOKUP(H125,Constants!$E$10:$E$30,Constants!$F$10:$F$30)))</f>
        <v/>
      </c>
      <c r="J125" s="6">
        <f>IF(A125="","", IF(C125="Doors (leaf)", 0, E125*XLOOKUP(C125,Constants!$A$40:$A$200,Constants!$D$40:$D$200,0,0)*G125))</f>
        <v/>
      </c>
      <c r="K125" s="6">
        <f>IF(A125="","", IF(C125="Doors (leaf)", 0, IF(F125="Full", E125*XLOOKUP(C125,Constants!$A$40:$A$200,Constants!$E$40:$E$200,0,0), IF(F125="Spot", E125*XLOOKUP(C125,Constants!$A$40:$A$200,Constants!$E$40:$E$200,0,0)*0.35, 0))))</f>
        <v/>
      </c>
      <c r="L125">
        <f>IF(A125="","",0)</f>
        <v/>
      </c>
      <c r="M125" s="6">
        <f>IF(A125="","", SUM(I125:K125))</f>
        <v/>
      </c>
      <c r="N125" s="6">
        <f>IF(A125="","", L125/60)</f>
        <v/>
      </c>
      <c r="O125" s="6">
        <f>IF(A125="","", N125*(IF(=IF('Job Control'!$B$3="","", XLOOKUP('Job Control'!$B$3, INPUT_JobSettings!$A:$A, INPUT_JobSettings!$F:$F, ""))&lt;&gt;"", =IF('Job Control'!$B$3="","", XLOOKUP('Job Control'!$B$3, INPUT_JobSettings!$A:$A, INPUT_JobSettings!$F:$F, "")), $B$6)))</f>
        <v/>
      </c>
      <c r="P125" s="6">
        <f>IF(A125="","", (O125+L125)*(IF(=IF('Job Control'!$B$3="","", XLOOKUP('Job Control'!$B$3, INPUT_JobSettings!$A:$A, INPUT_JobSettings!$G:$G, ""))&lt;&gt;"", =IF('Job Control'!$B$3="","", XLOOKUP('Job Control'!$B$3, INPUT_JobSettings!$A:$A, INPUT_JobSettings!$G:$G, "")), $B$7)))</f>
        <v/>
      </c>
    </row>
    <row r="126">
      <c r="A126" s="6">
        <f>IFERROR(INDEX(FILTER(INPUT_Rooms!$B$4:$B$83, INPUT_Rooms!$A$4:$A$83=$B$4, INPUT_Rooms!$T$4:$T$83="Y"), 24), "")</f>
        <v/>
      </c>
      <c r="B126" s="6">
        <f>IF(A126="","", XLOOKUP(A126, FILTER(INPUT_Rooms!$B$4:$B$83, INPUT_Rooms!$A$4:$A$83=$B$4), FILTER(INPUT_Rooms!$C$4:$C$83, INPUT_Rooms!$A$4:$A$83=$B$4), ""))</f>
        <v/>
      </c>
      <c r="C126" s="6">
        <f>IF(A126="","", CHOOSE(1,"Baseboard","Crown","Window Casing","Door Casing","Doors (leaf)"))</f>
        <v/>
      </c>
      <c r="D126" s="6">
        <f>IF(A126="","", XLOOKUP(C126,Constants!$A$40:$A$200,Constants!$B$40:$B$200,"",0))</f>
        <v/>
      </c>
      <c r="E126" s="6">
        <f>IF(A126="","", IF(C126="Baseboard", IF(XLOOKUP(A126,INPUT_Rooms!$B:$B,INPUT_Rooms!$X:$X,"")="Y", XLOOKUP(A126,INPUT_Rooms!$B:$B,INPUT_Rooms!$AF:$AF,""), 0),IF(C126="Crown", IF(XLOOKUP(A126,INPUT_Rooms!$B:$B,INPUT_Rooms!$Y:$Y,"")="Y", XLOOKUP(A126,INPUT_Rooms!$B:$B,INPUT_Rooms!$AG:$AG,""), 0),IF(C126="Window Casing", IF(XLOOKUP(A126,INPUT_Rooms!$B:$B,INPUT_Rooms!$Z:$Z,"")="Y", SUMPRODUCT((INPUT_Openings!$A:$A=$B$4)*(INPUT_Openings!$B:$B=A126)*(INPUT_Openings!$D:$D)*XLOOKUP(INPUT_Openings!$C:$C,Constants!$A$30:$A$200,Constants!$E$30:$E$200,"",0)*(INPUT_Openings!$E:$E="Window")), 0),IF(C126="Door Casing", IF(XLOOKUP(A126,INPUT_Rooms!$B:$B,INPUT_Rooms!$AA:$AA,"")="Y", SUMPRODUCT((INPUT_Openings!$A:$A=$B$4)*(INPUT_Openings!$B:$B=A126)*(INPUT_Openings!$D:$D)*XLOOKUP(INPUT_Openings!$C:$C,Constants!$A$30:$A$200,Constants!$E$30:$E$200,"",0)*(INPUT_Openings!$E:$E="Door")), 0),IF(C126="Doors (leaf)", IF(XLOOKUP(A126,INPUT_Rooms!$B:$B,INPUT_Rooms!$AB:$AB,"")="Y", SUMPRODUCT((INPUT_Doors!$A:$A=$B$4)*(INPUT_Doors!$B:$B=A126)*(INPUT_Doors!$D:$D)*(INPUT_Doors!$E:$E)), 0), 0))))))</f>
        <v/>
      </c>
      <c r="F126" s="6">
        <f>IF(A126="","", XLOOKUP(A126, INPUT_Rooms!$B:$B, INPUT_Rooms!$U:$U, ""))</f>
        <v/>
      </c>
      <c r="G126" s="6">
        <f>IF(A126="","", XLOOKUP(A126, INPUT_Rooms!$B:$B, INPUT_Rooms!$V:$V, ""))</f>
        <v/>
      </c>
      <c r="H126" s="6">
        <f>IF(A126="","", IF(XLOOKUP(A126, INPUT_Rooms!$B:$B, INPUT_Rooms!$W:$W, "")="", $B$5, XLOOKUP(A126, INPUT_Rooms!$B:$B, INPUT_Rooms!$W:$W, "")))</f>
        <v/>
      </c>
      <c r="I126" s="6">
        <f>IF(A126="","", IF(C126="Doors (leaf)", 0, E126*XLOOKUP(C126,Constants!$A$40:$A$200,Constants!$C$40:$C$200,0,0)*XLOOKUP(H126,Constants!$E$10:$E$30,Constants!$F$10:$F$30)))</f>
        <v/>
      </c>
      <c r="J126" s="6">
        <f>IF(A126="","", IF(C126="Doors (leaf)", 0, E126*XLOOKUP(C126,Constants!$A$40:$A$200,Constants!$D$40:$D$200,0,0)*G126))</f>
        <v/>
      </c>
      <c r="K126" s="6">
        <f>IF(A126="","", IF(C126="Doors (leaf)", 0, IF(F126="Full", E126*XLOOKUP(C126,Constants!$A$40:$A$200,Constants!$E$40:$E$200,0,0), IF(F126="Spot", E126*XLOOKUP(C126,Constants!$A$40:$A$200,Constants!$E$40:$E$200,0,0)*0.35, 0))))</f>
        <v/>
      </c>
      <c r="L126">
        <f>IF(A126="","",0)</f>
        <v/>
      </c>
      <c r="M126" s="6">
        <f>IF(A126="","", SUM(I126:K126))</f>
        <v/>
      </c>
      <c r="N126" s="6">
        <f>IF(A126="","", L126/60)</f>
        <v/>
      </c>
      <c r="O126" s="6">
        <f>IF(A126="","", N126*(IF(=IF('Job Control'!$B$3="","", XLOOKUP('Job Control'!$B$3, INPUT_JobSettings!$A:$A, INPUT_JobSettings!$F:$F, ""))&lt;&gt;"", =IF('Job Control'!$B$3="","", XLOOKUP('Job Control'!$B$3, INPUT_JobSettings!$A:$A, INPUT_JobSettings!$F:$F, "")), $B$6)))</f>
        <v/>
      </c>
      <c r="P126" s="6">
        <f>IF(A126="","", (O126+L126)*(IF(=IF('Job Control'!$B$3="","", XLOOKUP('Job Control'!$B$3, INPUT_JobSettings!$A:$A, INPUT_JobSettings!$G:$G, ""))&lt;&gt;"", =IF('Job Control'!$B$3="","", XLOOKUP('Job Control'!$B$3, INPUT_JobSettings!$A:$A, INPUT_JobSettings!$G:$G, "")), $B$7)))</f>
        <v/>
      </c>
    </row>
    <row r="127">
      <c r="A127" s="6">
        <f>IFERROR(INDEX(FILTER(INPUT_Rooms!$B$4:$B$83, INPUT_Rooms!$A$4:$A$83=$B$4, INPUT_Rooms!$T$4:$T$83="Y"), 24), "")</f>
        <v/>
      </c>
      <c r="B127" s="6">
        <f>IF(A127="","", XLOOKUP(A127, FILTER(INPUT_Rooms!$B$4:$B$83, INPUT_Rooms!$A$4:$A$83=$B$4), FILTER(INPUT_Rooms!$C$4:$C$83, INPUT_Rooms!$A$4:$A$83=$B$4), ""))</f>
        <v/>
      </c>
      <c r="C127" s="6">
        <f>IF(A127="","", CHOOSE(2,"Baseboard","Crown","Window Casing","Door Casing","Doors (leaf)"))</f>
        <v/>
      </c>
      <c r="D127" s="6">
        <f>IF(A127="","", XLOOKUP(C127,Constants!$A$40:$A$200,Constants!$B$40:$B$200,"",0))</f>
        <v/>
      </c>
      <c r="E127" s="6">
        <f>IF(A127="","", IF(C127="Baseboard", IF(XLOOKUP(A127,INPUT_Rooms!$B:$B,INPUT_Rooms!$X:$X,"")="Y", XLOOKUP(A127,INPUT_Rooms!$B:$B,INPUT_Rooms!$AF:$AF,""), 0),IF(C127="Crown", IF(XLOOKUP(A127,INPUT_Rooms!$B:$B,INPUT_Rooms!$Y:$Y,"")="Y", XLOOKUP(A127,INPUT_Rooms!$B:$B,INPUT_Rooms!$AG:$AG,""), 0),IF(C127="Window Casing", IF(XLOOKUP(A127,INPUT_Rooms!$B:$B,INPUT_Rooms!$Z:$Z,"")="Y", SUMPRODUCT((INPUT_Openings!$A:$A=$B$4)*(INPUT_Openings!$B:$B=A127)*(INPUT_Openings!$D:$D)*XLOOKUP(INPUT_Openings!$C:$C,Constants!$A$30:$A$200,Constants!$E$30:$E$200,"",0)*(INPUT_Openings!$E:$E="Window")), 0),IF(C127="Door Casing", IF(XLOOKUP(A127,INPUT_Rooms!$B:$B,INPUT_Rooms!$AA:$AA,"")="Y", SUMPRODUCT((INPUT_Openings!$A:$A=$B$4)*(INPUT_Openings!$B:$B=A127)*(INPUT_Openings!$D:$D)*XLOOKUP(INPUT_Openings!$C:$C,Constants!$A$30:$A$200,Constants!$E$30:$E$200,"",0)*(INPUT_Openings!$E:$E="Door")), 0),IF(C127="Doors (leaf)", IF(XLOOKUP(A127,INPUT_Rooms!$B:$B,INPUT_Rooms!$AB:$AB,"")="Y", SUMPRODUCT((INPUT_Doors!$A:$A=$B$4)*(INPUT_Doors!$B:$B=A127)*(INPUT_Doors!$D:$D)*(INPUT_Doors!$E:$E)), 0), 0))))))</f>
        <v/>
      </c>
      <c r="F127" s="6">
        <f>IF(A127="","", XLOOKUP(A127, INPUT_Rooms!$B:$B, INPUT_Rooms!$U:$U, ""))</f>
        <v/>
      </c>
      <c r="G127" s="6">
        <f>IF(A127="","", XLOOKUP(A127, INPUT_Rooms!$B:$B, INPUT_Rooms!$V:$V, ""))</f>
        <v/>
      </c>
      <c r="H127" s="6">
        <f>IF(A127="","", IF(XLOOKUP(A127, INPUT_Rooms!$B:$B, INPUT_Rooms!$W:$W, "")="", $B$5, XLOOKUP(A127, INPUT_Rooms!$B:$B, INPUT_Rooms!$W:$W, "")))</f>
        <v/>
      </c>
      <c r="I127" s="6">
        <f>IF(A127="","", IF(C127="Doors (leaf)", 0, E127*XLOOKUP(C127,Constants!$A$40:$A$200,Constants!$C$40:$C$200,0,0)*XLOOKUP(H127,Constants!$E$10:$E$30,Constants!$F$10:$F$30)))</f>
        <v/>
      </c>
      <c r="J127" s="6">
        <f>IF(A127="","", IF(C127="Doors (leaf)", 0, E127*XLOOKUP(C127,Constants!$A$40:$A$200,Constants!$D$40:$D$200,0,0)*G127))</f>
        <v/>
      </c>
      <c r="K127" s="6">
        <f>IF(A127="","", IF(C127="Doors (leaf)", 0, IF(F127="Full", E127*XLOOKUP(C127,Constants!$A$40:$A$200,Constants!$E$40:$E$200,0,0), IF(F127="Spot", E127*XLOOKUP(C127,Constants!$A$40:$A$200,Constants!$E$40:$E$200,0,0)*0.35, 0))))</f>
        <v/>
      </c>
      <c r="L127">
        <f>IF(A127="","",0)</f>
        <v/>
      </c>
      <c r="M127" s="6">
        <f>IF(A127="","", SUM(I127:K127))</f>
        <v/>
      </c>
      <c r="N127" s="6">
        <f>IF(A127="","", L127/60)</f>
        <v/>
      </c>
      <c r="O127" s="6">
        <f>IF(A127="","", N127*(IF(=IF('Job Control'!$B$3="","", XLOOKUP('Job Control'!$B$3, INPUT_JobSettings!$A:$A, INPUT_JobSettings!$F:$F, ""))&lt;&gt;"", =IF('Job Control'!$B$3="","", XLOOKUP('Job Control'!$B$3, INPUT_JobSettings!$A:$A, INPUT_JobSettings!$F:$F, "")), $B$6)))</f>
        <v/>
      </c>
      <c r="P127" s="6">
        <f>IF(A127="","", (O127+L127)*(IF(=IF('Job Control'!$B$3="","", XLOOKUP('Job Control'!$B$3, INPUT_JobSettings!$A:$A, INPUT_JobSettings!$G:$G, ""))&lt;&gt;"", =IF('Job Control'!$B$3="","", XLOOKUP('Job Control'!$B$3, INPUT_JobSettings!$A:$A, INPUT_JobSettings!$G:$G, "")), $B$7)))</f>
        <v/>
      </c>
    </row>
    <row r="128">
      <c r="A128" s="6">
        <f>IFERROR(INDEX(FILTER(INPUT_Rooms!$B$4:$B$83, INPUT_Rooms!$A$4:$A$83=$B$4, INPUT_Rooms!$T$4:$T$83="Y"), 24), "")</f>
        <v/>
      </c>
      <c r="B128" s="6">
        <f>IF(A128="","", XLOOKUP(A128, FILTER(INPUT_Rooms!$B$4:$B$83, INPUT_Rooms!$A$4:$A$83=$B$4), FILTER(INPUT_Rooms!$C$4:$C$83, INPUT_Rooms!$A$4:$A$83=$B$4), ""))</f>
        <v/>
      </c>
      <c r="C128" s="6">
        <f>IF(A128="","", CHOOSE(3,"Baseboard","Crown","Window Casing","Door Casing","Doors (leaf)"))</f>
        <v/>
      </c>
      <c r="D128" s="6">
        <f>IF(A128="","", XLOOKUP(C128,Constants!$A$40:$A$200,Constants!$B$40:$B$200,"",0))</f>
        <v/>
      </c>
      <c r="E128" s="6">
        <f>IF(A128="","", IF(C128="Baseboard", IF(XLOOKUP(A128,INPUT_Rooms!$B:$B,INPUT_Rooms!$X:$X,"")="Y", XLOOKUP(A128,INPUT_Rooms!$B:$B,INPUT_Rooms!$AF:$AF,""), 0),IF(C128="Crown", IF(XLOOKUP(A128,INPUT_Rooms!$B:$B,INPUT_Rooms!$Y:$Y,"")="Y", XLOOKUP(A128,INPUT_Rooms!$B:$B,INPUT_Rooms!$AG:$AG,""), 0),IF(C128="Window Casing", IF(XLOOKUP(A128,INPUT_Rooms!$B:$B,INPUT_Rooms!$Z:$Z,"")="Y", SUMPRODUCT((INPUT_Openings!$A:$A=$B$4)*(INPUT_Openings!$B:$B=A128)*(INPUT_Openings!$D:$D)*XLOOKUP(INPUT_Openings!$C:$C,Constants!$A$30:$A$200,Constants!$E$30:$E$200,"",0)*(INPUT_Openings!$E:$E="Window")), 0),IF(C128="Door Casing", IF(XLOOKUP(A128,INPUT_Rooms!$B:$B,INPUT_Rooms!$AA:$AA,"")="Y", SUMPRODUCT((INPUT_Openings!$A:$A=$B$4)*(INPUT_Openings!$B:$B=A128)*(INPUT_Openings!$D:$D)*XLOOKUP(INPUT_Openings!$C:$C,Constants!$A$30:$A$200,Constants!$E$30:$E$200,"",0)*(INPUT_Openings!$E:$E="Door")), 0),IF(C128="Doors (leaf)", IF(XLOOKUP(A128,INPUT_Rooms!$B:$B,INPUT_Rooms!$AB:$AB,"")="Y", SUMPRODUCT((INPUT_Doors!$A:$A=$B$4)*(INPUT_Doors!$B:$B=A128)*(INPUT_Doors!$D:$D)*(INPUT_Doors!$E:$E)), 0), 0))))))</f>
        <v/>
      </c>
      <c r="F128" s="6">
        <f>IF(A128="","", XLOOKUP(A128, INPUT_Rooms!$B:$B, INPUT_Rooms!$U:$U, ""))</f>
        <v/>
      </c>
      <c r="G128" s="6">
        <f>IF(A128="","", XLOOKUP(A128, INPUT_Rooms!$B:$B, INPUT_Rooms!$V:$V, ""))</f>
        <v/>
      </c>
      <c r="H128" s="6">
        <f>IF(A128="","", IF(XLOOKUP(A128, INPUT_Rooms!$B:$B, INPUT_Rooms!$W:$W, "")="", $B$5, XLOOKUP(A128, INPUT_Rooms!$B:$B, INPUT_Rooms!$W:$W, "")))</f>
        <v/>
      </c>
      <c r="I128" s="6">
        <f>IF(A128="","", IF(C128="Doors (leaf)", 0, E128*XLOOKUP(C128,Constants!$A$40:$A$200,Constants!$C$40:$C$200,0,0)*XLOOKUP(H128,Constants!$E$10:$E$30,Constants!$F$10:$F$30)))</f>
        <v/>
      </c>
      <c r="J128" s="6">
        <f>IF(A128="","", IF(C128="Doors (leaf)", 0, E128*XLOOKUP(C128,Constants!$A$40:$A$200,Constants!$D$40:$D$200,0,0)*G128))</f>
        <v/>
      </c>
      <c r="K128" s="6">
        <f>IF(A128="","", IF(C128="Doors (leaf)", 0, IF(F128="Full", E128*XLOOKUP(C128,Constants!$A$40:$A$200,Constants!$E$40:$E$200,0,0), IF(F128="Spot", E128*XLOOKUP(C128,Constants!$A$40:$A$200,Constants!$E$40:$E$200,0,0)*0.35, 0))))</f>
        <v/>
      </c>
      <c r="L128">
        <f>IF(A128="","",0)</f>
        <v/>
      </c>
      <c r="M128" s="6">
        <f>IF(A128="","", SUM(I128:K128))</f>
        <v/>
      </c>
      <c r="N128" s="6">
        <f>IF(A128="","", L128/60)</f>
        <v/>
      </c>
      <c r="O128" s="6">
        <f>IF(A128="","", N128*(IF(=IF('Job Control'!$B$3="","", XLOOKUP('Job Control'!$B$3, INPUT_JobSettings!$A:$A, INPUT_JobSettings!$F:$F, ""))&lt;&gt;"", =IF('Job Control'!$B$3="","", XLOOKUP('Job Control'!$B$3, INPUT_JobSettings!$A:$A, INPUT_JobSettings!$F:$F, "")), $B$6)))</f>
        <v/>
      </c>
      <c r="P128" s="6">
        <f>IF(A128="","", (O128+L128)*(IF(=IF('Job Control'!$B$3="","", XLOOKUP('Job Control'!$B$3, INPUT_JobSettings!$A:$A, INPUT_JobSettings!$G:$G, ""))&lt;&gt;"", =IF('Job Control'!$B$3="","", XLOOKUP('Job Control'!$B$3, INPUT_JobSettings!$A:$A, INPUT_JobSettings!$G:$G, "")), $B$7)))</f>
        <v/>
      </c>
    </row>
    <row r="129">
      <c r="A129" s="6">
        <f>IFERROR(INDEX(FILTER(INPUT_Rooms!$B$4:$B$83, INPUT_Rooms!$A$4:$A$83=$B$4, INPUT_Rooms!$T$4:$T$83="Y"), 24), "")</f>
        <v/>
      </c>
      <c r="B129" s="6">
        <f>IF(A129="","", XLOOKUP(A129, FILTER(INPUT_Rooms!$B$4:$B$83, INPUT_Rooms!$A$4:$A$83=$B$4), FILTER(INPUT_Rooms!$C$4:$C$83, INPUT_Rooms!$A$4:$A$83=$B$4), ""))</f>
        <v/>
      </c>
      <c r="C129" s="6">
        <f>IF(A129="","", CHOOSE(4,"Baseboard","Crown","Window Casing","Door Casing","Doors (leaf)"))</f>
        <v/>
      </c>
      <c r="D129" s="6">
        <f>IF(A129="","", XLOOKUP(C129,Constants!$A$40:$A$200,Constants!$B$40:$B$200,"",0))</f>
        <v/>
      </c>
      <c r="E129" s="6">
        <f>IF(A129="","", IF(C129="Baseboard", IF(XLOOKUP(A129,INPUT_Rooms!$B:$B,INPUT_Rooms!$X:$X,"")="Y", XLOOKUP(A129,INPUT_Rooms!$B:$B,INPUT_Rooms!$AF:$AF,""), 0),IF(C129="Crown", IF(XLOOKUP(A129,INPUT_Rooms!$B:$B,INPUT_Rooms!$Y:$Y,"")="Y", XLOOKUP(A129,INPUT_Rooms!$B:$B,INPUT_Rooms!$AG:$AG,""), 0),IF(C129="Window Casing", IF(XLOOKUP(A129,INPUT_Rooms!$B:$B,INPUT_Rooms!$Z:$Z,"")="Y", SUMPRODUCT((INPUT_Openings!$A:$A=$B$4)*(INPUT_Openings!$B:$B=A129)*(INPUT_Openings!$D:$D)*XLOOKUP(INPUT_Openings!$C:$C,Constants!$A$30:$A$200,Constants!$E$30:$E$200,"",0)*(INPUT_Openings!$E:$E="Window")), 0),IF(C129="Door Casing", IF(XLOOKUP(A129,INPUT_Rooms!$B:$B,INPUT_Rooms!$AA:$AA,"")="Y", SUMPRODUCT((INPUT_Openings!$A:$A=$B$4)*(INPUT_Openings!$B:$B=A129)*(INPUT_Openings!$D:$D)*XLOOKUP(INPUT_Openings!$C:$C,Constants!$A$30:$A$200,Constants!$E$30:$E$200,"",0)*(INPUT_Openings!$E:$E="Door")), 0),IF(C129="Doors (leaf)", IF(XLOOKUP(A129,INPUT_Rooms!$B:$B,INPUT_Rooms!$AB:$AB,"")="Y", SUMPRODUCT((INPUT_Doors!$A:$A=$B$4)*(INPUT_Doors!$B:$B=A129)*(INPUT_Doors!$D:$D)*(INPUT_Doors!$E:$E)), 0), 0))))))</f>
        <v/>
      </c>
      <c r="F129" s="6">
        <f>IF(A129="","", XLOOKUP(A129, INPUT_Rooms!$B:$B, INPUT_Rooms!$U:$U, ""))</f>
        <v/>
      </c>
      <c r="G129" s="6">
        <f>IF(A129="","", XLOOKUP(A129, INPUT_Rooms!$B:$B, INPUT_Rooms!$V:$V, ""))</f>
        <v/>
      </c>
      <c r="H129" s="6">
        <f>IF(A129="","", IF(XLOOKUP(A129, INPUT_Rooms!$B:$B, INPUT_Rooms!$W:$W, "")="", $B$5, XLOOKUP(A129, INPUT_Rooms!$B:$B, INPUT_Rooms!$W:$W, "")))</f>
        <v/>
      </c>
      <c r="I129" s="6">
        <f>IF(A129="","", IF(C129="Doors (leaf)", 0, E129*XLOOKUP(C129,Constants!$A$40:$A$200,Constants!$C$40:$C$200,0,0)*XLOOKUP(H129,Constants!$E$10:$E$30,Constants!$F$10:$F$30)))</f>
        <v/>
      </c>
      <c r="J129" s="6">
        <f>IF(A129="","", IF(C129="Doors (leaf)", 0, E129*XLOOKUP(C129,Constants!$A$40:$A$200,Constants!$D$40:$D$200,0,0)*G129))</f>
        <v/>
      </c>
      <c r="K129" s="6">
        <f>IF(A129="","", IF(C129="Doors (leaf)", 0, IF(F129="Full", E129*XLOOKUP(C129,Constants!$A$40:$A$200,Constants!$E$40:$E$200,0,0), IF(F129="Spot", E129*XLOOKUP(C129,Constants!$A$40:$A$200,Constants!$E$40:$E$200,0,0)*0.35, 0))))</f>
        <v/>
      </c>
      <c r="L129">
        <f>IF(A129="","",0)</f>
        <v/>
      </c>
      <c r="M129" s="6">
        <f>IF(A129="","", SUM(I129:K129))</f>
        <v/>
      </c>
      <c r="N129" s="6">
        <f>IF(A129="","", L129/60)</f>
        <v/>
      </c>
      <c r="O129" s="6">
        <f>IF(A129="","", N129*(IF(=IF('Job Control'!$B$3="","", XLOOKUP('Job Control'!$B$3, INPUT_JobSettings!$A:$A, INPUT_JobSettings!$F:$F, ""))&lt;&gt;"", =IF('Job Control'!$B$3="","", XLOOKUP('Job Control'!$B$3, INPUT_JobSettings!$A:$A, INPUT_JobSettings!$F:$F, "")), $B$6)))</f>
        <v/>
      </c>
      <c r="P129" s="6">
        <f>IF(A129="","", (O129+L129)*(IF(=IF('Job Control'!$B$3="","", XLOOKUP('Job Control'!$B$3, INPUT_JobSettings!$A:$A, INPUT_JobSettings!$G:$G, ""))&lt;&gt;"", =IF('Job Control'!$B$3="","", XLOOKUP('Job Control'!$B$3, INPUT_JobSettings!$A:$A, INPUT_JobSettings!$G:$G, "")), $B$7)))</f>
        <v/>
      </c>
    </row>
    <row r="130">
      <c r="A130" s="6">
        <f>IFERROR(INDEX(FILTER(INPUT_Rooms!$B$4:$B$83, INPUT_Rooms!$A$4:$A$83=$B$4, INPUT_Rooms!$T$4:$T$83="Y"), 24), "")</f>
        <v/>
      </c>
      <c r="B130" s="6">
        <f>IF(A130="","", XLOOKUP(A130, FILTER(INPUT_Rooms!$B$4:$B$83, INPUT_Rooms!$A$4:$A$83=$B$4), FILTER(INPUT_Rooms!$C$4:$C$83, INPUT_Rooms!$A$4:$A$83=$B$4), ""))</f>
        <v/>
      </c>
      <c r="C130" s="6">
        <f>IF(A130="","", CHOOSE(5,"Baseboard","Crown","Window Casing","Door Casing","Doors (leaf)"))</f>
        <v/>
      </c>
      <c r="D130" s="6">
        <f>IF(A130="","", XLOOKUP(C130,Constants!$A$40:$A$200,Constants!$B$40:$B$200,"",0))</f>
        <v/>
      </c>
      <c r="E130" s="6">
        <f>IF(A130="","", IF(C130="Baseboard", IF(XLOOKUP(A130,INPUT_Rooms!$B:$B,INPUT_Rooms!$X:$X,"")="Y", XLOOKUP(A130,INPUT_Rooms!$B:$B,INPUT_Rooms!$AF:$AF,""), 0),IF(C130="Crown", IF(XLOOKUP(A130,INPUT_Rooms!$B:$B,INPUT_Rooms!$Y:$Y,"")="Y", XLOOKUP(A130,INPUT_Rooms!$B:$B,INPUT_Rooms!$AG:$AG,""), 0),IF(C130="Window Casing", IF(XLOOKUP(A130,INPUT_Rooms!$B:$B,INPUT_Rooms!$Z:$Z,"")="Y", SUMPRODUCT((INPUT_Openings!$A:$A=$B$4)*(INPUT_Openings!$B:$B=A130)*(INPUT_Openings!$D:$D)*XLOOKUP(INPUT_Openings!$C:$C,Constants!$A$30:$A$200,Constants!$E$30:$E$200,"",0)*(INPUT_Openings!$E:$E="Window")), 0),IF(C130="Door Casing", IF(XLOOKUP(A130,INPUT_Rooms!$B:$B,INPUT_Rooms!$AA:$AA,"")="Y", SUMPRODUCT((INPUT_Openings!$A:$A=$B$4)*(INPUT_Openings!$B:$B=A130)*(INPUT_Openings!$D:$D)*XLOOKUP(INPUT_Openings!$C:$C,Constants!$A$30:$A$200,Constants!$E$30:$E$200,"",0)*(INPUT_Openings!$E:$E="Door")), 0),IF(C130="Doors (leaf)", IF(XLOOKUP(A130,INPUT_Rooms!$B:$B,INPUT_Rooms!$AB:$AB,"")="Y", SUMPRODUCT((INPUT_Doors!$A:$A=$B$4)*(INPUT_Doors!$B:$B=A130)*(INPUT_Doors!$D:$D)*(INPUT_Doors!$E:$E)), 0), 0))))))</f>
        <v/>
      </c>
      <c r="F130" s="6">
        <f>IF(A130="","", XLOOKUP(A130, INPUT_Rooms!$B:$B, INPUT_Rooms!$U:$U, ""))</f>
        <v/>
      </c>
      <c r="G130" s="6">
        <f>IF(A130="","", XLOOKUP(A130, INPUT_Rooms!$B:$B, INPUT_Rooms!$V:$V, ""))</f>
        <v/>
      </c>
      <c r="H130" s="6">
        <f>IF(A130="","", IF(XLOOKUP(A130, INPUT_Rooms!$B:$B, INPUT_Rooms!$W:$W, "")="", $B$5, XLOOKUP(A130, INPUT_Rooms!$B:$B, INPUT_Rooms!$W:$W, "")))</f>
        <v/>
      </c>
      <c r="I130" s="6">
        <f>IF(A130="","", IF(C130="Doors (leaf)", 0, E130*XLOOKUP(C130,Constants!$A$40:$A$200,Constants!$C$40:$C$200,0,0)*XLOOKUP(H130,Constants!$E$10:$E$30,Constants!$F$10:$F$30)))</f>
        <v/>
      </c>
      <c r="J130" s="6">
        <f>IF(A130="","", IF(C130="Doors (leaf)", 0, E130*XLOOKUP(C130,Constants!$A$40:$A$200,Constants!$D$40:$D$200,0,0)*G130))</f>
        <v/>
      </c>
      <c r="K130" s="6">
        <f>IF(A130="","", IF(C130="Doors (leaf)", 0, IF(F130="Full", E130*XLOOKUP(C130,Constants!$A$40:$A$200,Constants!$E$40:$E$200,0,0), IF(F130="Spot", E130*XLOOKUP(C130,Constants!$A$40:$A$200,Constants!$E$40:$E$200,0,0)*0.35, 0))))</f>
        <v/>
      </c>
      <c r="L130">
        <f>IF(A130="","",0)</f>
        <v/>
      </c>
      <c r="M130" s="6">
        <f>IF(A130="","", SUM(I130:K130))</f>
        <v/>
      </c>
      <c r="N130" s="6">
        <f>IF(A130="","", L130/60)</f>
        <v/>
      </c>
      <c r="O130" s="6">
        <f>IF(A130="","", N130*(IF(=IF('Job Control'!$B$3="","", XLOOKUP('Job Control'!$B$3, INPUT_JobSettings!$A:$A, INPUT_JobSettings!$F:$F, ""))&lt;&gt;"", =IF('Job Control'!$B$3="","", XLOOKUP('Job Control'!$B$3, INPUT_JobSettings!$A:$A, INPUT_JobSettings!$F:$F, "")), $B$6)))</f>
        <v/>
      </c>
      <c r="P130" s="6">
        <f>IF(A130="","", (O130+L130)*(IF(=IF('Job Control'!$B$3="","", XLOOKUP('Job Control'!$B$3, INPUT_JobSettings!$A:$A, INPUT_JobSettings!$G:$G, ""))&lt;&gt;"", =IF('Job Control'!$B$3="","", XLOOKUP('Job Control'!$B$3, INPUT_JobSettings!$A:$A, INPUT_JobSettings!$G:$G, "")), $B$7)))</f>
        <v/>
      </c>
    </row>
    <row r="131">
      <c r="A131" s="6">
        <f>IFERROR(INDEX(FILTER(INPUT_Rooms!$B$4:$B$83, INPUT_Rooms!$A$4:$A$83=$B$4, INPUT_Rooms!$T$4:$T$83="Y"), 25), "")</f>
        <v/>
      </c>
      <c r="B131" s="6">
        <f>IF(A131="","", XLOOKUP(A131, FILTER(INPUT_Rooms!$B$4:$B$83, INPUT_Rooms!$A$4:$A$83=$B$4), FILTER(INPUT_Rooms!$C$4:$C$83, INPUT_Rooms!$A$4:$A$83=$B$4), ""))</f>
        <v/>
      </c>
      <c r="C131" s="6">
        <f>IF(A131="","", CHOOSE(1,"Baseboard","Crown","Window Casing","Door Casing","Doors (leaf)"))</f>
        <v/>
      </c>
      <c r="D131" s="6">
        <f>IF(A131="","", XLOOKUP(C131,Constants!$A$40:$A$200,Constants!$B$40:$B$200,"",0))</f>
        <v/>
      </c>
      <c r="E131" s="6">
        <f>IF(A131="","", IF(C131="Baseboard", IF(XLOOKUP(A131,INPUT_Rooms!$B:$B,INPUT_Rooms!$X:$X,"")="Y", XLOOKUP(A131,INPUT_Rooms!$B:$B,INPUT_Rooms!$AF:$AF,""), 0),IF(C131="Crown", IF(XLOOKUP(A131,INPUT_Rooms!$B:$B,INPUT_Rooms!$Y:$Y,"")="Y", XLOOKUP(A131,INPUT_Rooms!$B:$B,INPUT_Rooms!$AG:$AG,""), 0),IF(C131="Window Casing", IF(XLOOKUP(A131,INPUT_Rooms!$B:$B,INPUT_Rooms!$Z:$Z,"")="Y", SUMPRODUCT((INPUT_Openings!$A:$A=$B$4)*(INPUT_Openings!$B:$B=A131)*(INPUT_Openings!$D:$D)*XLOOKUP(INPUT_Openings!$C:$C,Constants!$A$30:$A$200,Constants!$E$30:$E$200,"",0)*(INPUT_Openings!$E:$E="Window")), 0),IF(C131="Door Casing", IF(XLOOKUP(A131,INPUT_Rooms!$B:$B,INPUT_Rooms!$AA:$AA,"")="Y", SUMPRODUCT((INPUT_Openings!$A:$A=$B$4)*(INPUT_Openings!$B:$B=A131)*(INPUT_Openings!$D:$D)*XLOOKUP(INPUT_Openings!$C:$C,Constants!$A$30:$A$200,Constants!$E$30:$E$200,"",0)*(INPUT_Openings!$E:$E="Door")), 0),IF(C131="Doors (leaf)", IF(XLOOKUP(A131,INPUT_Rooms!$B:$B,INPUT_Rooms!$AB:$AB,"")="Y", SUMPRODUCT((INPUT_Doors!$A:$A=$B$4)*(INPUT_Doors!$B:$B=A131)*(INPUT_Doors!$D:$D)*(INPUT_Doors!$E:$E)), 0), 0))))))</f>
        <v/>
      </c>
      <c r="F131" s="6">
        <f>IF(A131="","", XLOOKUP(A131, INPUT_Rooms!$B:$B, INPUT_Rooms!$U:$U, ""))</f>
        <v/>
      </c>
      <c r="G131" s="6">
        <f>IF(A131="","", XLOOKUP(A131, INPUT_Rooms!$B:$B, INPUT_Rooms!$V:$V, ""))</f>
        <v/>
      </c>
      <c r="H131" s="6">
        <f>IF(A131="","", IF(XLOOKUP(A131, INPUT_Rooms!$B:$B, INPUT_Rooms!$W:$W, "")="", $B$5, XLOOKUP(A131, INPUT_Rooms!$B:$B, INPUT_Rooms!$W:$W, "")))</f>
        <v/>
      </c>
      <c r="I131" s="6">
        <f>IF(A131="","", IF(C131="Doors (leaf)", 0, E131*XLOOKUP(C131,Constants!$A$40:$A$200,Constants!$C$40:$C$200,0,0)*XLOOKUP(H131,Constants!$E$10:$E$30,Constants!$F$10:$F$30)))</f>
        <v/>
      </c>
      <c r="J131" s="6">
        <f>IF(A131="","", IF(C131="Doors (leaf)", 0, E131*XLOOKUP(C131,Constants!$A$40:$A$200,Constants!$D$40:$D$200,0,0)*G131))</f>
        <v/>
      </c>
      <c r="K131" s="6">
        <f>IF(A131="","", IF(C131="Doors (leaf)", 0, IF(F131="Full", E131*XLOOKUP(C131,Constants!$A$40:$A$200,Constants!$E$40:$E$200,0,0), IF(F131="Spot", E131*XLOOKUP(C131,Constants!$A$40:$A$200,Constants!$E$40:$E$200,0,0)*0.35, 0))))</f>
        <v/>
      </c>
      <c r="L131">
        <f>IF(A131="","",0)</f>
        <v/>
      </c>
      <c r="M131" s="6">
        <f>IF(A131="","", SUM(I131:K131))</f>
        <v/>
      </c>
      <c r="N131" s="6">
        <f>IF(A131="","", L131/60)</f>
        <v/>
      </c>
      <c r="O131" s="6">
        <f>IF(A131="","", N131*(IF(=IF('Job Control'!$B$3="","", XLOOKUP('Job Control'!$B$3, INPUT_JobSettings!$A:$A, INPUT_JobSettings!$F:$F, ""))&lt;&gt;"", =IF('Job Control'!$B$3="","", XLOOKUP('Job Control'!$B$3, INPUT_JobSettings!$A:$A, INPUT_JobSettings!$F:$F, "")), $B$6)))</f>
        <v/>
      </c>
      <c r="P131" s="6">
        <f>IF(A131="","", (O131+L131)*(IF(=IF('Job Control'!$B$3="","", XLOOKUP('Job Control'!$B$3, INPUT_JobSettings!$A:$A, INPUT_JobSettings!$G:$G, ""))&lt;&gt;"", =IF('Job Control'!$B$3="","", XLOOKUP('Job Control'!$B$3, INPUT_JobSettings!$A:$A, INPUT_JobSettings!$G:$G, "")), $B$7)))</f>
        <v/>
      </c>
    </row>
    <row r="132">
      <c r="A132" s="6">
        <f>IFERROR(INDEX(FILTER(INPUT_Rooms!$B$4:$B$83, INPUT_Rooms!$A$4:$A$83=$B$4, INPUT_Rooms!$T$4:$T$83="Y"), 25), "")</f>
        <v/>
      </c>
      <c r="B132" s="6">
        <f>IF(A132="","", XLOOKUP(A132, FILTER(INPUT_Rooms!$B$4:$B$83, INPUT_Rooms!$A$4:$A$83=$B$4), FILTER(INPUT_Rooms!$C$4:$C$83, INPUT_Rooms!$A$4:$A$83=$B$4), ""))</f>
        <v/>
      </c>
      <c r="C132" s="6">
        <f>IF(A132="","", CHOOSE(2,"Baseboard","Crown","Window Casing","Door Casing","Doors (leaf)"))</f>
        <v/>
      </c>
      <c r="D132" s="6">
        <f>IF(A132="","", XLOOKUP(C132,Constants!$A$40:$A$200,Constants!$B$40:$B$200,"",0))</f>
        <v/>
      </c>
      <c r="E132" s="6">
        <f>IF(A132="","", IF(C132="Baseboard", IF(XLOOKUP(A132,INPUT_Rooms!$B:$B,INPUT_Rooms!$X:$X,"")="Y", XLOOKUP(A132,INPUT_Rooms!$B:$B,INPUT_Rooms!$AF:$AF,""), 0),IF(C132="Crown", IF(XLOOKUP(A132,INPUT_Rooms!$B:$B,INPUT_Rooms!$Y:$Y,"")="Y", XLOOKUP(A132,INPUT_Rooms!$B:$B,INPUT_Rooms!$AG:$AG,""), 0),IF(C132="Window Casing", IF(XLOOKUP(A132,INPUT_Rooms!$B:$B,INPUT_Rooms!$Z:$Z,"")="Y", SUMPRODUCT((INPUT_Openings!$A:$A=$B$4)*(INPUT_Openings!$B:$B=A132)*(INPUT_Openings!$D:$D)*XLOOKUP(INPUT_Openings!$C:$C,Constants!$A$30:$A$200,Constants!$E$30:$E$200,"",0)*(INPUT_Openings!$E:$E="Window")), 0),IF(C132="Door Casing", IF(XLOOKUP(A132,INPUT_Rooms!$B:$B,INPUT_Rooms!$AA:$AA,"")="Y", SUMPRODUCT((INPUT_Openings!$A:$A=$B$4)*(INPUT_Openings!$B:$B=A132)*(INPUT_Openings!$D:$D)*XLOOKUP(INPUT_Openings!$C:$C,Constants!$A$30:$A$200,Constants!$E$30:$E$200,"",0)*(INPUT_Openings!$E:$E="Door")), 0),IF(C132="Doors (leaf)", IF(XLOOKUP(A132,INPUT_Rooms!$B:$B,INPUT_Rooms!$AB:$AB,"")="Y", SUMPRODUCT((INPUT_Doors!$A:$A=$B$4)*(INPUT_Doors!$B:$B=A132)*(INPUT_Doors!$D:$D)*(INPUT_Doors!$E:$E)), 0), 0))))))</f>
        <v/>
      </c>
      <c r="F132" s="6">
        <f>IF(A132="","", XLOOKUP(A132, INPUT_Rooms!$B:$B, INPUT_Rooms!$U:$U, ""))</f>
        <v/>
      </c>
      <c r="G132" s="6">
        <f>IF(A132="","", XLOOKUP(A132, INPUT_Rooms!$B:$B, INPUT_Rooms!$V:$V, ""))</f>
        <v/>
      </c>
      <c r="H132" s="6">
        <f>IF(A132="","", IF(XLOOKUP(A132, INPUT_Rooms!$B:$B, INPUT_Rooms!$W:$W, "")="", $B$5, XLOOKUP(A132, INPUT_Rooms!$B:$B, INPUT_Rooms!$W:$W, "")))</f>
        <v/>
      </c>
      <c r="I132" s="6">
        <f>IF(A132="","", IF(C132="Doors (leaf)", 0, E132*XLOOKUP(C132,Constants!$A$40:$A$200,Constants!$C$40:$C$200,0,0)*XLOOKUP(H132,Constants!$E$10:$E$30,Constants!$F$10:$F$30)))</f>
        <v/>
      </c>
      <c r="J132" s="6">
        <f>IF(A132="","", IF(C132="Doors (leaf)", 0, E132*XLOOKUP(C132,Constants!$A$40:$A$200,Constants!$D$40:$D$200,0,0)*G132))</f>
        <v/>
      </c>
      <c r="K132" s="6">
        <f>IF(A132="","", IF(C132="Doors (leaf)", 0, IF(F132="Full", E132*XLOOKUP(C132,Constants!$A$40:$A$200,Constants!$E$40:$E$200,0,0), IF(F132="Spot", E132*XLOOKUP(C132,Constants!$A$40:$A$200,Constants!$E$40:$E$200,0,0)*0.35, 0))))</f>
        <v/>
      </c>
      <c r="L132">
        <f>IF(A132="","",0)</f>
        <v/>
      </c>
      <c r="M132" s="6">
        <f>IF(A132="","", SUM(I132:K132))</f>
        <v/>
      </c>
      <c r="N132" s="6">
        <f>IF(A132="","", L132/60)</f>
        <v/>
      </c>
      <c r="O132" s="6">
        <f>IF(A132="","", N132*(IF(=IF('Job Control'!$B$3="","", XLOOKUP('Job Control'!$B$3, INPUT_JobSettings!$A:$A, INPUT_JobSettings!$F:$F, ""))&lt;&gt;"", =IF('Job Control'!$B$3="","", XLOOKUP('Job Control'!$B$3, INPUT_JobSettings!$A:$A, INPUT_JobSettings!$F:$F, "")), $B$6)))</f>
        <v/>
      </c>
      <c r="P132" s="6">
        <f>IF(A132="","", (O132+L132)*(IF(=IF('Job Control'!$B$3="","", XLOOKUP('Job Control'!$B$3, INPUT_JobSettings!$A:$A, INPUT_JobSettings!$G:$G, ""))&lt;&gt;"", =IF('Job Control'!$B$3="","", XLOOKUP('Job Control'!$B$3, INPUT_JobSettings!$A:$A, INPUT_JobSettings!$G:$G, "")), $B$7)))</f>
        <v/>
      </c>
    </row>
    <row r="133">
      <c r="A133" s="6">
        <f>IFERROR(INDEX(FILTER(INPUT_Rooms!$B$4:$B$83, INPUT_Rooms!$A$4:$A$83=$B$4, INPUT_Rooms!$T$4:$T$83="Y"), 25), "")</f>
        <v/>
      </c>
      <c r="B133" s="6">
        <f>IF(A133="","", XLOOKUP(A133, FILTER(INPUT_Rooms!$B$4:$B$83, INPUT_Rooms!$A$4:$A$83=$B$4), FILTER(INPUT_Rooms!$C$4:$C$83, INPUT_Rooms!$A$4:$A$83=$B$4), ""))</f>
        <v/>
      </c>
      <c r="C133" s="6">
        <f>IF(A133="","", CHOOSE(3,"Baseboard","Crown","Window Casing","Door Casing","Doors (leaf)"))</f>
        <v/>
      </c>
      <c r="D133" s="6">
        <f>IF(A133="","", XLOOKUP(C133,Constants!$A$40:$A$200,Constants!$B$40:$B$200,"",0))</f>
        <v/>
      </c>
      <c r="E133" s="6">
        <f>IF(A133="","", IF(C133="Baseboard", IF(XLOOKUP(A133,INPUT_Rooms!$B:$B,INPUT_Rooms!$X:$X,"")="Y", XLOOKUP(A133,INPUT_Rooms!$B:$B,INPUT_Rooms!$AF:$AF,""), 0),IF(C133="Crown", IF(XLOOKUP(A133,INPUT_Rooms!$B:$B,INPUT_Rooms!$Y:$Y,"")="Y", XLOOKUP(A133,INPUT_Rooms!$B:$B,INPUT_Rooms!$AG:$AG,""), 0),IF(C133="Window Casing", IF(XLOOKUP(A133,INPUT_Rooms!$B:$B,INPUT_Rooms!$Z:$Z,"")="Y", SUMPRODUCT((INPUT_Openings!$A:$A=$B$4)*(INPUT_Openings!$B:$B=A133)*(INPUT_Openings!$D:$D)*XLOOKUP(INPUT_Openings!$C:$C,Constants!$A$30:$A$200,Constants!$E$30:$E$200,"",0)*(INPUT_Openings!$E:$E="Window")), 0),IF(C133="Door Casing", IF(XLOOKUP(A133,INPUT_Rooms!$B:$B,INPUT_Rooms!$AA:$AA,"")="Y", SUMPRODUCT((INPUT_Openings!$A:$A=$B$4)*(INPUT_Openings!$B:$B=A133)*(INPUT_Openings!$D:$D)*XLOOKUP(INPUT_Openings!$C:$C,Constants!$A$30:$A$200,Constants!$E$30:$E$200,"",0)*(INPUT_Openings!$E:$E="Door")), 0),IF(C133="Doors (leaf)", IF(XLOOKUP(A133,INPUT_Rooms!$B:$B,INPUT_Rooms!$AB:$AB,"")="Y", SUMPRODUCT((INPUT_Doors!$A:$A=$B$4)*(INPUT_Doors!$B:$B=A133)*(INPUT_Doors!$D:$D)*(INPUT_Doors!$E:$E)), 0), 0))))))</f>
        <v/>
      </c>
      <c r="F133" s="6">
        <f>IF(A133="","", XLOOKUP(A133, INPUT_Rooms!$B:$B, INPUT_Rooms!$U:$U, ""))</f>
        <v/>
      </c>
      <c r="G133" s="6">
        <f>IF(A133="","", XLOOKUP(A133, INPUT_Rooms!$B:$B, INPUT_Rooms!$V:$V, ""))</f>
        <v/>
      </c>
      <c r="H133" s="6">
        <f>IF(A133="","", IF(XLOOKUP(A133, INPUT_Rooms!$B:$B, INPUT_Rooms!$W:$W, "")="", $B$5, XLOOKUP(A133, INPUT_Rooms!$B:$B, INPUT_Rooms!$W:$W, "")))</f>
        <v/>
      </c>
      <c r="I133" s="6">
        <f>IF(A133="","", IF(C133="Doors (leaf)", 0, E133*XLOOKUP(C133,Constants!$A$40:$A$200,Constants!$C$40:$C$200,0,0)*XLOOKUP(H133,Constants!$E$10:$E$30,Constants!$F$10:$F$30)))</f>
        <v/>
      </c>
      <c r="J133" s="6">
        <f>IF(A133="","", IF(C133="Doors (leaf)", 0, E133*XLOOKUP(C133,Constants!$A$40:$A$200,Constants!$D$40:$D$200,0,0)*G133))</f>
        <v/>
      </c>
      <c r="K133" s="6">
        <f>IF(A133="","", IF(C133="Doors (leaf)", 0, IF(F133="Full", E133*XLOOKUP(C133,Constants!$A$40:$A$200,Constants!$E$40:$E$200,0,0), IF(F133="Spot", E133*XLOOKUP(C133,Constants!$A$40:$A$200,Constants!$E$40:$E$200,0,0)*0.35, 0))))</f>
        <v/>
      </c>
      <c r="L133">
        <f>IF(A133="","",0)</f>
        <v/>
      </c>
      <c r="M133" s="6">
        <f>IF(A133="","", SUM(I133:K133))</f>
        <v/>
      </c>
      <c r="N133" s="6">
        <f>IF(A133="","", L133/60)</f>
        <v/>
      </c>
      <c r="O133" s="6">
        <f>IF(A133="","", N133*(IF(=IF('Job Control'!$B$3="","", XLOOKUP('Job Control'!$B$3, INPUT_JobSettings!$A:$A, INPUT_JobSettings!$F:$F, ""))&lt;&gt;"", =IF('Job Control'!$B$3="","", XLOOKUP('Job Control'!$B$3, INPUT_JobSettings!$A:$A, INPUT_JobSettings!$F:$F, "")), $B$6)))</f>
        <v/>
      </c>
      <c r="P133" s="6">
        <f>IF(A133="","", (O133+L133)*(IF(=IF('Job Control'!$B$3="","", XLOOKUP('Job Control'!$B$3, INPUT_JobSettings!$A:$A, INPUT_JobSettings!$G:$G, ""))&lt;&gt;"", =IF('Job Control'!$B$3="","", XLOOKUP('Job Control'!$B$3, INPUT_JobSettings!$A:$A, INPUT_JobSettings!$G:$G, "")), $B$7)))</f>
        <v/>
      </c>
    </row>
    <row r="134">
      <c r="A134" s="6">
        <f>IFERROR(INDEX(FILTER(INPUT_Rooms!$B$4:$B$83, INPUT_Rooms!$A$4:$A$83=$B$4, INPUT_Rooms!$T$4:$T$83="Y"), 25), "")</f>
        <v/>
      </c>
      <c r="B134" s="6">
        <f>IF(A134="","", XLOOKUP(A134, FILTER(INPUT_Rooms!$B$4:$B$83, INPUT_Rooms!$A$4:$A$83=$B$4), FILTER(INPUT_Rooms!$C$4:$C$83, INPUT_Rooms!$A$4:$A$83=$B$4), ""))</f>
        <v/>
      </c>
      <c r="C134" s="6">
        <f>IF(A134="","", CHOOSE(4,"Baseboard","Crown","Window Casing","Door Casing","Doors (leaf)"))</f>
        <v/>
      </c>
      <c r="D134" s="6">
        <f>IF(A134="","", XLOOKUP(C134,Constants!$A$40:$A$200,Constants!$B$40:$B$200,"",0))</f>
        <v/>
      </c>
      <c r="E134" s="6">
        <f>IF(A134="","", IF(C134="Baseboard", IF(XLOOKUP(A134,INPUT_Rooms!$B:$B,INPUT_Rooms!$X:$X,"")="Y", XLOOKUP(A134,INPUT_Rooms!$B:$B,INPUT_Rooms!$AF:$AF,""), 0),IF(C134="Crown", IF(XLOOKUP(A134,INPUT_Rooms!$B:$B,INPUT_Rooms!$Y:$Y,"")="Y", XLOOKUP(A134,INPUT_Rooms!$B:$B,INPUT_Rooms!$AG:$AG,""), 0),IF(C134="Window Casing", IF(XLOOKUP(A134,INPUT_Rooms!$B:$B,INPUT_Rooms!$Z:$Z,"")="Y", SUMPRODUCT((INPUT_Openings!$A:$A=$B$4)*(INPUT_Openings!$B:$B=A134)*(INPUT_Openings!$D:$D)*XLOOKUP(INPUT_Openings!$C:$C,Constants!$A$30:$A$200,Constants!$E$30:$E$200,"",0)*(INPUT_Openings!$E:$E="Window")), 0),IF(C134="Door Casing", IF(XLOOKUP(A134,INPUT_Rooms!$B:$B,INPUT_Rooms!$AA:$AA,"")="Y", SUMPRODUCT((INPUT_Openings!$A:$A=$B$4)*(INPUT_Openings!$B:$B=A134)*(INPUT_Openings!$D:$D)*XLOOKUP(INPUT_Openings!$C:$C,Constants!$A$30:$A$200,Constants!$E$30:$E$200,"",0)*(INPUT_Openings!$E:$E="Door")), 0),IF(C134="Doors (leaf)", IF(XLOOKUP(A134,INPUT_Rooms!$B:$B,INPUT_Rooms!$AB:$AB,"")="Y", SUMPRODUCT((INPUT_Doors!$A:$A=$B$4)*(INPUT_Doors!$B:$B=A134)*(INPUT_Doors!$D:$D)*(INPUT_Doors!$E:$E)), 0), 0))))))</f>
        <v/>
      </c>
      <c r="F134" s="6">
        <f>IF(A134="","", XLOOKUP(A134, INPUT_Rooms!$B:$B, INPUT_Rooms!$U:$U, ""))</f>
        <v/>
      </c>
      <c r="G134" s="6">
        <f>IF(A134="","", XLOOKUP(A134, INPUT_Rooms!$B:$B, INPUT_Rooms!$V:$V, ""))</f>
        <v/>
      </c>
      <c r="H134" s="6">
        <f>IF(A134="","", IF(XLOOKUP(A134, INPUT_Rooms!$B:$B, INPUT_Rooms!$W:$W, "")="", $B$5, XLOOKUP(A134, INPUT_Rooms!$B:$B, INPUT_Rooms!$W:$W, "")))</f>
        <v/>
      </c>
      <c r="I134" s="6">
        <f>IF(A134="","", IF(C134="Doors (leaf)", 0, E134*XLOOKUP(C134,Constants!$A$40:$A$200,Constants!$C$40:$C$200,0,0)*XLOOKUP(H134,Constants!$E$10:$E$30,Constants!$F$10:$F$30)))</f>
        <v/>
      </c>
      <c r="J134" s="6">
        <f>IF(A134="","", IF(C134="Doors (leaf)", 0, E134*XLOOKUP(C134,Constants!$A$40:$A$200,Constants!$D$40:$D$200,0,0)*G134))</f>
        <v/>
      </c>
      <c r="K134" s="6">
        <f>IF(A134="","", IF(C134="Doors (leaf)", 0, IF(F134="Full", E134*XLOOKUP(C134,Constants!$A$40:$A$200,Constants!$E$40:$E$200,0,0), IF(F134="Spot", E134*XLOOKUP(C134,Constants!$A$40:$A$200,Constants!$E$40:$E$200,0,0)*0.35, 0))))</f>
        <v/>
      </c>
      <c r="L134">
        <f>IF(A134="","",0)</f>
        <v/>
      </c>
      <c r="M134" s="6">
        <f>IF(A134="","", SUM(I134:K134))</f>
        <v/>
      </c>
      <c r="N134" s="6">
        <f>IF(A134="","", L134/60)</f>
        <v/>
      </c>
      <c r="O134" s="6">
        <f>IF(A134="","", N134*(IF(=IF('Job Control'!$B$3="","", XLOOKUP('Job Control'!$B$3, INPUT_JobSettings!$A:$A, INPUT_JobSettings!$F:$F, ""))&lt;&gt;"", =IF('Job Control'!$B$3="","", XLOOKUP('Job Control'!$B$3, INPUT_JobSettings!$A:$A, INPUT_JobSettings!$F:$F, "")), $B$6)))</f>
        <v/>
      </c>
      <c r="P134" s="6">
        <f>IF(A134="","", (O134+L134)*(IF(=IF('Job Control'!$B$3="","", XLOOKUP('Job Control'!$B$3, INPUT_JobSettings!$A:$A, INPUT_JobSettings!$G:$G, ""))&lt;&gt;"", =IF('Job Control'!$B$3="","", XLOOKUP('Job Control'!$B$3, INPUT_JobSettings!$A:$A, INPUT_JobSettings!$G:$G, "")), $B$7)))</f>
        <v/>
      </c>
    </row>
    <row r="135">
      <c r="A135" s="6">
        <f>IFERROR(INDEX(FILTER(INPUT_Rooms!$B$4:$B$83, INPUT_Rooms!$A$4:$A$83=$B$4, INPUT_Rooms!$T$4:$T$83="Y"), 25), "")</f>
        <v/>
      </c>
      <c r="B135" s="6">
        <f>IF(A135="","", XLOOKUP(A135, FILTER(INPUT_Rooms!$B$4:$B$83, INPUT_Rooms!$A$4:$A$83=$B$4), FILTER(INPUT_Rooms!$C$4:$C$83, INPUT_Rooms!$A$4:$A$83=$B$4), ""))</f>
        <v/>
      </c>
      <c r="C135" s="6">
        <f>IF(A135="","", CHOOSE(5,"Baseboard","Crown","Window Casing","Door Casing","Doors (leaf)"))</f>
        <v/>
      </c>
      <c r="D135" s="6">
        <f>IF(A135="","", XLOOKUP(C135,Constants!$A$40:$A$200,Constants!$B$40:$B$200,"",0))</f>
        <v/>
      </c>
      <c r="E135" s="6">
        <f>IF(A135="","", IF(C135="Baseboard", IF(XLOOKUP(A135,INPUT_Rooms!$B:$B,INPUT_Rooms!$X:$X,"")="Y", XLOOKUP(A135,INPUT_Rooms!$B:$B,INPUT_Rooms!$AF:$AF,""), 0),IF(C135="Crown", IF(XLOOKUP(A135,INPUT_Rooms!$B:$B,INPUT_Rooms!$Y:$Y,"")="Y", XLOOKUP(A135,INPUT_Rooms!$B:$B,INPUT_Rooms!$AG:$AG,""), 0),IF(C135="Window Casing", IF(XLOOKUP(A135,INPUT_Rooms!$B:$B,INPUT_Rooms!$Z:$Z,"")="Y", SUMPRODUCT((INPUT_Openings!$A:$A=$B$4)*(INPUT_Openings!$B:$B=A135)*(INPUT_Openings!$D:$D)*XLOOKUP(INPUT_Openings!$C:$C,Constants!$A$30:$A$200,Constants!$E$30:$E$200,"",0)*(INPUT_Openings!$E:$E="Window")), 0),IF(C135="Door Casing", IF(XLOOKUP(A135,INPUT_Rooms!$B:$B,INPUT_Rooms!$AA:$AA,"")="Y", SUMPRODUCT((INPUT_Openings!$A:$A=$B$4)*(INPUT_Openings!$B:$B=A135)*(INPUT_Openings!$D:$D)*XLOOKUP(INPUT_Openings!$C:$C,Constants!$A$30:$A$200,Constants!$E$30:$E$200,"",0)*(INPUT_Openings!$E:$E="Door")), 0),IF(C135="Doors (leaf)", IF(XLOOKUP(A135,INPUT_Rooms!$B:$B,INPUT_Rooms!$AB:$AB,"")="Y", SUMPRODUCT((INPUT_Doors!$A:$A=$B$4)*(INPUT_Doors!$B:$B=A135)*(INPUT_Doors!$D:$D)*(INPUT_Doors!$E:$E)), 0), 0))))))</f>
        <v/>
      </c>
      <c r="F135" s="6">
        <f>IF(A135="","", XLOOKUP(A135, INPUT_Rooms!$B:$B, INPUT_Rooms!$U:$U, ""))</f>
        <v/>
      </c>
      <c r="G135" s="6">
        <f>IF(A135="","", XLOOKUP(A135, INPUT_Rooms!$B:$B, INPUT_Rooms!$V:$V, ""))</f>
        <v/>
      </c>
      <c r="H135" s="6">
        <f>IF(A135="","", IF(XLOOKUP(A135, INPUT_Rooms!$B:$B, INPUT_Rooms!$W:$W, "")="", $B$5, XLOOKUP(A135, INPUT_Rooms!$B:$B, INPUT_Rooms!$W:$W, "")))</f>
        <v/>
      </c>
      <c r="I135" s="6">
        <f>IF(A135="","", IF(C135="Doors (leaf)", 0, E135*XLOOKUP(C135,Constants!$A$40:$A$200,Constants!$C$40:$C$200,0,0)*XLOOKUP(H135,Constants!$E$10:$E$30,Constants!$F$10:$F$30)))</f>
        <v/>
      </c>
      <c r="J135" s="6">
        <f>IF(A135="","", IF(C135="Doors (leaf)", 0, E135*XLOOKUP(C135,Constants!$A$40:$A$200,Constants!$D$40:$D$200,0,0)*G135))</f>
        <v/>
      </c>
      <c r="K135" s="6">
        <f>IF(A135="","", IF(C135="Doors (leaf)", 0, IF(F135="Full", E135*XLOOKUP(C135,Constants!$A$40:$A$200,Constants!$E$40:$E$200,0,0), IF(F135="Spot", E135*XLOOKUP(C135,Constants!$A$40:$A$200,Constants!$E$40:$E$200,0,0)*0.35, 0))))</f>
        <v/>
      </c>
      <c r="L135">
        <f>IF(A135="","",0)</f>
        <v/>
      </c>
      <c r="M135" s="6">
        <f>IF(A135="","", SUM(I135:K135))</f>
        <v/>
      </c>
      <c r="N135" s="6">
        <f>IF(A135="","", L135/60)</f>
        <v/>
      </c>
      <c r="O135" s="6">
        <f>IF(A135="","", N135*(IF(=IF('Job Control'!$B$3="","", XLOOKUP('Job Control'!$B$3, INPUT_JobSettings!$A:$A, INPUT_JobSettings!$F:$F, ""))&lt;&gt;"", =IF('Job Control'!$B$3="","", XLOOKUP('Job Control'!$B$3, INPUT_JobSettings!$A:$A, INPUT_JobSettings!$F:$F, "")), $B$6)))</f>
        <v/>
      </c>
      <c r="P135" s="6">
        <f>IF(A135="","", (O135+L135)*(IF(=IF('Job Control'!$B$3="","", XLOOKUP('Job Control'!$B$3, INPUT_JobSettings!$A:$A, INPUT_JobSettings!$G:$G, ""))&lt;&gt;"", =IF('Job Control'!$B$3="","", XLOOKUP('Job Control'!$B$3, INPUT_JobSettings!$A:$A, INPUT_JobSettings!$G:$G, "")), $B$7)))</f>
        <v/>
      </c>
    </row>
    <row r="136">
      <c r="A136" s="6">
        <f>IFERROR(INDEX(FILTER(INPUT_Rooms!$B$4:$B$83, INPUT_Rooms!$A$4:$A$83=$B$4, INPUT_Rooms!$T$4:$T$83="Y"), 26), "")</f>
        <v/>
      </c>
      <c r="B136" s="6">
        <f>IF(A136="","", XLOOKUP(A136, FILTER(INPUT_Rooms!$B$4:$B$83, INPUT_Rooms!$A$4:$A$83=$B$4), FILTER(INPUT_Rooms!$C$4:$C$83, INPUT_Rooms!$A$4:$A$83=$B$4), ""))</f>
        <v/>
      </c>
      <c r="C136" s="6">
        <f>IF(A136="","", CHOOSE(1,"Baseboard","Crown","Window Casing","Door Casing","Doors (leaf)"))</f>
        <v/>
      </c>
      <c r="D136" s="6">
        <f>IF(A136="","", XLOOKUP(C136,Constants!$A$40:$A$200,Constants!$B$40:$B$200,"",0))</f>
        <v/>
      </c>
      <c r="E136" s="6">
        <f>IF(A136="","", IF(C136="Baseboard", IF(XLOOKUP(A136,INPUT_Rooms!$B:$B,INPUT_Rooms!$X:$X,"")="Y", XLOOKUP(A136,INPUT_Rooms!$B:$B,INPUT_Rooms!$AF:$AF,""), 0),IF(C136="Crown", IF(XLOOKUP(A136,INPUT_Rooms!$B:$B,INPUT_Rooms!$Y:$Y,"")="Y", XLOOKUP(A136,INPUT_Rooms!$B:$B,INPUT_Rooms!$AG:$AG,""), 0),IF(C136="Window Casing", IF(XLOOKUP(A136,INPUT_Rooms!$B:$B,INPUT_Rooms!$Z:$Z,"")="Y", SUMPRODUCT((INPUT_Openings!$A:$A=$B$4)*(INPUT_Openings!$B:$B=A136)*(INPUT_Openings!$D:$D)*XLOOKUP(INPUT_Openings!$C:$C,Constants!$A$30:$A$200,Constants!$E$30:$E$200,"",0)*(INPUT_Openings!$E:$E="Window")), 0),IF(C136="Door Casing", IF(XLOOKUP(A136,INPUT_Rooms!$B:$B,INPUT_Rooms!$AA:$AA,"")="Y", SUMPRODUCT((INPUT_Openings!$A:$A=$B$4)*(INPUT_Openings!$B:$B=A136)*(INPUT_Openings!$D:$D)*XLOOKUP(INPUT_Openings!$C:$C,Constants!$A$30:$A$200,Constants!$E$30:$E$200,"",0)*(INPUT_Openings!$E:$E="Door")), 0),IF(C136="Doors (leaf)", IF(XLOOKUP(A136,INPUT_Rooms!$B:$B,INPUT_Rooms!$AB:$AB,"")="Y", SUMPRODUCT((INPUT_Doors!$A:$A=$B$4)*(INPUT_Doors!$B:$B=A136)*(INPUT_Doors!$D:$D)*(INPUT_Doors!$E:$E)), 0), 0))))))</f>
        <v/>
      </c>
      <c r="F136" s="6">
        <f>IF(A136="","", XLOOKUP(A136, INPUT_Rooms!$B:$B, INPUT_Rooms!$U:$U, ""))</f>
        <v/>
      </c>
      <c r="G136" s="6">
        <f>IF(A136="","", XLOOKUP(A136, INPUT_Rooms!$B:$B, INPUT_Rooms!$V:$V, ""))</f>
        <v/>
      </c>
      <c r="H136" s="6">
        <f>IF(A136="","", IF(XLOOKUP(A136, INPUT_Rooms!$B:$B, INPUT_Rooms!$W:$W, "")="", $B$5, XLOOKUP(A136, INPUT_Rooms!$B:$B, INPUT_Rooms!$W:$W, "")))</f>
        <v/>
      </c>
      <c r="I136" s="6">
        <f>IF(A136="","", IF(C136="Doors (leaf)", 0, E136*XLOOKUP(C136,Constants!$A$40:$A$200,Constants!$C$40:$C$200,0,0)*XLOOKUP(H136,Constants!$E$10:$E$30,Constants!$F$10:$F$30)))</f>
        <v/>
      </c>
      <c r="J136" s="6">
        <f>IF(A136="","", IF(C136="Doors (leaf)", 0, E136*XLOOKUP(C136,Constants!$A$40:$A$200,Constants!$D$40:$D$200,0,0)*G136))</f>
        <v/>
      </c>
      <c r="K136" s="6">
        <f>IF(A136="","", IF(C136="Doors (leaf)", 0, IF(F136="Full", E136*XLOOKUP(C136,Constants!$A$40:$A$200,Constants!$E$40:$E$200,0,0), IF(F136="Spot", E136*XLOOKUP(C136,Constants!$A$40:$A$200,Constants!$E$40:$E$200,0,0)*0.35, 0))))</f>
        <v/>
      </c>
      <c r="L136">
        <f>IF(A136="","",0)</f>
        <v/>
      </c>
      <c r="M136" s="6">
        <f>IF(A136="","", SUM(I136:K136))</f>
        <v/>
      </c>
      <c r="N136" s="6">
        <f>IF(A136="","", L136/60)</f>
        <v/>
      </c>
      <c r="O136" s="6">
        <f>IF(A136="","", N136*(IF(=IF('Job Control'!$B$3="","", XLOOKUP('Job Control'!$B$3, INPUT_JobSettings!$A:$A, INPUT_JobSettings!$F:$F, ""))&lt;&gt;"", =IF('Job Control'!$B$3="","", XLOOKUP('Job Control'!$B$3, INPUT_JobSettings!$A:$A, INPUT_JobSettings!$F:$F, "")), $B$6)))</f>
        <v/>
      </c>
      <c r="P136" s="6">
        <f>IF(A136="","", (O136+L136)*(IF(=IF('Job Control'!$B$3="","", XLOOKUP('Job Control'!$B$3, INPUT_JobSettings!$A:$A, INPUT_JobSettings!$G:$G, ""))&lt;&gt;"", =IF('Job Control'!$B$3="","", XLOOKUP('Job Control'!$B$3, INPUT_JobSettings!$A:$A, INPUT_JobSettings!$G:$G, "")), $B$7)))</f>
        <v/>
      </c>
    </row>
    <row r="137">
      <c r="A137" s="6">
        <f>IFERROR(INDEX(FILTER(INPUT_Rooms!$B$4:$B$83, INPUT_Rooms!$A$4:$A$83=$B$4, INPUT_Rooms!$T$4:$T$83="Y"), 26), "")</f>
        <v/>
      </c>
      <c r="B137" s="6">
        <f>IF(A137="","", XLOOKUP(A137, FILTER(INPUT_Rooms!$B$4:$B$83, INPUT_Rooms!$A$4:$A$83=$B$4), FILTER(INPUT_Rooms!$C$4:$C$83, INPUT_Rooms!$A$4:$A$83=$B$4), ""))</f>
        <v/>
      </c>
      <c r="C137" s="6">
        <f>IF(A137="","", CHOOSE(2,"Baseboard","Crown","Window Casing","Door Casing","Doors (leaf)"))</f>
        <v/>
      </c>
      <c r="D137" s="6">
        <f>IF(A137="","", XLOOKUP(C137,Constants!$A$40:$A$200,Constants!$B$40:$B$200,"",0))</f>
        <v/>
      </c>
      <c r="E137" s="6">
        <f>IF(A137="","", IF(C137="Baseboard", IF(XLOOKUP(A137,INPUT_Rooms!$B:$B,INPUT_Rooms!$X:$X,"")="Y", XLOOKUP(A137,INPUT_Rooms!$B:$B,INPUT_Rooms!$AF:$AF,""), 0),IF(C137="Crown", IF(XLOOKUP(A137,INPUT_Rooms!$B:$B,INPUT_Rooms!$Y:$Y,"")="Y", XLOOKUP(A137,INPUT_Rooms!$B:$B,INPUT_Rooms!$AG:$AG,""), 0),IF(C137="Window Casing", IF(XLOOKUP(A137,INPUT_Rooms!$B:$B,INPUT_Rooms!$Z:$Z,"")="Y", SUMPRODUCT((INPUT_Openings!$A:$A=$B$4)*(INPUT_Openings!$B:$B=A137)*(INPUT_Openings!$D:$D)*XLOOKUP(INPUT_Openings!$C:$C,Constants!$A$30:$A$200,Constants!$E$30:$E$200,"",0)*(INPUT_Openings!$E:$E="Window")), 0),IF(C137="Door Casing", IF(XLOOKUP(A137,INPUT_Rooms!$B:$B,INPUT_Rooms!$AA:$AA,"")="Y", SUMPRODUCT((INPUT_Openings!$A:$A=$B$4)*(INPUT_Openings!$B:$B=A137)*(INPUT_Openings!$D:$D)*XLOOKUP(INPUT_Openings!$C:$C,Constants!$A$30:$A$200,Constants!$E$30:$E$200,"",0)*(INPUT_Openings!$E:$E="Door")), 0),IF(C137="Doors (leaf)", IF(XLOOKUP(A137,INPUT_Rooms!$B:$B,INPUT_Rooms!$AB:$AB,"")="Y", SUMPRODUCT((INPUT_Doors!$A:$A=$B$4)*(INPUT_Doors!$B:$B=A137)*(INPUT_Doors!$D:$D)*(INPUT_Doors!$E:$E)), 0), 0))))))</f>
        <v/>
      </c>
      <c r="F137" s="6">
        <f>IF(A137="","", XLOOKUP(A137, INPUT_Rooms!$B:$B, INPUT_Rooms!$U:$U, ""))</f>
        <v/>
      </c>
      <c r="G137" s="6">
        <f>IF(A137="","", XLOOKUP(A137, INPUT_Rooms!$B:$B, INPUT_Rooms!$V:$V, ""))</f>
        <v/>
      </c>
      <c r="H137" s="6">
        <f>IF(A137="","", IF(XLOOKUP(A137, INPUT_Rooms!$B:$B, INPUT_Rooms!$W:$W, "")="", $B$5, XLOOKUP(A137, INPUT_Rooms!$B:$B, INPUT_Rooms!$W:$W, "")))</f>
        <v/>
      </c>
      <c r="I137" s="6">
        <f>IF(A137="","", IF(C137="Doors (leaf)", 0, E137*XLOOKUP(C137,Constants!$A$40:$A$200,Constants!$C$40:$C$200,0,0)*XLOOKUP(H137,Constants!$E$10:$E$30,Constants!$F$10:$F$30)))</f>
        <v/>
      </c>
      <c r="J137" s="6">
        <f>IF(A137="","", IF(C137="Doors (leaf)", 0, E137*XLOOKUP(C137,Constants!$A$40:$A$200,Constants!$D$40:$D$200,0,0)*G137))</f>
        <v/>
      </c>
      <c r="K137" s="6">
        <f>IF(A137="","", IF(C137="Doors (leaf)", 0, IF(F137="Full", E137*XLOOKUP(C137,Constants!$A$40:$A$200,Constants!$E$40:$E$200,0,0), IF(F137="Spot", E137*XLOOKUP(C137,Constants!$A$40:$A$200,Constants!$E$40:$E$200,0,0)*0.35, 0))))</f>
        <v/>
      </c>
      <c r="L137">
        <f>IF(A137="","",0)</f>
        <v/>
      </c>
      <c r="M137" s="6">
        <f>IF(A137="","", SUM(I137:K137))</f>
        <v/>
      </c>
      <c r="N137" s="6">
        <f>IF(A137="","", L137/60)</f>
        <v/>
      </c>
      <c r="O137" s="6">
        <f>IF(A137="","", N137*(IF(=IF('Job Control'!$B$3="","", XLOOKUP('Job Control'!$B$3, INPUT_JobSettings!$A:$A, INPUT_JobSettings!$F:$F, ""))&lt;&gt;"", =IF('Job Control'!$B$3="","", XLOOKUP('Job Control'!$B$3, INPUT_JobSettings!$A:$A, INPUT_JobSettings!$F:$F, "")), $B$6)))</f>
        <v/>
      </c>
      <c r="P137" s="6">
        <f>IF(A137="","", (O137+L137)*(IF(=IF('Job Control'!$B$3="","", XLOOKUP('Job Control'!$B$3, INPUT_JobSettings!$A:$A, INPUT_JobSettings!$G:$G, ""))&lt;&gt;"", =IF('Job Control'!$B$3="","", XLOOKUP('Job Control'!$B$3, INPUT_JobSettings!$A:$A, INPUT_JobSettings!$G:$G, "")), $B$7)))</f>
        <v/>
      </c>
    </row>
    <row r="138">
      <c r="A138" s="6">
        <f>IFERROR(INDEX(FILTER(INPUT_Rooms!$B$4:$B$83, INPUT_Rooms!$A$4:$A$83=$B$4, INPUT_Rooms!$T$4:$T$83="Y"), 26), "")</f>
        <v/>
      </c>
      <c r="B138" s="6">
        <f>IF(A138="","", XLOOKUP(A138, FILTER(INPUT_Rooms!$B$4:$B$83, INPUT_Rooms!$A$4:$A$83=$B$4), FILTER(INPUT_Rooms!$C$4:$C$83, INPUT_Rooms!$A$4:$A$83=$B$4), ""))</f>
        <v/>
      </c>
      <c r="C138" s="6">
        <f>IF(A138="","", CHOOSE(3,"Baseboard","Crown","Window Casing","Door Casing","Doors (leaf)"))</f>
        <v/>
      </c>
      <c r="D138" s="6">
        <f>IF(A138="","", XLOOKUP(C138,Constants!$A$40:$A$200,Constants!$B$40:$B$200,"",0))</f>
        <v/>
      </c>
      <c r="E138" s="6">
        <f>IF(A138="","", IF(C138="Baseboard", IF(XLOOKUP(A138,INPUT_Rooms!$B:$B,INPUT_Rooms!$X:$X,"")="Y", XLOOKUP(A138,INPUT_Rooms!$B:$B,INPUT_Rooms!$AF:$AF,""), 0),IF(C138="Crown", IF(XLOOKUP(A138,INPUT_Rooms!$B:$B,INPUT_Rooms!$Y:$Y,"")="Y", XLOOKUP(A138,INPUT_Rooms!$B:$B,INPUT_Rooms!$AG:$AG,""), 0),IF(C138="Window Casing", IF(XLOOKUP(A138,INPUT_Rooms!$B:$B,INPUT_Rooms!$Z:$Z,"")="Y", SUMPRODUCT((INPUT_Openings!$A:$A=$B$4)*(INPUT_Openings!$B:$B=A138)*(INPUT_Openings!$D:$D)*XLOOKUP(INPUT_Openings!$C:$C,Constants!$A$30:$A$200,Constants!$E$30:$E$200,"",0)*(INPUT_Openings!$E:$E="Window")), 0),IF(C138="Door Casing", IF(XLOOKUP(A138,INPUT_Rooms!$B:$B,INPUT_Rooms!$AA:$AA,"")="Y", SUMPRODUCT((INPUT_Openings!$A:$A=$B$4)*(INPUT_Openings!$B:$B=A138)*(INPUT_Openings!$D:$D)*XLOOKUP(INPUT_Openings!$C:$C,Constants!$A$30:$A$200,Constants!$E$30:$E$200,"",0)*(INPUT_Openings!$E:$E="Door")), 0),IF(C138="Doors (leaf)", IF(XLOOKUP(A138,INPUT_Rooms!$B:$B,INPUT_Rooms!$AB:$AB,"")="Y", SUMPRODUCT((INPUT_Doors!$A:$A=$B$4)*(INPUT_Doors!$B:$B=A138)*(INPUT_Doors!$D:$D)*(INPUT_Doors!$E:$E)), 0), 0))))))</f>
        <v/>
      </c>
      <c r="F138" s="6">
        <f>IF(A138="","", XLOOKUP(A138, INPUT_Rooms!$B:$B, INPUT_Rooms!$U:$U, ""))</f>
        <v/>
      </c>
      <c r="G138" s="6">
        <f>IF(A138="","", XLOOKUP(A138, INPUT_Rooms!$B:$B, INPUT_Rooms!$V:$V, ""))</f>
        <v/>
      </c>
      <c r="H138" s="6">
        <f>IF(A138="","", IF(XLOOKUP(A138, INPUT_Rooms!$B:$B, INPUT_Rooms!$W:$W, "")="", $B$5, XLOOKUP(A138, INPUT_Rooms!$B:$B, INPUT_Rooms!$W:$W, "")))</f>
        <v/>
      </c>
      <c r="I138" s="6">
        <f>IF(A138="","", IF(C138="Doors (leaf)", 0, E138*XLOOKUP(C138,Constants!$A$40:$A$200,Constants!$C$40:$C$200,0,0)*XLOOKUP(H138,Constants!$E$10:$E$30,Constants!$F$10:$F$30)))</f>
        <v/>
      </c>
      <c r="J138" s="6">
        <f>IF(A138="","", IF(C138="Doors (leaf)", 0, E138*XLOOKUP(C138,Constants!$A$40:$A$200,Constants!$D$40:$D$200,0,0)*G138))</f>
        <v/>
      </c>
      <c r="K138" s="6">
        <f>IF(A138="","", IF(C138="Doors (leaf)", 0, IF(F138="Full", E138*XLOOKUP(C138,Constants!$A$40:$A$200,Constants!$E$40:$E$200,0,0), IF(F138="Spot", E138*XLOOKUP(C138,Constants!$A$40:$A$200,Constants!$E$40:$E$200,0,0)*0.35, 0))))</f>
        <v/>
      </c>
      <c r="L138">
        <f>IF(A138="","",0)</f>
        <v/>
      </c>
      <c r="M138" s="6">
        <f>IF(A138="","", SUM(I138:K138))</f>
        <v/>
      </c>
      <c r="N138" s="6">
        <f>IF(A138="","", L138/60)</f>
        <v/>
      </c>
      <c r="O138" s="6">
        <f>IF(A138="","", N138*(IF(=IF('Job Control'!$B$3="","", XLOOKUP('Job Control'!$B$3, INPUT_JobSettings!$A:$A, INPUT_JobSettings!$F:$F, ""))&lt;&gt;"", =IF('Job Control'!$B$3="","", XLOOKUP('Job Control'!$B$3, INPUT_JobSettings!$A:$A, INPUT_JobSettings!$F:$F, "")), $B$6)))</f>
        <v/>
      </c>
      <c r="P138" s="6">
        <f>IF(A138="","", (O138+L138)*(IF(=IF('Job Control'!$B$3="","", XLOOKUP('Job Control'!$B$3, INPUT_JobSettings!$A:$A, INPUT_JobSettings!$G:$G, ""))&lt;&gt;"", =IF('Job Control'!$B$3="","", XLOOKUP('Job Control'!$B$3, INPUT_JobSettings!$A:$A, INPUT_JobSettings!$G:$G, "")), $B$7)))</f>
        <v/>
      </c>
    </row>
    <row r="139">
      <c r="A139" s="6">
        <f>IFERROR(INDEX(FILTER(INPUT_Rooms!$B$4:$B$83, INPUT_Rooms!$A$4:$A$83=$B$4, INPUT_Rooms!$T$4:$T$83="Y"), 26), "")</f>
        <v/>
      </c>
      <c r="B139" s="6">
        <f>IF(A139="","", XLOOKUP(A139, FILTER(INPUT_Rooms!$B$4:$B$83, INPUT_Rooms!$A$4:$A$83=$B$4), FILTER(INPUT_Rooms!$C$4:$C$83, INPUT_Rooms!$A$4:$A$83=$B$4), ""))</f>
        <v/>
      </c>
      <c r="C139" s="6">
        <f>IF(A139="","", CHOOSE(4,"Baseboard","Crown","Window Casing","Door Casing","Doors (leaf)"))</f>
        <v/>
      </c>
      <c r="D139" s="6">
        <f>IF(A139="","", XLOOKUP(C139,Constants!$A$40:$A$200,Constants!$B$40:$B$200,"",0))</f>
        <v/>
      </c>
      <c r="E139" s="6">
        <f>IF(A139="","", IF(C139="Baseboard", IF(XLOOKUP(A139,INPUT_Rooms!$B:$B,INPUT_Rooms!$X:$X,"")="Y", XLOOKUP(A139,INPUT_Rooms!$B:$B,INPUT_Rooms!$AF:$AF,""), 0),IF(C139="Crown", IF(XLOOKUP(A139,INPUT_Rooms!$B:$B,INPUT_Rooms!$Y:$Y,"")="Y", XLOOKUP(A139,INPUT_Rooms!$B:$B,INPUT_Rooms!$AG:$AG,""), 0),IF(C139="Window Casing", IF(XLOOKUP(A139,INPUT_Rooms!$B:$B,INPUT_Rooms!$Z:$Z,"")="Y", SUMPRODUCT((INPUT_Openings!$A:$A=$B$4)*(INPUT_Openings!$B:$B=A139)*(INPUT_Openings!$D:$D)*XLOOKUP(INPUT_Openings!$C:$C,Constants!$A$30:$A$200,Constants!$E$30:$E$200,"",0)*(INPUT_Openings!$E:$E="Window")), 0),IF(C139="Door Casing", IF(XLOOKUP(A139,INPUT_Rooms!$B:$B,INPUT_Rooms!$AA:$AA,"")="Y", SUMPRODUCT((INPUT_Openings!$A:$A=$B$4)*(INPUT_Openings!$B:$B=A139)*(INPUT_Openings!$D:$D)*XLOOKUP(INPUT_Openings!$C:$C,Constants!$A$30:$A$200,Constants!$E$30:$E$200,"",0)*(INPUT_Openings!$E:$E="Door")), 0),IF(C139="Doors (leaf)", IF(XLOOKUP(A139,INPUT_Rooms!$B:$B,INPUT_Rooms!$AB:$AB,"")="Y", SUMPRODUCT((INPUT_Doors!$A:$A=$B$4)*(INPUT_Doors!$B:$B=A139)*(INPUT_Doors!$D:$D)*(INPUT_Doors!$E:$E)), 0), 0))))))</f>
        <v/>
      </c>
      <c r="F139" s="6">
        <f>IF(A139="","", XLOOKUP(A139, INPUT_Rooms!$B:$B, INPUT_Rooms!$U:$U, ""))</f>
        <v/>
      </c>
      <c r="G139" s="6">
        <f>IF(A139="","", XLOOKUP(A139, INPUT_Rooms!$B:$B, INPUT_Rooms!$V:$V, ""))</f>
        <v/>
      </c>
      <c r="H139" s="6">
        <f>IF(A139="","", IF(XLOOKUP(A139, INPUT_Rooms!$B:$B, INPUT_Rooms!$W:$W, "")="", $B$5, XLOOKUP(A139, INPUT_Rooms!$B:$B, INPUT_Rooms!$W:$W, "")))</f>
        <v/>
      </c>
      <c r="I139" s="6">
        <f>IF(A139="","", IF(C139="Doors (leaf)", 0, E139*XLOOKUP(C139,Constants!$A$40:$A$200,Constants!$C$40:$C$200,0,0)*XLOOKUP(H139,Constants!$E$10:$E$30,Constants!$F$10:$F$30)))</f>
        <v/>
      </c>
      <c r="J139" s="6">
        <f>IF(A139="","", IF(C139="Doors (leaf)", 0, E139*XLOOKUP(C139,Constants!$A$40:$A$200,Constants!$D$40:$D$200,0,0)*G139))</f>
        <v/>
      </c>
      <c r="K139" s="6">
        <f>IF(A139="","", IF(C139="Doors (leaf)", 0, IF(F139="Full", E139*XLOOKUP(C139,Constants!$A$40:$A$200,Constants!$E$40:$E$200,0,0), IF(F139="Spot", E139*XLOOKUP(C139,Constants!$A$40:$A$200,Constants!$E$40:$E$200,0,0)*0.35, 0))))</f>
        <v/>
      </c>
      <c r="L139">
        <f>IF(A139="","",0)</f>
        <v/>
      </c>
      <c r="M139" s="6">
        <f>IF(A139="","", SUM(I139:K139))</f>
        <v/>
      </c>
      <c r="N139" s="6">
        <f>IF(A139="","", L139/60)</f>
        <v/>
      </c>
      <c r="O139" s="6">
        <f>IF(A139="","", N139*(IF(=IF('Job Control'!$B$3="","", XLOOKUP('Job Control'!$B$3, INPUT_JobSettings!$A:$A, INPUT_JobSettings!$F:$F, ""))&lt;&gt;"", =IF('Job Control'!$B$3="","", XLOOKUP('Job Control'!$B$3, INPUT_JobSettings!$A:$A, INPUT_JobSettings!$F:$F, "")), $B$6)))</f>
        <v/>
      </c>
      <c r="P139" s="6">
        <f>IF(A139="","", (O139+L139)*(IF(=IF('Job Control'!$B$3="","", XLOOKUP('Job Control'!$B$3, INPUT_JobSettings!$A:$A, INPUT_JobSettings!$G:$G, ""))&lt;&gt;"", =IF('Job Control'!$B$3="","", XLOOKUP('Job Control'!$B$3, INPUT_JobSettings!$A:$A, INPUT_JobSettings!$G:$G, "")), $B$7)))</f>
        <v/>
      </c>
    </row>
    <row r="140">
      <c r="A140" s="6">
        <f>IFERROR(INDEX(FILTER(INPUT_Rooms!$B$4:$B$83, INPUT_Rooms!$A$4:$A$83=$B$4, INPUT_Rooms!$T$4:$T$83="Y"), 26), "")</f>
        <v/>
      </c>
      <c r="B140" s="6">
        <f>IF(A140="","", XLOOKUP(A140, FILTER(INPUT_Rooms!$B$4:$B$83, INPUT_Rooms!$A$4:$A$83=$B$4), FILTER(INPUT_Rooms!$C$4:$C$83, INPUT_Rooms!$A$4:$A$83=$B$4), ""))</f>
        <v/>
      </c>
      <c r="C140" s="6">
        <f>IF(A140="","", CHOOSE(5,"Baseboard","Crown","Window Casing","Door Casing","Doors (leaf)"))</f>
        <v/>
      </c>
      <c r="D140" s="6">
        <f>IF(A140="","", XLOOKUP(C140,Constants!$A$40:$A$200,Constants!$B$40:$B$200,"",0))</f>
        <v/>
      </c>
      <c r="E140" s="6">
        <f>IF(A140="","", IF(C140="Baseboard", IF(XLOOKUP(A140,INPUT_Rooms!$B:$B,INPUT_Rooms!$X:$X,"")="Y", XLOOKUP(A140,INPUT_Rooms!$B:$B,INPUT_Rooms!$AF:$AF,""), 0),IF(C140="Crown", IF(XLOOKUP(A140,INPUT_Rooms!$B:$B,INPUT_Rooms!$Y:$Y,"")="Y", XLOOKUP(A140,INPUT_Rooms!$B:$B,INPUT_Rooms!$AG:$AG,""), 0),IF(C140="Window Casing", IF(XLOOKUP(A140,INPUT_Rooms!$B:$B,INPUT_Rooms!$Z:$Z,"")="Y", SUMPRODUCT((INPUT_Openings!$A:$A=$B$4)*(INPUT_Openings!$B:$B=A140)*(INPUT_Openings!$D:$D)*XLOOKUP(INPUT_Openings!$C:$C,Constants!$A$30:$A$200,Constants!$E$30:$E$200,"",0)*(INPUT_Openings!$E:$E="Window")), 0),IF(C140="Door Casing", IF(XLOOKUP(A140,INPUT_Rooms!$B:$B,INPUT_Rooms!$AA:$AA,"")="Y", SUMPRODUCT((INPUT_Openings!$A:$A=$B$4)*(INPUT_Openings!$B:$B=A140)*(INPUT_Openings!$D:$D)*XLOOKUP(INPUT_Openings!$C:$C,Constants!$A$30:$A$200,Constants!$E$30:$E$200,"",0)*(INPUT_Openings!$E:$E="Door")), 0),IF(C140="Doors (leaf)", IF(XLOOKUP(A140,INPUT_Rooms!$B:$B,INPUT_Rooms!$AB:$AB,"")="Y", SUMPRODUCT((INPUT_Doors!$A:$A=$B$4)*(INPUT_Doors!$B:$B=A140)*(INPUT_Doors!$D:$D)*(INPUT_Doors!$E:$E)), 0), 0))))))</f>
        <v/>
      </c>
      <c r="F140" s="6">
        <f>IF(A140="","", XLOOKUP(A140, INPUT_Rooms!$B:$B, INPUT_Rooms!$U:$U, ""))</f>
        <v/>
      </c>
      <c r="G140" s="6">
        <f>IF(A140="","", XLOOKUP(A140, INPUT_Rooms!$B:$B, INPUT_Rooms!$V:$V, ""))</f>
        <v/>
      </c>
      <c r="H140" s="6">
        <f>IF(A140="","", IF(XLOOKUP(A140, INPUT_Rooms!$B:$B, INPUT_Rooms!$W:$W, "")="", $B$5, XLOOKUP(A140, INPUT_Rooms!$B:$B, INPUT_Rooms!$W:$W, "")))</f>
        <v/>
      </c>
      <c r="I140" s="6">
        <f>IF(A140="","", IF(C140="Doors (leaf)", 0, E140*XLOOKUP(C140,Constants!$A$40:$A$200,Constants!$C$40:$C$200,0,0)*XLOOKUP(H140,Constants!$E$10:$E$30,Constants!$F$10:$F$30)))</f>
        <v/>
      </c>
      <c r="J140" s="6">
        <f>IF(A140="","", IF(C140="Doors (leaf)", 0, E140*XLOOKUP(C140,Constants!$A$40:$A$200,Constants!$D$40:$D$200,0,0)*G140))</f>
        <v/>
      </c>
      <c r="K140" s="6">
        <f>IF(A140="","", IF(C140="Doors (leaf)", 0, IF(F140="Full", E140*XLOOKUP(C140,Constants!$A$40:$A$200,Constants!$E$40:$E$200,0,0), IF(F140="Spot", E140*XLOOKUP(C140,Constants!$A$40:$A$200,Constants!$E$40:$E$200,0,0)*0.35, 0))))</f>
        <v/>
      </c>
      <c r="L140">
        <f>IF(A140="","",0)</f>
        <v/>
      </c>
      <c r="M140" s="6">
        <f>IF(A140="","", SUM(I140:K140))</f>
        <v/>
      </c>
      <c r="N140" s="6">
        <f>IF(A140="","", L140/60)</f>
        <v/>
      </c>
      <c r="O140" s="6">
        <f>IF(A140="","", N140*(IF(=IF('Job Control'!$B$3="","", XLOOKUP('Job Control'!$B$3, INPUT_JobSettings!$A:$A, INPUT_JobSettings!$F:$F, ""))&lt;&gt;"", =IF('Job Control'!$B$3="","", XLOOKUP('Job Control'!$B$3, INPUT_JobSettings!$A:$A, INPUT_JobSettings!$F:$F, "")), $B$6)))</f>
        <v/>
      </c>
      <c r="P140" s="6">
        <f>IF(A140="","", (O140+L140)*(IF(=IF('Job Control'!$B$3="","", XLOOKUP('Job Control'!$B$3, INPUT_JobSettings!$A:$A, INPUT_JobSettings!$G:$G, ""))&lt;&gt;"", =IF('Job Control'!$B$3="","", XLOOKUP('Job Control'!$B$3, INPUT_JobSettings!$A:$A, INPUT_JobSettings!$G:$G, "")), $B$7)))</f>
        <v/>
      </c>
    </row>
    <row r="141">
      <c r="A141" s="6">
        <f>IFERROR(INDEX(FILTER(INPUT_Rooms!$B$4:$B$83, INPUT_Rooms!$A$4:$A$83=$B$4, INPUT_Rooms!$T$4:$T$83="Y"), 27), "")</f>
        <v/>
      </c>
      <c r="B141" s="6">
        <f>IF(A141="","", XLOOKUP(A141, FILTER(INPUT_Rooms!$B$4:$B$83, INPUT_Rooms!$A$4:$A$83=$B$4), FILTER(INPUT_Rooms!$C$4:$C$83, INPUT_Rooms!$A$4:$A$83=$B$4), ""))</f>
        <v/>
      </c>
      <c r="C141" s="6">
        <f>IF(A141="","", CHOOSE(1,"Baseboard","Crown","Window Casing","Door Casing","Doors (leaf)"))</f>
        <v/>
      </c>
      <c r="D141" s="6">
        <f>IF(A141="","", XLOOKUP(C141,Constants!$A$40:$A$200,Constants!$B$40:$B$200,"",0))</f>
        <v/>
      </c>
      <c r="E141" s="6">
        <f>IF(A141="","", IF(C141="Baseboard", IF(XLOOKUP(A141,INPUT_Rooms!$B:$B,INPUT_Rooms!$X:$X,"")="Y", XLOOKUP(A141,INPUT_Rooms!$B:$B,INPUT_Rooms!$AF:$AF,""), 0),IF(C141="Crown", IF(XLOOKUP(A141,INPUT_Rooms!$B:$B,INPUT_Rooms!$Y:$Y,"")="Y", XLOOKUP(A141,INPUT_Rooms!$B:$B,INPUT_Rooms!$AG:$AG,""), 0),IF(C141="Window Casing", IF(XLOOKUP(A141,INPUT_Rooms!$B:$B,INPUT_Rooms!$Z:$Z,"")="Y", SUMPRODUCT((INPUT_Openings!$A:$A=$B$4)*(INPUT_Openings!$B:$B=A141)*(INPUT_Openings!$D:$D)*XLOOKUP(INPUT_Openings!$C:$C,Constants!$A$30:$A$200,Constants!$E$30:$E$200,"",0)*(INPUT_Openings!$E:$E="Window")), 0),IF(C141="Door Casing", IF(XLOOKUP(A141,INPUT_Rooms!$B:$B,INPUT_Rooms!$AA:$AA,"")="Y", SUMPRODUCT((INPUT_Openings!$A:$A=$B$4)*(INPUT_Openings!$B:$B=A141)*(INPUT_Openings!$D:$D)*XLOOKUP(INPUT_Openings!$C:$C,Constants!$A$30:$A$200,Constants!$E$30:$E$200,"",0)*(INPUT_Openings!$E:$E="Door")), 0),IF(C141="Doors (leaf)", IF(XLOOKUP(A141,INPUT_Rooms!$B:$B,INPUT_Rooms!$AB:$AB,"")="Y", SUMPRODUCT((INPUT_Doors!$A:$A=$B$4)*(INPUT_Doors!$B:$B=A141)*(INPUT_Doors!$D:$D)*(INPUT_Doors!$E:$E)), 0), 0))))))</f>
        <v/>
      </c>
      <c r="F141" s="6">
        <f>IF(A141="","", XLOOKUP(A141, INPUT_Rooms!$B:$B, INPUT_Rooms!$U:$U, ""))</f>
        <v/>
      </c>
      <c r="G141" s="6">
        <f>IF(A141="","", XLOOKUP(A141, INPUT_Rooms!$B:$B, INPUT_Rooms!$V:$V, ""))</f>
        <v/>
      </c>
      <c r="H141" s="6">
        <f>IF(A141="","", IF(XLOOKUP(A141, INPUT_Rooms!$B:$B, INPUT_Rooms!$W:$W, "")="", $B$5, XLOOKUP(A141, INPUT_Rooms!$B:$B, INPUT_Rooms!$W:$W, "")))</f>
        <v/>
      </c>
      <c r="I141" s="6">
        <f>IF(A141="","", IF(C141="Doors (leaf)", 0, E141*XLOOKUP(C141,Constants!$A$40:$A$200,Constants!$C$40:$C$200,0,0)*XLOOKUP(H141,Constants!$E$10:$E$30,Constants!$F$10:$F$30)))</f>
        <v/>
      </c>
      <c r="J141" s="6">
        <f>IF(A141="","", IF(C141="Doors (leaf)", 0, E141*XLOOKUP(C141,Constants!$A$40:$A$200,Constants!$D$40:$D$200,0,0)*G141))</f>
        <v/>
      </c>
      <c r="K141" s="6">
        <f>IF(A141="","", IF(C141="Doors (leaf)", 0, IF(F141="Full", E141*XLOOKUP(C141,Constants!$A$40:$A$200,Constants!$E$40:$E$200,0,0), IF(F141="Spot", E141*XLOOKUP(C141,Constants!$A$40:$A$200,Constants!$E$40:$E$200,0,0)*0.35, 0))))</f>
        <v/>
      </c>
      <c r="L141">
        <f>IF(A141="","",0)</f>
        <v/>
      </c>
      <c r="M141" s="6">
        <f>IF(A141="","", SUM(I141:K141))</f>
        <v/>
      </c>
      <c r="N141" s="6">
        <f>IF(A141="","", L141/60)</f>
        <v/>
      </c>
      <c r="O141" s="6">
        <f>IF(A141="","", N141*(IF(=IF('Job Control'!$B$3="","", XLOOKUP('Job Control'!$B$3, INPUT_JobSettings!$A:$A, INPUT_JobSettings!$F:$F, ""))&lt;&gt;"", =IF('Job Control'!$B$3="","", XLOOKUP('Job Control'!$B$3, INPUT_JobSettings!$A:$A, INPUT_JobSettings!$F:$F, "")), $B$6)))</f>
        <v/>
      </c>
      <c r="P141" s="6">
        <f>IF(A141="","", (O141+L141)*(IF(=IF('Job Control'!$B$3="","", XLOOKUP('Job Control'!$B$3, INPUT_JobSettings!$A:$A, INPUT_JobSettings!$G:$G, ""))&lt;&gt;"", =IF('Job Control'!$B$3="","", XLOOKUP('Job Control'!$B$3, INPUT_JobSettings!$A:$A, INPUT_JobSettings!$G:$G, "")), $B$7)))</f>
        <v/>
      </c>
    </row>
    <row r="142">
      <c r="A142" s="6">
        <f>IFERROR(INDEX(FILTER(INPUT_Rooms!$B$4:$B$83, INPUT_Rooms!$A$4:$A$83=$B$4, INPUT_Rooms!$T$4:$T$83="Y"), 27), "")</f>
        <v/>
      </c>
      <c r="B142" s="6">
        <f>IF(A142="","", XLOOKUP(A142, FILTER(INPUT_Rooms!$B$4:$B$83, INPUT_Rooms!$A$4:$A$83=$B$4), FILTER(INPUT_Rooms!$C$4:$C$83, INPUT_Rooms!$A$4:$A$83=$B$4), ""))</f>
        <v/>
      </c>
      <c r="C142" s="6">
        <f>IF(A142="","", CHOOSE(2,"Baseboard","Crown","Window Casing","Door Casing","Doors (leaf)"))</f>
        <v/>
      </c>
      <c r="D142" s="6">
        <f>IF(A142="","", XLOOKUP(C142,Constants!$A$40:$A$200,Constants!$B$40:$B$200,"",0))</f>
        <v/>
      </c>
      <c r="E142" s="6">
        <f>IF(A142="","", IF(C142="Baseboard", IF(XLOOKUP(A142,INPUT_Rooms!$B:$B,INPUT_Rooms!$X:$X,"")="Y", XLOOKUP(A142,INPUT_Rooms!$B:$B,INPUT_Rooms!$AF:$AF,""), 0),IF(C142="Crown", IF(XLOOKUP(A142,INPUT_Rooms!$B:$B,INPUT_Rooms!$Y:$Y,"")="Y", XLOOKUP(A142,INPUT_Rooms!$B:$B,INPUT_Rooms!$AG:$AG,""), 0),IF(C142="Window Casing", IF(XLOOKUP(A142,INPUT_Rooms!$B:$B,INPUT_Rooms!$Z:$Z,"")="Y", SUMPRODUCT((INPUT_Openings!$A:$A=$B$4)*(INPUT_Openings!$B:$B=A142)*(INPUT_Openings!$D:$D)*XLOOKUP(INPUT_Openings!$C:$C,Constants!$A$30:$A$200,Constants!$E$30:$E$200,"",0)*(INPUT_Openings!$E:$E="Window")), 0),IF(C142="Door Casing", IF(XLOOKUP(A142,INPUT_Rooms!$B:$B,INPUT_Rooms!$AA:$AA,"")="Y", SUMPRODUCT((INPUT_Openings!$A:$A=$B$4)*(INPUT_Openings!$B:$B=A142)*(INPUT_Openings!$D:$D)*XLOOKUP(INPUT_Openings!$C:$C,Constants!$A$30:$A$200,Constants!$E$30:$E$200,"",0)*(INPUT_Openings!$E:$E="Door")), 0),IF(C142="Doors (leaf)", IF(XLOOKUP(A142,INPUT_Rooms!$B:$B,INPUT_Rooms!$AB:$AB,"")="Y", SUMPRODUCT((INPUT_Doors!$A:$A=$B$4)*(INPUT_Doors!$B:$B=A142)*(INPUT_Doors!$D:$D)*(INPUT_Doors!$E:$E)), 0), 0))))))</f>
        <v/>
      </c>
      <c r="F142" s="6">
        <f>IF(A142="","", XLOOKUP(A142, INPUT_Rooms!$B:$B, INPUT_Rooms!$U:$U, ""))</f>
        <v/>
      </c>
      <c r="G142" s="6">
        <f>IF(A142="","", XLOOKUP(A142, INPUT_Rooms!$B:$B, INPUT_Rooms!$V:$V, ""))</f>
        <v/>
      </c>
      <c r="H142" s="6">
        <f>IF(A142="","", IF(XLOOKUP(A142, INPUT_Rooms!$B:$B, INPUT_Rooms!$W:$W, "")="", $B$5, XLOOKUP(A142, INPUT_Rooms!$B:$B, INPUT_Rooms!$W:$W, "")))</f>
        <v/>
      </c>
      <c r="I142" s="6">
        <f>IF(A142="","", IF(C142="Doors (leaf)", 0, E142*XLOOKUP(C142,Constants!$A$40:$A$200,Constants!$C$40:$C$200,0,0)*XLOOKUP(H142,Constants!$E$10:$E$30,Constants!$F$10:$F$30)))</f>
        <v/>
      </c>
      <c r="J142" s="6">
        <f>IF(A142="","", IF(C142="Doors (leaf)", 0, E142*XLOOKUP(C142,Constants!$A$40:$A$200,Constants!$D$40:$D$200,0,0)*G142))</f>
        <v/>
      </c>
      <c r="K142" s="6">
        <f>IF(A142="","", IF(C142="Doors (leaf)", 0, IF(F142="Full", E142*XLOOKUP(C142,Constants!$A$40:$A$200,Constants!$E$40:$E$200,0,0), IF(F142="Spot", E142*XLOOKUP(C142,Constants!$A$40:$A$200,Constants!$E$40:$E$200,0,0)*0.35, 0))))</f>
        <v/>
      </c>
      <c r="L142">
        <f>IF(A142="","",0)</f>
        <v/>
      </c>
      <c r="M142" s="6">
        <f>IF(A142="","", SUM(I142:K142))</f>
        <v/>
      </c>
      <c r="N142" s="6">
        <f>IF(A142="","", L142/60)</f>
        <v/>
      </c>
      <c r="O142" s="6">
        <f>IF(A142="","", N142*(IF(=IF('Job Control'!$B$3="","", XLOOKUP('Job Control'!$B$3, INPUT_JobSettings!$A:$A, INPUT_JobSettings!$F:$F, ""))&lt;&gt;"", =IF('Job Control'!$B$3="","", XLOOKUP('Job Control'!$B$3, INPUT_JobSettings!$A:$A, INPUT_JobSettings!$F:$F, "")), $B$6)))</f>
        <v/>
      </c>
      <c r="P142" s="6">
        <f>IF(A142="","", (O142+L142)*(IF(=IF('Job Control'!$B$3="","", XLOOKUP('Job Control'!$B$3, INPUT_JobSettings!$A:$A, INPUT_JobSettings!$G:$G, ""))&lt;&gt;"", =IF('Job Control'!$B$3="","", XLOOKUP('Job Control'!$B$3, INPUT_JobSettings!$A:$A, INPUT_JobSettings!$G:$G, "")), $B$7)))</f>
        <v/>
      </c>
    </row>
    <row r="143">
      <c r="A143" s="6">
        <f>IFERROR(INDEX(FILTER(INPUT_Rooms!$B$4:$B$83, INPUT_Rooms!$A$4:$A$83=$B$4, INPUT_Rooms!$T$4:$T$83="Y"), 27), "")</f>
        <v/>
      </c>
      <c r="B143" s="6">
        <f>IF(A143="","", XLOOKUP(A143, FILTER(INPUT_Rooms!$B$4:$B$83, INPUT_Rooms!$A$4:$A$83=$B$4), FILTER(INPUT_Rooms!$C$4:$C$83, INPUT_Rooms!$A$4:$A$83=$B$4), ""))</f>
        <v/>
      </c>
      <c r="C143" s="6">
        <f>IF(A143="","", CHOOSE(3,"Baseboard","Crown","Window Casing","Door Casing","Doors (leaf)"))</f>
        <v/>
      </c>
      <c r="D143" s="6">
        <f>IF(A143="","", XLOOKUP(C143,Constants!$A$40:$A$200,Constants!$B$40:$B$200,"",0))</f>
        <v/>
      </c>
      <c r="E143" s="6">
        <f>IF(A143="","", IF(C143="Baseboard", IF(XLOOKUP(A143,INPUT_Rooms!$B:$B,INPUT_Rooms!$X:$X,"")="Y", XLOOKUP(A143,INPUT_Rooms!$B:$B,INPUT_Rooms!$AF:$AF,""), 0),IF(C143="Crown", IF(XLOOKUP(A143,INPUT_Rooms!$B:$B,INPUT_Rooms!$Y:$Y,"")="Y", XLOOKUP(A143,INPUT_Rooms!$B:$B,INPUT_Rooms!$AG:$AG,""), 0),IF(C143="Window Casing", IF(XLOOKUP(A143,INPUT_Rooms!$B:$B,INPUT_Rooms!$Z:$Z,"")="Y", SUMPRODUCT((INPUT_Openings!$A:$A=$B$4)*(INPUT_Openings!$B:$B=A143)*(INPUT_Openings!$D:$D)*XLOOKUP(INPUT_Openings!$C:$C,Constants!$A$30:$A$200,Constants!$E$30:$E$200,"",0)*(INPUT_Openings!$E:$E="Window")), 0),IF(C143="Door Casing", IF(XLOOKUP(A143,INPUT_Rooms!$B:$B,INPUT_Rooms!$AA:$AA,"")="Y", SUMPRODUCT((INPUT_Openings!$A:$A=$B$4)*(INPUT_Openings!$B:$B=A143)*(INPUT_Openings!$D:$D)*XLOOKUP(INPUT_Openings!$C:$C,Constants!$A$30:$A$200,Constants!$E$30:$E$200,"",0)*(INPUT_Openings!$E:$E="Door")), 0),IF(C143="Doors (leaf)", IF(XLOOKUP(A143,INPUT_Rooms!$B:$B,INPUT_Rooms!$AB:$AB,"")="Y", SUMPRODUCT((INPUT_Doors!$A:$A=$B$4)*(INPUT_Doors!$B:$B=A143)*(INPUT_Doors!$D:$D)*(INPUT_Doors!$E:$E)), 0), 0))))))</f>
        <v/>
      </c>
      <c r="F143" s="6">
        <f>IF(A143="","", XLOOKUP(A143, INPUT_Rooms!$B:$B, INPUT_Rooms!$U:$U, ""))</f>
        <v/>
      </c>
      <c r="G143" s="6">
        <f>IF(A143="","", XLOOKUP(A143, INPUT_Rooms!$B:$B, INPUT_Rooms!$V:$V, ""))</f>
        <v/>
      </c>
      <c r="H143" s="6">
        <f>IF(A143="","", IF(XLOOKUP(A143, INPUT_Rooms!$B:$B, INPUT_Rooms!$W:$W, "")="", $B$5, XLOOKUP(A143, INPUT_Rooms!$B:$B, INPUT_Rooms!$W:$W, "")))</f>
        <v/>
      </c>
      <c r="I143" s="6">
        <f>IF(A143="","", IF(C143="Doors (leaf)", 0, E143*XLOOKUP(C143,Constants!$A$40:$A$200,Constants!$C$40:$C$200,0,0)*XLOOKUP(H143,Constants!$E$10:$E$30,Constants!$F$10:$F$30)))</f>
        <v/>
      </c>
      <c r="J143" s="6">
        <f>IF(A143="","", IF(C143="Doors (leaf)", 0, E143*XLOOKUP(C143,Constants!$A$40:$A$200,Constants!$D$40:$D$200,0,0)*G143))</f>
        <v/>
      </c>
      <c r="K143" s="6">
        <f>IF(A143="","", IF(C143="Doors (leaf)", 0, IF(F143="Full", E143*XLOOKUP(C143,Constants!$A$40:$A$200,Constants!$E$40:$E$200,0,0), IF(F143="Spot", E143*XLOOKUP(C143,Constants!$A$40:$A$200,Constants!$E$40:$E$200,0,0)*0.35, 0))))</f>
        <v/>
      </c>
      <c r="L143">
        <f>IF(A143="","",0)</f>
        <v/>
      </c>
      <c r="M143" s="6">
        <f>IF(A143="","", SUM(I143:K143))</f>
        <v/>
      </c>
      <c r="N143" s="6">
        <f>IF(A143="","", L143/60)</f>
        <v/>
      </c>
      <c r="O143" s="6">
        <f>IF(A143="","", N143*(IF(=IF('Job Control'!$B$3="","", XLOOKUP('Job Control'!$B$3, INPUT_JobSettings!$A:$A, INPUT_JobSettings!$F:$F, ""))&lt;&gt;"", =IF('Job Control'!$B$3="","", XLOOKUP('Job Control'!$B$3, INPUT_JobSettings!$A:$A, INPUT_JobSettings!$F:$F, "")), $B$6)))</f>
        <v/>
      </c>
      <c r="P143" s="6">
        <f>IF(A143="","", (O143+L143)*(IF(=IF('Job Control'!$B$3="","", XLOOKUP('Job Control'!$B$3, INPUT_JobSettings!$A:$A, INPUT_JobSettings!$G:$G, ""))&lt;&gt;"", =IF('Job Control'!$B$3="","", XLOOKUP('Job Control'!$B$3, INPUT_JobSettings!$A:$A, INPUT_JobSettings!$G:$G, "")), $B$7)))</f>
        <v/>
      </c>
    </row>
    <row r="144">
      <c r="A144" s="6">
        <f>IFERROR(INDEX(FILTER(INPUT_Rooms!$B$4:$B$83, INPUT_Rooms!$A$4:$A$83=$B$4, INPUT_Rooms!$T$4:$T$83="Y"), 27), "")</f>
        <v/>
      </c>
      <c r="B144" s="6">
        <f>IF(A144="","", XLOOKUP(A144, FILTER(INPUT_Rooms!$B$4:$B$83, INPUT_Rooms!$A$4:$A$83=$B$4), FILTER(INPUT_Rooms!$C$4:$C$83, INPUT_Rooms!$A$4:$A$83=$B$4), ""))</f>
        <v/>
      </c>
      <c r="C144" s="6">
        <f>IF(A144="","", CHOOSE(4,"Baseboard","Crown","Window Casing","Door Casing","Doors (leaf)"))</f>
        <v/>
      </c>
      <c r="D144" s="6">
        <f>IF(A144="","", XLOOKUP(C144,Constants!$A$40:$A$200,Constants!$B$40:$B$200,"",0))</f>
        <v/>
      </c>
      <c r="E144" s="6">
        <f>IF(A144="","", IF(C144="Baseboard", IF(XLOOKUP(A144,INPUT_Rooms!$B:$B,INPUT_Rooms!$X:$X,"")="Y", XLOOKUP(A144,INPUT_Rooms!$B:$B,INPUT_Rooms!$AF:$AF,""), 0),IF(C144="Crown", IF(XLOOKUP(A144,INPUT_Rooms!$B:$B,INPUT_Rooms!$Y:$Y,"")="Y", XLOOKUP(A144,INPUT_Rooms!$B:$B,INPUT_Rooms!$AG:$AG,""), 0),IF(C144="Window Casing", IF(XLOOKUP(A144,INPUT_Rooms!$B:$B,INPUT_Rooms!$Z:$Z,"")="Y", SUMPRODUCT((INPUT_Openings!$A:$A=$B$4)*(INPUT_Openings!$B:$B=A144)*(INPUT_Openings!$D:$D)*XLOOKUP(INPUT_Openings!$C:$C,Constants!$A$30:$A$200,Constants!$E$30:$E$200,"",0)*(INPUT_Openings!$E:$E="Window")), 0),IF(C144="Door Casing", IF(XLOOKUP(A144,INPUT_Rooms!$B:$B,INPUT_Rooms!$AA:$AA,"")="Y", SUMPRODUCT((INPUT_Openings!$A:$A=$B$4)*(INPUT_Openings!$B:$B=A144)*(INPUT_Openings!$D:$D)*XLOOKUP(INPUT_Openings!$C:$C,Constants!$A$30:$A$200,Constants!$E$30:$E$200,"",0)*(INPUT_Openings!$E:$E="Door")), 0),IF(C144="Doors (leaf)", IF(XLOOKUP(A144,INPUT_Rooms!$B:$B,INPUT_Rooms!$AB:$AB,"")="Y", SUMPRODUCT((INPUT_Doors!$A:$A=$B$4)*(INPUT_Doors!$B:$B=A144)*(INPUT_Doors!$D:$D)*(INPUT_Doors!$E:$E)), 0), 0))))))</f>
        <v/>
      </c>
      <c r="F144" s="6">
        <f>IF(A144="","", XLOOKUP(A144, INPUT_Rooms!$B:$B, INPUT_Rooms!$U:$U, ""))</f>
        <v/>
      </c>
      <c r="G144" s="6">
        <f>IF(A144="","", XLOOKUP(A144, INPUT_Rooms!$B:$B, INPUT_Rooms!$V:$V, ""))</f>
        <v/>
      </c>
      <c r="H144" s="6">
        <f>IF(A144="","", IF(XLOOKUP(A144, INPUT_Rooms!$B:$B, INPUT_Rooms!$W:$W, "")="", $B$5, XLOOKUP(A144, INPUT_Rooms!$B:$B, INPUT_Rooms!$W:$W, "")))</f>
        <v/>
      </c>
      <c r="I144" s="6">
        <f>IF(A144="","", IF(C144="Doors (leaf)", 0, E144*XLOOKUP(C144,Constants!$A$40:$A$200,Constants!$C$40:$C$200,0,0)*XLOOKUP(H144,Constants!$E$10:$E$30,Constants!$F$10:$F$30)))</f>
        <v/>
      </c>
      <c r="J144" s="6">
        <f>IF(A144="","", IF(C144="Doors (leaf)", 0, E144*XLOOKUP(C144,Constants!$A$40:$A$200,Constants!$D$40:$D$200,0,0)*G144))</f>
        <v/>
      </c>
      <c r="K144" s="6">
        <f>IF(A144="","", IF(C144="Doors (leaf)", 0, IF(F144="Full", E144*XLOOKUP(C144,Constants!$A$40:$A$200,Constants!$E$40:$E$200,0,0), IF(F144="Spot", E144*XLOOKUP(C144,Constants!$A$40:$A$200,Constants!$E$40:$E$200,0,0)*0.35, 0))))</f>
        <v/>
      </c>
      <c r="L144">
        <f>IF(A144="","",0)</f>
        <v/>
      </c>
      <c r="M144" s="6">
        <f>IF(A144="","", SUM(I144:K144))</f>
        <v/>
      </c>
      <c r="N144" s="6">
        <f>IF(A144="","", L144/60)</f>
        <v/>
      </c>
      <c r="O144" s="6">
        <f>IF(A144="","", N144*(IF(=IF('Job Control'!$B$3="","", XLOOKUP('Job Control'!$B$3, INPUT_JobSettings!$A:$A, INPUT_JobSettings!$F:$F, ""))&lt;&gt;"", =IF('Job Control'!$B$3="","", XLOOKUP('Job Control'!$B$3, INPUT_JobSettings!$A:$A, INPUT_JobSettings!$F:$F, "")), $B$6)))</f>
        <v/>
      </c>
      <c r="P144" s="6">
        <f>IF(A144="","", (O144+L144)*(IF(=IF('Job Control'!$B$3="","", XLOOKUP('Job Control'!$B$3, INPUT_JobSettings!$A:$A, INPUT_JobSettings!$G:$G, ""))&lt;&gt;"", =IF('Job Control'!$B$3="","", XLOOKUP('Job Control'!$B$3, INPUT_JobSettings!$A:$A, INPUT_JobSettings!$G:$G, "")), $B$7)))</f>
        <v/>
      </c>
    </row>
    <row r="145">
      <c r="A145" s="6">
        <f>IFERROR(INDEX(FILTER(INPUT_Rooms!$B$4:$B$83, INPUT_Rooms!$A$4:$A$83=$B$4, INPUT_Rooms!$T$4:$T$83="Y"), 27), "")</f>
        <v/>
      </c>
      <c r="B145" s="6">
        <f>IF(A145="","", XLOOKUP(A145, FILTER(INPUT_Rooms!$B$4:$B$83, INPUT_Rooms!$A$4:$A$83=$B$4), FILTER(INPUT_Rooms!$C$4:$C$83, INPUT_Rooms!$A$4:$A$83=$B$4), ""))</f>
        <v/>
      </c>
      <c r="C145" s="6">
        <f>IF(A145="","", CHOOSE(5,"Baseboard","Crown","Window Casing","Door Casing","Doors (leaf)"))</f>
        <v/>
      </c>
      <c r="D145" s="6">
        <f>IF(A145="","", XLOOKUP(C145,Constants!$A$40:$A$200,Constants!$B$40:$B$200,"",0))</f>
        <v/>
      </c>
      <c r="E145" s="6">
        <f>IF(A145="","", IF(C145="Baseboard", IF(XLOOKUP(A145,INPUT_Rooms!$B:$B,INPUT_Rooms!$X:$X,"")="Y", XLOOKUP(A145,INPUT_Rooms!$B:$B,INPUT_Rooms!$AF:$AF,""), 0),IF(C145="Crown", IF(XLOOKUP(A145,INPUT_Rooms!$B:$B,INPUT_Rooms!$Y:$Y,"")="Y", XLOOKUP(A145,INPUT_Rooms!$B:$B,INPUT_Rooms!$AG:$AG,""), 0),IF(C145="Window Casing", IF(XLOOKUP(A145,INPUT_Rooms!$B:$B,INPUT_Rooms!$Z:$Z,"")="Y", SUMPRODUCT((INPUT_Openings!$A:$A=$B$4)*(INPUT_Openings!$B:$B=A145)*(INPUT_Openings!$D:$D)*XLOOKUP(INPUT_Openings!$C:$C,Constants!$A$30:$A$200,Constants!$E$30:$E$200,"",0)*(INPUT_Openings!$E:$E="Window")), 0),IF(C145="Door Casing", IF(XLOOKUP(A145,INPUT_Rooms!$B:$B,INPUT_Rooms!$AA:$AA,"")="Y", SUMPRODUCT((INPUT_Openings!$A:$A=$B$4)*(INPUT_Openings!$B:$B=A145)*(INPUT_Openings!$D:$D)*XLOOKUP(INPUT_Openings!$C:$C,Constants!$A$30:$A$200,Constants!$E$30:$E$200,"",0)*(INPUT_Openings!$E:$E="Door")), 0),IF(C145="Doors (leaf)", IF(XLOOKUP(A145,INPUT_Rooms!$B:$B,INPUT_Rooms!$AB:$AB,"")="Y", SUMPRODUCT((INPUT_Doors!$A:$A=$B$4)*(INPUT_Doors!$B:$B=A145)*(INPUT_Doors!$D:$D)*(INPUT_Doors!$E:$E)), 0), 0))))))</f>
        <v/>
      </c>
      <c r="F145" s="6">
        <f>IF(A145="","", XLOOKUP(A145, INPUT_Rooms!$B:$B, INPUT_Rooms!$U:$U, ""))</f>
        <v/>
      </c>
      <c r="G145" s="6">
        <f>IF(A145="","", XLOOKUP(A145, INPUT_Rooms!$B:$B, INPUT_Rooms!$V:$V, ""))</f>
        <v/>
      </c>
      <c r="H145" s="6">
        <f>IF(A145="","", IF(XLOOKUP(A145, INPUT_Rooms!$B:$B, INPUT_Rooms!$W:$W, "")="", $B$5, XLOOKUP(A145, INPUT_Rooms!$B:$B, INPUT_Rooms!$W:$W, "")))</f>
        <v/>
      </c>
      <c r="I145" s="6">
        <f>IF(A145="","", IF(C145="Doors (leaf)", 0, E145*XLOOKUP(C145,Constants!$A$40:$A$200,Constants!$C$40:$C$200,0,0)*XLOOKUP(H145,Constants!$E$10:$E$30,Constants!$F$10:$F$30)))</f>
        <v/>
      </c>
      <c r="J145" s="6">
        <f>IF(A145="","", IF(C145="Doors (leaf)", 0, E145*XLOOKUP(C145,Constants!$A$40:$A$200,Constants!$D$40:$D$200,0,0)*G145))</f>
        <v/>
      </c>
      <c r="K145" s="6">
        <f>IF(A145="","", IF(C145="Doors (leaf)", 0, IF(F145="Full", E145*XLOOKUP(C145,Constants!$A$40:$A$200,Constants!$E$40:$E$200,0,0), IF(F145="Spot", E145*XLOOKUP(C145,Constants!$A$40:$A$200,Constants!$E$40:$E$200,0,0)*0.35, 0))))</f>
        <v/>
      </c>
      <c r="L145">
        <f>IF(A145="","",0)</f>
        <v/>
      </c>
      <c r="M145" s="6">
        <f>IF(A145="","", SUM(I145:K145))</f>
        <v/>
      </c>
      <c r="N145" s="6">
        <f>IF(A145="","", L145/60)</f>
        <v/>
      </c>
      <c r="O145" s="6">
        <f>IF(A145="","", N145*(IF(=IF('Job Control'!$B$3="","", XLOOKUP('Job Control'!$B$3, INPUT_JobSettings!$A:$A, INPUT_JobSettings!$F:$F, ""))&lt;&gt;"", =IF('Job Control'!$B$3="","", XLOOKUP('Job Control'!$B$3, INPUT_JobSettings!$A:$A, INPUT_JobSettings!$F:$F, "")), $B$6)))</f>
        <v/>
      </c>
      <c r="P145" s="6">
        <f>IF(A145="","", (O145+L145)*(IF(=IF('Job Control'!$B$3="","", XLOOKUP('Job Control'!$B$3, INPUT_JobSettings!$A:$A, INPUT_JobSettings!$G:$G, ""))&lt;&gt;"", =IF('Job Control'!$B$3="","", XLOOKUP('Job Control'!$B$3, INPUT_JobSettings!$A:$A, INPUT_JobSettings!$G:$G, "")), $B$7)))</f>
        <v/>
      </c>
    </row>
    <row r="146">
      <c r="A146" s="6">
        <f>IFERROR(INDEX(FILTER(INPUT_Rooms!$B$4:$B$83, INPUT_Rooms!$A$4:$A$83=$B$4, INPUT_Rooms!$T$4:$T$83="Y"), 28), "")</f>
        <v/>
      </c>
      <c r="B146" s="6">
        <f>IF(A146="","", XLOOKUP(A146, FILTER(INPUT_Rooms!$B$4:$B$83, INPUT_Rooms!$A$4:$A$83=$B$4), FILTER(INPUT_Rooms!$C$4:$C$83, INPUT_Rooms!$A$4:$A$83=$B$4), ""))</f>
        <v/>
      </c>
      <c r="C146" s="6">
        <f>IF(A146="","", CHOOSE(1,"Baseboard","Crown","Window Casing","Door Casing","Doors (leaf)"))</f>
        <v/>
      </c>
      <c r="D146" s="6">
        <f>IF(A146="","", XLOOKUP(C146,Constants!$A$40:$A$200,Constants!$B$40:$B$200,"",0))</f>
        <v/>
      </c>
      <c r="E146" s="6">
        <f>IF(A146="","", IF(C146="Baseboard", IF(XLOOKUP(A146,INPUT_Rooms!$B:$B,INPUT_Rooms!$X:$X,"")="Y", XLOOKUP(A146,INPUT_Rooms!$B:$B,INPUT_Rooms!$AF:$AF,""), 0),IF(C146="Crown", IF(XLOOKUP(A146,INPUT_Rooms!$B:$B,INPUT_Rooms!$Y:$Y,"")="Y", XLOOKUP(A146,INPUT_Rooms!$B:$B,INPUT_Rooms!$AG:$AG,""), 0),IF(C146="Window Casing", IF(XLOOKUP(A146,INPUT_Rooms!$B:$B,INPUT_Rooms!$Z:$Z,"")="Y", SUMPRODUCT((INPUT_Openings!$A:$A=$B$4)*(INPUT_Openings!$B:$B=A146)*(INPUT_Openings!$D:$D)*XLOOKUP(INPUT_Openings!$C:$C,Constants!$A$30:$A$200,Constants!$E$30:$E$200,"",0)*(INPUT_Openings!$E:$E="Window")), 0),IF(C146="Door Casing", IF(XLOOKUP(A146,INPUT_Rooms!$B:$B,INPUT_Rooms!$AA:$AA,"")="Y", SUMPRODUCT((INPUT_Openings!$A:$A=$B$4)*(INPUT_Openings!$B:$B=A146)*(INPUT_Openings!$D:$D)*XLOOKUP(INPUT_Openings!$C:$C,Constants!$A$30:$A$200,Constants!$E$30:$E$200,"",0)*(INPUT_Openings!$E:$E="Door")), 0),IF(C146="Doors (leaf)", IF(XLOOKUP(A146,INPUT_Rooms!$B:$B,INPUT_Rooms!$AB:$AB,"")="Y", SUMPRODUCT((INPUT_Doors!$A:$A=$B$4)*(INPUT_Doors!$B:$B=A146)*(INPUT_Doors!$D:$D)*(INPUT_Doors!$E:$E)), 0), 0))))))</f>
        <v/>
      </c>
      <c r="F146" s="6">
        <f>IF(A146="","", XLOOKUP(A146, INPUT_Rooms!$B:$B, INPUT_Rooms!$U:$U, ""))</f>
        <v/>
      </c>
      <c r="G146" s="6">
        <f>IF(A146="","", XLOOKUP(A146, INPUT_Rooms!$B:$B, INPUT_Rooms!$V:$V, ""))</f>
        <v/>
      </c>
      <c r="H146" s="6">
        <f>IF(A146="","", IF(XLOOKUP(A146, INPUT_Rooms!$B:$B, INPUT_Rooms!$W:$W, "")="", $B$5, XLOOKUP(A146, INPUT_Rooms!$B:$B, INPUT_Rooms!$W:$W, "")))</f>
        <v/>
      </c>
      <c r="I146" s="6">
        <f>IF(A146="","", IF(C146="Doors (leaf)", 0, E146*XLOOKUP(C146,Constants!$A$40:$A$200,Constants!$C$40:$C$200,0,0)*XLOOKUP(H146,Constants!$E$10:$E$30,Constants!$F$10:$F$30)))</f>
        <v/>
      </c>
      <c r="J146" s="6">
        <f>IF(A146="","", IF(C146="Doors (leaf)", 0, E146*XLOOKUP(C146,Constants!$A$40:$A$200,Constants!$D$40:$D$200,0,0)*G146))</f>
        <v/>
      </c>
      <c r="K146" s="6">
        <f>IF(A146="","", IF(C146="Doors (leaf)", 0, IF(F146="Full", E146*XLOOKUP(C146,Constants!$A$40:$A$200,Constants!$E$40:$E$200,0,0), IF(F146="Spot", E146*XLOOKUP(C146,Constants!$A$40:$A$200,Constants!$E$40:$E$200,0,0)*0.35, 0))))</f>
        <v/>
      </c>
      <c r="L146">
        <f>IF(A146="","",0)</f>
        <v/>
      </c>
      <c r="M146" s="6">
        <f>IF(A146="","", SUM(I146:K146))</f>
        <v/>
      </c>
      <c r="N146" s="6">
        <f>IF(A146="","", L146/60)</f>
        <v/>
      </c>
      <c r="O146" s="6">
        <f>IF(A146="","", N146*(IF(=IF('Job Control'!$B$3="","", XLOOKUP('Job Control'!$B$3, INPUT_JobSettings!$A:$A, INPUT_JobSettings!$F:$F, ""))&lt;&gt;"", =IF('Job Control'!$B$3="","", XLOOKUP('Job Control'!$B$3, INPUT_JobSettings!$A:$A, INPUT_JobSettings!$F:$F, "")), $B$6)))</f>
        <v/>
      </c>
      <c r="P146" s="6">
        <f>IF(A146="","", (O146+L146)*(IF(=IF('Job Control'!$B$3="","", XLOOKUP('Job Control'!$B$3, INPUT_JobSettings!$A:$A, INPUT_JobSettings!$G:$G, ""))&lt;&gt;"", =IF('Job Control'!$B$3="","", XLOOKUP('Job Control'!$B$3, INPUT_JobSettings!$A:$A, INPUT_JobSettings!$G:$G, "")), $B$7)))</f>
        <v/>
      </c>
    </row>
    <row r="147">
      <c r="A147" s="6">
        <f>IFERROR(INDEX(FILTER(INPUT_Rooms!$B$4:$B$83, INPUT_Rooms!$A$4:$A$83=$B$4, INPUT_Rooms!$T$4:$T$83="Y"), 28), "")</f>
        <v/>
      </c>
      <c r="B147" s="6">
        <f>IF(A147="","", XLOOKUP(A147, FILTER(INPUT_Rooms!$B$4:$B$83, INPUT_Rooms!$A$4:$A$83=$B$4), FILTER(INPUT_Rooms!$C$4:$C$83, INPUT_Rooms!$A$4:$A$83=$B$4), ""))</f>
        <v/>
      </c>
      <c r="C147" s="6">
        <f>IF(A147="","", CHOOSE(2,"Baseboard","Crown","Window Casing","Door Casing","Doors (leaf)"))</f>
        <v/>
      </c>
      <c r="D147" s="6">
        <f>IF(A147="","", XLOOKUP(C147,Constants!$A$40:$A$200,Constants!$B$40:$B$200,"",0))</f>
        <v/>
      </c>
      <c r="E147" s="6">
        <f>IF(A147="","", IF(C147="Baseboard", IF(XLOOKUP(A147,INPUT_Rooms!$B:$B,INPUT_Rooms!$X:$X,"")="Y", XLOOKUP(A147,INPUT_Rooms!$B:$B,INPUT_Rooms!$AF:$AF,""), 0),IF(C147="Crown", IF(XLOOKUP(A147,INPUT_Rooms!$B:$B,INPUT_Rooms!$Y:$Y,"")="Y", XLOOKUP(A147,INPUT_Rooms!$B:$B,INPUT_Rooms!$AG:$AG,""), 0),IF(C147="Window Casing", IF(XLOOKUP(A147,INPUT_Rooms!$B:$B,INPUT_Rooms!$Z:$Z,"")="Y", SUMPRODUCT((INPUT_Openings!$A:$A=$B$4)*(INPUT_Openings!$B:$B=A147)*(INPUT_Openings!$D:$D)*XLOOKUP(INPUT_Openings!$C:$C,Constants!$A$30:$A$200,Constants!$E$30:$E$200,"",0)*(INPUT_Openings!$E:$E="Window")), 0),IF(C147="Door Casing", IF(XLOOKUP(A147,INPUT_Rooms!$B:$B,INPUT_Rooms!$AA:$AA,"")="Y", SUMPRODUCT((INPUT_Openings!$A:$A=$B$4)*(INPUT_Openings!$B:$B=A147)*(INPUT_Openings!$D:$D)*XLOOKUP(INPUT_Openings!$C:$C,Constants!$A$30:$A$200,Constants!$E$30:$E$200,"",0)*(INPUT_Openings!$E:$E="Door")), 0),IF(C147="Doors (leaf)", IF(XLOOKUP(A147,INPUT_Rooms!$B:$B,INPUT_Rooms!$AB:$AB,"")="Y", SUMPRODUCT((INPUT_Doors!$A:$A=$B$4)*(INPUT_Doors!$B:$B=A147)*(INPUT_Doors!$D:$D)*(INPUT_Doors!$E:$E)), 0), 0))))))</f>
        <v/>
      </c>
      <c r="F147" s="6">
        <f>IF(A147="","", XLOOKUP(A147, INPUT_Rooms!$B:$B, INPUT_Rooms!$U:$U, ""))</f>
        <v/>
      </c>
      <c r="G147" s="6">
        <f>IF(A147="","", XLOOKUP(A147, INPUT_Rooms!$B:$B, INPUT_Rooms!$V:$V, ""))</f>
        <v/>
      </c>
      <c r="H147" s="6">
        <f>IF(A147="","", IF(XLOOKUP(A147, INPUT_Rooms!$B:$B, INPUT_Rooms!$W:$W, "")="", $B$5, XLOOKUP(A147, INPUT_Rooms!$B:$B, INPUT_Rooms!$W:$W, "")))</f>
        <v/>
      </c>
      <c r="I147" s="6">
        <f>IF(A147="","", IF(C147="Doors (leaf)", 0, E147*XLOOKUP(C147,Constants!$A$40:$A$200,Constants!$C$40:$C$200,0,0)*XLOOKUP(H147,Constants!$E$10:$E$30,Constants!$F$10:$F$30)))</f>
        <v/>
      </c>
      <c r="J147" s="6">
        <f>IF(A147="","", IF(C147="Doors (leaf)", 0, E147*XLOOKUP(C147,Constants!$A$40:$A$200,Constants!$D$40:$D$200,0,0)*G147))</f>
        <v/>
      </c>
      <c r="K147" s="6">
        <f>IF(A147="","", IF(C147="Doors (leaf)", 0, IF(F147="Full", E147*XLOOKUP(C147,Constants!$A$40:$A$200,Constants!$E$40:$E$200,0,0), IF(F147="Spot", E147*XLOOKUP(C147,Constants!$A$40:$A$200,Constants!$E$40:$E$200,0,0)*0.35, 0))))</f>
        <v/>
      </c>
      <c r="L147">
        <f>IF(A147="","",0)</f>
        <v/>
      </c>
      <c r="M147" s="6">
        <f>IF(A147="","", SUM(I147:K147))</f>
        <v/>
      </c>
      <c r="N147" s="6">
        <f>IF(A147="","", L147/60)</f>
        <v/>
      </c>
      <c r="O147" s="6">
        <f>IF(A147="","", N147*(IF(=IF('Job Control'!$B$3="","", XLOOKUP('Job Control'!$B$3, INPUT_JobSettings!$A:$A, INPUT_JobSettings!$F:$F, ""))&lt;&gt;"", =IF('Job Control'!$B$3="","", XLOOKUP('Job Control'!$B$3, INPUT_JobSettings!$A:$A, INPUT_JobSettings!$F:$F, "")), $B$6)))</f>
        <v/>
      </c>
      <c r="P147" s="6">
        <f>IF(A147="","", (O147+L147)*(IF(=IF('Job Control'!$B$3="","", XLOOKUP('Job Control'!$B$3, INPUT_JobSettings!$A:$A, INPUT_JobSettings!$G:$G, ""))&lt;&gt;"", =IF('Job Control'!$B$3="","", XLOOKUP('Job Control'!$B$3, INPUT_JobSettings!$A:$A, INPUT_JobSettings!$G:$G, "")), $B$7)))</f>
        <v/>
      </c>
    </row>
    <row r="148">
      <c r="A148" s="6">
        <f>IFERROR(INDEX(FILTER(INPUT_Rooms!$B$4:$B$83, INPUT_Rooms!$A$4:$A$83=$B$4, INPUT_Rooms!$T$4:$T$83="Y"), 28), "")</f>
        <v/>
      </c>
      <c r="B148" s="6">
        <f>IF(A148="","", XLOOKUP(A148, FILTER(INPUT_Rooms!$B$4:$B$83, INPUT_Rooms!$A$4:$A$83=$B$4), FILTER(INPUT_Rooms!$C$4:$C$83, INPUT_Rooms!$A$4:$A$83=$B$4), ""))</f>
        <v/>
      </c>
      <c r="C148" s="6">
        <f>IF(A148="","", CHOOSE(3,"Baseboard","Crown","Window Casing","Door Casing","Doors (leaf)"))</f>
        <v/>
      </c>
      <c r="D148" s="6">
        <f>IF(A148="","", XLOOKUP(C148,Constants!$A$40:$A$200,Constants!$B$40:$B$200,"",0))</f>
        <v/>
      </c>
      <c r="E148" s="6">
        <f>IF(A148="","", IF(C148="Baseboard", IF(XLOOKUP(A148,INPUT_Rooms!$B:$B,INPUT_Rooms!$X:$X,"")="Y", XLOOKUP(A148,INPUT_Rooms!$B:$B,INPUT_Rooms!$AF:$AF,""), 0),IF(C148="Crown", IF(XLOOKUP(A148,INPUT_Rooms!$B:$B,INPUT_Rooms!$Y:$Y,"")="Y", XLOOKUP(A148,INPUT_Rooms!$B:$B,INPUT_Rooms!$AG:$AG,""), 0),IF(C148="Window Casing", IF(XLOOKUP(A148,INPUT_Rooms!$B:$B,INPUT_Rooms!$Z:$Z,"")="Y", SUMPRODUCT((INPUT_Openings!$A:$A=$B$4)*(INPUT_Openings!$B:$B=A148)*(INPUT_Openings!$D:$D)*XLOOKUP(INPUT_Openings!$C:$C,Constants!$A$30:$A$200,Constants!$E$30:$E$200,"",0)*(INPUT_Openings!$E:$E="Window")), 0),IF(C148="Door Casing", IF(XLOOKUP(A148,INPUT_Rooms!$B:$B,INPUT_Rooms!$AA:$AA,"")="Y", SUMPRODUCT((INPUT_Openings!$A:$A=$B$4)*(INPUT_Openings!$B:$B=A148)*(INPUT_Openings!$D:$D)*XLOOKUP(INPUT_Openings!$C:$C,Constants!$A$30:$A$200,Constants!$E$30:$E$200,"",0)*(INPUT_Openings!$E:$E="Door")), 0),IF(C148="Doors (leaf)", IF(XLOOKUP(A148,INPUT_Rooms!$B:$B,INPUT_Rooms!$AB:$AB,"")="Y", SUMPRODUCT((INPUT_Doors!$A:$A=$B$4)*(INPUT_Doors!$B:$B=A148)*(INPUT_Doors!$D:$D)*(INPUT_Doors!$E:$E)), 0), 0))))))</f>
        <v/>
      </c>
      <c r="F148" s="6">
        <f>IF(A148="","", XLOOKUP(A148, INPUT_Rooms!$B:$B, INPUT_Rooms!$U:$U, ""))</f>
        <v/>
      </c>
      <c r="G148" s="6">
        <f>IF(A148="","", XLOOKUP(A148, INPUT_Rooms!$B:$B, INPUT_Rooms!$V:$V, ""))</f>
        <v/>
      </c>
      <c r="H148" s="6">
        <f>IF(A148="","", IF(XLOOKUP(A148, INPUT_Rooms!$B:$B, INPUT_Rooms!$W:$W, "")="", $B$5, XLOOKUP(A148, INPUT_Rooms!$B:$B, INPUT_Rooms!$W:$W, "")))</f>
        <v/>
      </c>
      <c r="I148" s="6">
        <f>IF(A148="","", IF(C148="Doors (leaf)", 0, E148*XLOOKUP(C148,Constants!$A$40:$A$200,Constants!$C$40:$C$200,0,0)*XLOOKUP(H148,Constants!$E$10:$E$30,Constants!$F$10:$F$30)))</f>
        <v/>
      </c>
      <c r="J148" s="6">
        <f>IF(A148="","", IF(C148="Doors (leaf)", 0, E148*XLOOKUP(C148,Constants!$A$40:$A$200,Constants!$D$40:$D$200,0,0)*G148))</f>
        <v/>
      </c>
      <c r="K148" s="6">
        <f>IF(A148="","", IF(C148="Doors (leaf)", 0, IF(F148="Full", E148*XLOOKUP(C148,Constants!$A$40:$A$200,Constants!$E$40:$E$200,0,0), IF(F148="Spot", E148*XLOOKUP(C148,Constants!$A$40:$A$200,Constants!$E$40:$E$200,0,0)*0.35, 0))))</f>
        <v/>
      </c>
      <c r="L148">
        <f>IF(A148="","",0)</f>
        <v/>
      </c>
      <c r="M148" s="6">
        <f>IF(A148="","", SUM(I148:K148))</f>
        <v/>
      </c>
      <c r="N148" s="6">
        <f>IF(A148="","", L148/60)</f>
        <v/>
      </c>
      <c r="O148" s="6">
        <f>IF(A148="","", N148*(IF(=IF('Job Control'!$B$3="","", XLOOKUP('Job Control'!$B$3, INPUT_JobSettings!$A:$A, INPUT_JobSettings!$F:$F, ""))&lt;&gt;"", =IF('Job Control'!$B$3="","", XLOOKUP('Job Control'!$B$3, INPUT_JobSettings!$A:$A, INPUT_JobSettings!$F:$F, "")), $B$6)))</f>
        <v/>
      </c>
      <c r="P148" s="6">
        <f>IF(A148="","", (O148+L148)*(IF(=IF('Job Control'!$B$3="","", XLOOKUP('Job Control'!$B$3, INPUT_JobSettings!$A:$A, INPUT_JobSettings!$G:$G, ""))&lt;&gt;"", =IF('Job Control'!$B$3="","", XLOOKUP('Job Control'!$B$3, INPUT_JobSettings!$A:$A, INPUT_JobSettings!$G:$G, "")), $B$7)))</f>
        <v/>
      </c>
    </row>
    <row r="149">
      <c r="A149" s="6">
        <f>IFERROR(INDEX(FILTER(INPUT_Rooms!$B$4:$B$83, INPUT_Rooms!$A$4:$A$83=$B$4, INPUT_Rooms!$T$4:$T$83="Y"), 28), "")</f>
        <v/>
      </c>
      <c r="B149" s="6">
        <f>IF(A149="","", XLOOKUP(A149, FILTER(INPUT_Rooms!$B$4:$B$83, INPUT_Rooms!$A$4:$A$83=$B$4), FILTER(INPUT_Rooms!$C$4:$C$83, INPUT_Rooms!$A$4:$A$83=$B$4), ""))</f>
        <v/>
      </c>
      <c r="C149" s="6">
        <f>IF(A149="","", CHOOSE(4,"Baseboard","Crown","Window Casing","Door Casing","Doors (leaf)"))</f>
        <v/>
      </c>
      <c r="D149" s="6">
        <f>IF(A149="","", XLOOKUP(C149,Constants!$A$40:$A$200,Constants!$B$40:$B$200,"",0))</f>
        <v/>
      </c>
      <c r="E149" s="6">
        <f>IF(A149="","", IF(C149="Baseboard", IF(XLOOKUP(A149,INPUT_Rooms!$B:$B,INPUT_Rooms!$X:$X,"")="Y", XLOOKUP(A149,INPUT_Rooms!$B:$B,INPUT_Rooms!$AF:$AF,""), 0),IF(C149="Crown", IF(XLOOKUP(A149,INPUT_Rooms!$B:$B,INPUT_Rooms!$Y:$Y,"")="Y", XLOOKUP(A149,INPUT_Rooms!$B:$B,INPUT_Rooms!$AG:$AG,""), 0),IF(C149="Window Casing", IF(XLOOKUP(A149,INPUT_Rooms!$B:$B,INPUT_Rooms!$Z:$Z,"")="Y", SUMPRODUCT((INPUT_Openings!$A:$A=$B$4)*(INPUT_Openings!$B:$B=A149)*(INPUT_Openings!$D:$D)*XLOOKUP(INPUT_Openings!$C:$C,Constants!$A$30:$A$200,Constants!$E$30:$E$200,"",0)*(INPUT_Openings!$E:$E="Window")), 0),IF(C149="Door Casing", IF(XLOOKUP(A149,INPUT_Rooms!$B:$B,INPUT_Rooms!$AA:$AA,"")="Y", SUMPRODUCT((INPUT_Openings!$A:$A=$B$4)*(INPUT_Openings!$B:$B=A149)*(INPUT_Openings!$D:$D)*XLOOKUP(INPUT_Openings!$C:$C,Constants!$A$30:$A$200,Constants!$E$30:$E$200,"",0)*(INPUT_Openings!$E:$E="Door")), 0),IF(C149="Doors (leaf)", IF(XLOOKUP(A149,INPUT_Rooms!$B:$B,INPUT_Rooms!$AB:$AB,"")="Y", SUMPRODUCT((INPUT_Doors!$A:$A=$B$4)*(INPUT_Doors!$B:$B=A149)*(INPUT_Doors!$D:$D)*(INPUT_Doors!$E:$E)), 0), 0))))))</f>
        <v/>
      </c>
      <c r="F149" s="6">
        <f>IF(A149="","", XLOOKUP(A149, INPUT_Rooms!$B:$B, INPUT_Rooms!$U:$U, ""))</f>
        <v/>
      </c>
      <c r="G149" s="6">
        <f>IF(A149="","", XLOOKUP(A149, INPUT_Rooms!$B:$B, INPUT_Rooms!$V:$V, ""))</f>
        <v/>
      </c>
      <c r="H149" s="6">
        <f>IF(A149="","", IF(XLOOKUP(A149, INPUT_Rooms!$B:$B, INPUT_Rooms!$W:$W, "")="", $B$5, XLOOKUP(A149, INPUT_Rooms!$B:$B, INPUT_Rooms!$W:$W, "")))</f>
        <v/>
      </c>
      <c r="I149" s="6">
        <f>IF(A149="","", IF(C149="Doors (leaf)", 0, E149*XLOOKUP(C149,Constants!$A$40:$A$200,Constants!$C$40:$C$200,0,0)*XLOOKUP(H149,Constants!$E$10:$E$30,Constants!$F$10:$F$30)))</f>
        <v/>
      </c>
      <c r="J149" s="6">
        <f>IF(A149="","", IF(C149="Doors (leaf)", 0, E149*XLOOKUP(C149,Constants!$A$40:$A$200,Constants!$D$40:$D$200,0,0)*G149))</f>
        <v/>
      </c>
      <c r="K149" s="6">
        <f>IF(A149="","", IF(C149="Doors (leaf)", 0, IF(F149="Full", E149*XLOOKUP(C149,Constants!$A$40:$A$200,Constants!$E$40:$E$200,0,0), IF(F149="Spot", E149*XLOOKUP(C149,Constants!$A$40:$A$200,Constants!$E$40:$E$200,0,0)*0.35, 0))))</f>
        <v/>
      </c>
      <c r="L149">
        <f>IF(A149="","",0)</f>
        <v/>
      </c>
      <c r="M149" s="6">
        <f>IF(A149="","", SUM(I149:K149))</f>
        <v/>
      </c>
      <c r="N149" s="6">
        <f>IF(A149="","", L149/60)</f>
        <v/>
      </c>
      <c r="O149" s="6">
        <f>IF(A149="","", N149*(IF(=IF('Job Control'!$B$3="","", XLOOKUP('Job Control'!$B$3, INPUT_JobSettings!$A:$A, INPUT_JobSettings!$F:$F, ""))&lt;&gt;"", =IF('Job Control'!$B$3="","", XLOOKUP('Job Control'!$B$3, INPUT_JobSettings!$A:$A, INPUT_JobSettings!$F:$F, "")), $B$6)))</f>
        <v/>
      </c>
      <c r="P149" s="6">
        <f>IF(A149="","", (O149+L149)*(IF(=IF('Job Control'!$B$3="","", XLOOKUP('Job Control'!$B$3, INPUT_JobSettings!$A:$A, INPUT_JobSettings!$G:$G, ""))&lt;&gt;"", =IF('Job Control'!$B$3="","", XLOOKUP('Job Control'!$B$3, INPUT_JobSettings!$A:$A, INPUT_JobSettings!$G:$G, "")), $B$7)))</f>
        <v/>
      </c>
    </row>
    <row r="150">
      <c r="A150" s="6">
        <f>IFERROR(INDEX(FILTER(INPUT_Rooms!$B$4:$B$83, INPUT_Rooms!$A$4:$A$83=$B$4, INPUT_Rooms!$T$4:$T$83="Y"), 28), "")</f>
        <v/>
      </c>
      <c r="B150" s="6">
        <f>IF(A150="","", XLOOKUP(A150, FILTER(INPUT_Rooms!$B$4:$B$83, INPUT_Rooms!$A$4:$A$83=$B$4), FILTER(INPUT_Rooms!$C$4:$C$83, INPUT_Rooms!$A$4:$A$83=$B$4), ""))</f>
        <v/>
      </c>
      <c r="C150" s="6">
        <f>IF(A150="","", CHOOSE(5,"Baseboard","Crown","Window Casing","Door Casing","Doors (leaf)"))</f>
        <v/>
      </c>
      <c r="D150" s="6">
        <f>IF(A150="","", XLOOKUP(C150,Constants!$A$40:$A$200,Constants!$B$40:$B$200,"",0))</f>
        <v/>
      </c>
      <c r="E150" s="6">
        <f>IF(A150="","", IF(C150="Baseboard", IF(XLOOKUP(A150,INPUT_Rooms!$B:$B,INPUT_Rooms!$X:$X,"")="Y", XLOOKUP(A150,INPUT_Rooms!$B:$B,INPUT_Rooms!$AF:$AF,""), 0),IF(C150="Crown", IF(XLOOKUP(A150,INPUT_Rooms!$B:$B,INPUT_Rooms!$Y:$Y,"")="Y", XLOOKUP(A150,INPUT_Rooms!$B:$B,INPUT_Rooms!$AG:$AG,""), 0),IF(C150="Window Casing", IF(XLOOKUP(A150,INPUT_Rooms!$B:$B,INPUT_Rooms!$Z:$Z,"")="Y", SUMPRODUCT((INPUT_Openings!$A:$A=$B$4)*(INPUT_Openings!$B:$B=A150)*(INPUT_Openings!$D:$D)*XLOOKUP(INPUT_Openings!$C:$C,Constants!$A$30:$A$200,Constants!$E$30:$E$200,"",0)*(INPUT_Openings!$E:$E="Window")), 0),IF(C150="Door Casing", IF(XLOOKUP(A150,INPUT_Rooms!$B:$B,INPUT_Rooms!$AA:$AA,"")="Y", SUMPRODUCT((INPUT_Openings!$A:$A=$B$4)*(INPUT_Openings!$B:$B=A150)*(INPUT_Openings!$D:$D)*XLOOKUP(INPUT_Openings!$C:$C,Constants!$A$30:$A$200,Constants!$E$30:$E$200,"",0)*(INPUT_Openings!$E:$E="Door")), 0),IF(C150="Doors (leaf)", IF(XLOOKUP(A150,INPUT_Rooms!$B:$B,INPUT_Rooms!$AB:$AB,"")="Y", SUMPRODUCT((INPUT_Doors!$A:$A=$B$4)*(INPUT_Doors!$B:$B=A150)*(INPUT_Doors!$D:$D)*(INPUT_Doors!$E:$E)), 0), 0))))))</f>
        <v/>
      </c>
      <c r="F150" s="6">
        <f>IF(A150="","", XLOOKUP(A150, INPUT_Rooms!$B:$B, INPUT_Rooms!$U:$U, ""))</f>
        <v/>
      </c>
      <c r="G150" s="6">
        <f>IF(A150="","", XLOOKUP(A150, INPUT_Rooms!$B:$B, INPUT_Rooms!$V:$V, ""))</f>
        <v/>
      </c>
      <c r="H150" s="6">
        <f>IF(A150="","", IF(XLOOKUP(A150, INPUT_Rooms!$B:$B, INPUT_Rooms!$W:$W, "")="", $B$5, XLOOKUP(A150, INPUT_Rooms!$B:$B, INPUT_Rooms!$W:$W, "")))</f>
        <v/>
      </c>
      <c r="I150" s="6">
        <f>IF(A150="","", IF(C150="Doors (leaf)", 0, E150*XLOOKUP(C150,Constants!$A$40:$A$200,Constants!$C$40:$C$200,0,0)*XLOOKUP(H150,Constants!$E$10:$E$30,Constants!$F$10:$F$30)))</f>
        <v/>
      </c>
      <c r="J150" s="6">
        <f>IF(A150="","", IF(C150="Doors (leaf)", 0, E150*XLOOKUP(C150,Constants!$A$40:$A$200,Constants!$D$40:$D$200,0,0)*G150))</f>
        <v/>
      </c>
      <c r="K150" s="6">
        <f>IF(A150="","", IF(C150="Doors (leaf)", 0, IF(F150="Full", E150*XLOOKUP(C150,Constants!$A$40:$A$200,Constants!$E$40:$E$200,0,0), IF(F150="Spot", E150*XLOOKUP(C150,Constants!$A$40:$A$200,Constants!$E$40:$E$200,0,0)*0.35, 0))))</f>
        <v/>
      </c>
      <c r="L150">
        <f>IF(A150="","",0)</f>
        <v/>
      </c>
      <c r="M150" s="6">
        <f>IF(A150="","", SUM(I150:K150))</f>
        <v/>
      </c>
      <c r="N150" s="6">
        <f>IF(A150="","", L150/60)</f>
        <v/>
      </c>
      <c r="O150" s="6">
        <f>IF(A150="","", N150*(IF(=IF('Job Control'!$B$3="","", XLOOKUP('Job Control'!$B$3, INPUT_JobSettings!$A:$A, INPUT_JobSettings!$F:$F, ""))&lt;&gt;"", =IF('Job Control'!$B$3="","", XLOOKUP('Job Control'!$B$3, INPUT_JobSettings!$A:$A, INPUT_JobSettings!$F:$F, "")), $B$6)))</f>
        <v/>
      </c>
      <c r="P150" s="6">
        <f>IF(A150="","", (O150+L150)*(IF(=IF('Job Control'!$B$3="","", XLOOKUP('Job Control'!$B$3, INPUT_JobSettings!$A:$A, INPUT_JobSettings!$G:$G, ""))&lt;&gt;"", =IF('Job Control'!$B$3="","", XLOOKUP('Job Control'!$B$3, INPUT_JobSettings!$A:$A, INPUT_JobSettings!$G:$G, "")), $B$7)))</f>
        <v/>
      </c>
    </row>
    <row r="151">
      <c r="A151" s="6">
        <f>IFERROR(INDEX(FILTER(INPUT_Rooms!$B$4:$B$83, INPUT_Rooms!$A$4:$A$83=$B$4, INPUT_Rooms!$T$4:$T$83="Y"), 29), "")</f>
        <v/>
      </c>
      <c r="B151" s="6">
        <f>IF(A151="","", XLOOKUP(A151, FILTER(INPUT_Rooms!$B$4:$B$83, INPUT_Rooms!$A$4:$A$83=$B$4), FILTER(INPUT_Rooms!$C$4:$C$83, INPUT_Rooms!$A$4:$A$83=$B$4), ""))</f>
        <v/>
      </c>
      <c r="C151" s="6">
        <f>IF(A151="","", CHOOSE(1,"Baseboard","Crown","Window Casing","Door Casing","Doors (leaf)"))</f>
        <v/>
      </c>
      <c r="D151" s="6">
        <f>IF(A151="","", XLOOKUP(C151,Constants!$A$40:$A$200,Constants!$B$40:$B$200,"",0))</f>
        <v/>
      </c>
      <c r="E151" s="6">
        <f>IF(A151="","", IF(C151="Baseboard", IF(XLOOKUP(A151,INPUT_Rooms!$B:$B,INPUT_Rooms!$X:$X,"")="Y", XLOOKUP(A151,INPUT_Rooms!$B:$B,INPUT_Rooms!$AF:$AF,""), 0),IF(C151="Crown", IF(XLOOKUP(A151,INPUT_Rooms!$B:$B,INPUT_Rooms!$Y:$Y,"")="Y", XLOOKUP(A151,INPUT_Rooms!$B:$B,INPUT_Rooms!$AG:$AG,""), 0),IF(C151="Window Casing", IF(XLOOKUP(A151,INPUT_Rooms!$B:$B,INPUT_Rooms!$Z:$Z,"")="Y", SUMPRODUCT((INPUT_Openings!$A:$A=$B$4)*(INPUT_Openings!$B:$B=A151)*(INPUT_Openings!$D:$D)*XLOOKUP(INPUT_Openings!$C:$C,Constants!$A$30:$A$200,Constants!$E$30:$E$200,"",0)*(INPUT_Openings!$E:$E="Window")), 0),IF(C151="Door Casing", IF(XLOOKUP(A151,INPUT_Rooms!$B:$B,INPUT_Rooms!$AA:$AA,"")="Y", SUMPRODUCT((INPUT_Openings!$A:$A=$B$4)*(INPUT_Openings!$B:$B=A151)*(INPUT_Openings!$D:$D)*XLOOKUP(INPUT_Openings!$C:$C,Constants!$A$30:$A$200,Constants!$E$30:$E$200,"",0)*(INPUT_Openings!$E:$E="Door")), 0),IF(C151="Doors (leaf)", IF(XLOOKUP(A151,INPUT_Rooms!$B:$B,INPUT_Rooms!$AB:$AB,"")="Y", SUMPRODUCT((INPUT_Doors!$A:$A=$B$4)*(INPUT_Doors!$B:$B=A151)*(INPUT_Doors!$D:$D)*(INPUT_Doors!$E:$E)), 0), 0))))))</f>
        <v/>
      </c>
      <c r="F151" s="6">
        <f>IF(A151="","", XLOOKUP(A151, INPUT_Rooms!$B:$B, INPUT_Rooms!$U:$U, ""))</f>
        <v/>
      </c>
      <c r="G151" s="6">
        <f>IF(A151="","", XLOOKUP(A151, INPUT_Rooms!$B:$B, INPUT_Rooms!$V:$V, ""))</f>
        <v/>
      </c>
      <c r="H151" s="6">
        <f>IF(A151="","", IF(XLOOKUP(A151, INPUT_Rooms!$B:$B, INPUT_Rooms!$W:$W, "")="", $B$5, XLOOKUP(A151, INPUT_Rooms!$B:$B, INPUT_Rooms!$W:$W, "")))</f>
        <v/>
      </c>
      <c r="I151" s="6">
        <f>IF(A151="","", IF(C151="Doors (leaf)", 0, E151*XLOOKUP(C151,Constants!$A$40:$A$200,Constants!$C$40:$C$200,0,0)*XLOOKUP(H151,Constants!$E$10:$E$30,Constants!$F$10:$F$30)))</f>
        <v/>
      </c>
      <c r="J151" s="6">
        <f>IF(A151="","", IF(C151="Doors (leaf)", 0, E151*XLOOKUP(C151,Constants!$A$40:$A$200,Constants!$D$40:$D$200,0,0)*G151))</f>
        <v/>
      </c>
      <c r="K151" s="6">
        <f>IF(A151="","", IF(C151="Doors (leaf)", 0, IF(F151="Full", E151*XLOOKUP(C151,Constants!$A$40:$A$200,Constants!$E$40:$E$200,0,0), IF(F151="Spot", E151*XLOOKUP(C151,Constants!$A$40:$A$200,Constants!$E$40:$E$200,0,0)*0.35, 0))))</f>
        <v/>
      </c>
      <c r="L151">
        <f>IF(A151="","",0)</f>
        <v/>
      </c>
      <c r="M151" s="6">
        <f>IF(A151="","", SUM(I151:K151))</f>
        <v/>
      </c>
      <c r="N151" s="6">
        <f>IF(A151="","", L151/60)</f>
        <v/>
      </c>
      <c r="O151" s="6">
        <f>IF(A151="","", N151*(IF(=IF('Job Control'!$B$3="","", XLOOKUP('Job Control'!$B$3, INPUT_JobSettings!$A:$A, INPUT_JobSettings!$F:$F, ""))&lt;&gt;"", =IF('Job Control'!$B$3="","", XLOOKUP('Job Control'!$B$3, INPUT_JobSettings!$A:$A, INPUT_JobSettings!$F:$F, "")), $B$6)))</f>
        <v/>
      </c>
      <c r="P151" s="6">
        <f>IF(A151="","", (O151+L151)*(IF(=IF('Job Control'!$B$3="","", XLOOKUP('Job Control'!$B$3, INPUT_JobSettings!$A:$A, INPUT_JobSettings!$G:$G, ""))&lt;&gt;"", =IF('Job Control'!$B$3="","", XLOOKUP('Job Control'!$B$3, INPUT_JobSettings!$A:$A, INPUT_JobSettings!$G:$G, "")), $B$7)))</f>
        <v/>
      </c>
    </row>
    <row r="152">
      <c r="A152" s="6">
        <f>IFERROR(INDEX(FILTER(INPUT_Rooms!$B$4:$B$83, INPUT_Rooms!$A$4:$A$83=$B$4, INPUT_Rooms!$T$4:$T$83="Y"), 29), "")</f>
        <v/>
      </c>
      <c r="B152" s="6">
        <f>IF(A152="","", XLOOKUP(A152, FILTER(INPUT_Rooms!$B$4:$B$83, INPUT_Rooms!$A$4:$A$83=$B$4), FILTER(INPUT_Rooms!$C$4:$C$83, INPUT_Rooms!$A$4:$A$83=$B$4), ""))</f>
        <v/>
      </c>
      <c r="C152" s="6">
        <f>IF(A152="","", CHOOSE(2,"Baseboard","Crown","Window Casing","Door Casing","Doors (leaf)"))</f>
        <v/>
      </c>
      <c r="D152" s="6">
        <f>IF(A152="","", XLOOKUP(C152,Constants!$A$40:$A$200,Constants!$B$40:$B$200,"",0))</f>
        <v/>
      </c>
      <c r="E152" s="6">
        <f>IF(A152="","", IF(C152="Baseboard", IF(XLOOKUP(A152,INPUT_Rooms!$B:$B,INPUT_Rooms!$X:$X,"")="Y", XLOOKUP(A152,INPUT_Rooms!$B:$B,INPUT_Rooms!$AF:$AF,""), 0),IF(C152="Crown", IF(XLOOKUP(A152,INPUT_Rooms!$B:$B,INPUT_Rooms!$Y:$Y,"")="Y", XLOOKUP(A152,INPUT_Rooms!$B:$B,INPUT_Rooms!$AG:$AG,""), 0),IF(C152="Window Casing", IF(XLOOKUP(A152,INPUT_Rooms!$B:$B,INPUT_Rooms!$Z:$Z,"")="Y", SUMPRODUCT((INPUT_Openings!$A:$A=$B$4)*(INPUT_Openings!$B:$B=A152)*(INPUT_Openings!$D:$D)*XLOOKUP(INPUT_Openings!$C:$C,Constants!$A$30:$A$200,Constants!$E$30:$E$200,"",0)*(INPUT_Openings!$E:$E="Window")), 0),IF(C152="Door Casing", IF(XLOOKUP(A152,INPUT_Rooms!$B:$B,INPUT_Rooms!$AA:$AA,"")="Y", SUMPRODUCT((INPUT_Openings!$A:$A=$B$4)*(INPUT_Openings!$B:$B=A152)*(INPUT_Openings!$D:$D)*XLOOKUP(INPUT_Openings!$C:$C,Constants!$A$30:$A$200,Constants!$E$30:$E$200,"",0)*(INPUT_Openings!$E:$E="Door")), 0),IF(C152="Doors (leaf)", IF(XLOOKUP(A152,INPUT_Rooms!$B:$B,INPUT_Rooms!$AB:$AB,"")="Y", SUMPRODUCT((INPUT_Doors!$A:$A=$B$4)*(INPUT_Doors!$B:$B=A152)*(INPUT_Doors!$D:$D)*(INPUT_Doors!$E:$E)), 0), 0))))))</f>
        <v/>
      </c>
      <c r="F152" s="6">
        <f>IF(A152="","", XLOOKUP(A152, INPUT_Rooms!$B:$B, INPUT_Rooms!$U:$U, ""))</f>
        <v/>
      </c>
      <c r="G152" s="6">
        <f>IF(A152="","", XLOOKUP(A152, INPUT_Rooms!$B:$B, INPUT_Rooms!$V:$V, ""))</f>
        <v/>
      </c>
      <c r="H152" s="6">
        <f>IF(A152="","", IF(XLOOKUP(A152, INPUT_Rooms!$B:$B, INPUT_Rooms!$W:$W, "")="", $B$5, XLOOKUP(A152, INPUT_Rooms!$B:$B, INPUT_Rooms!$W:$W, "")))</f>
        <v/>
      </c>
      <c r="I152" s="6">
        <f>IF(A152="","", IF(C152="Doors (leaf)", 0, E152*XLOOKUP(C152,Constants!$A$40:$A$200,Constants!$C$40:$C$200,0,0)*XLOOKUP(H152,Constants!$E$10:$E$30,Constants!$F$10:$F$30)))</f>
        <v/>
      </c>
      <c r="J152" s="6">
        <f>IF(A152="","", IF(C152="Doors (leaf)", 0, E152*XLOOKUP(C152,Constants!$A$40:$A$200,Constants!$D$40:$D$200,0,0)*G152))</f>
        <v/>
      </c>
      <c r="K152" s="6">
        <f>IF(A152="","", IF(C152="Doors (leaf)", 0, IF(F152="Full", E152*XLOOKUP(C152,Constants!$A$40:$A$200,Constants!$E$40:$E$200,0,0), IF(F152="Spot", E152*XLOOKUP(C152,Constants!$A$40:$A$200,Constants!$E$40:$E$200,0,0)*0.35, 0))))</f>
        <v/>
      </c>
      <c r="L152">
        <f>IF(A152="","",0)</f>
        <v/>
      </c>
      <c r="M152" s="6">
        <f>IF(A152="","", SUM(I152:K152))</f>
        <v/>
      </c>
      <c r="N152" s="6">
        <f>IF(A152="","", L152/60)</f>
        <v/>
      </c>
      <c r="O152" s="6">
        <f>IF(A152="","", N152*(IF(=IF('Job Control'!$B$3="","", XLOOKUP('Job Control'!$B$3, INPUT_JobSettings!$A:$A, INPUT_JobSettings!$F:$F, ""))&lt;&gt;"", =IF('Job Control'!$B$3="","", XLOOKUP('Job Control'!$B$3, INPUT_JobSettings!$A:$A, INPUT_JobSettings!$F:$F, "")), $B$6)))</f>
        <v/>
      </c>
      <c r="P152" s="6">
        <f>IF(A152="","", (O152+L152)*(IF(=IF('Job Control'!$B$3="","", XLOOKUP('Job Control'!$B$3, INPUT_JobSettings!$A:$A, INPUT_JobSettings!$G:$G, ""))&lt;&gt;"", =IF('Job Control'!$B$3="","", XLOOKUP('Job Control'!$B$3, INPUT_JobSettings!$A:$A, INPUT_JobSettings!$G:$G, "")), $B$7)))</f>
        <v/>
      </c>
    </row>
    <row r="153">
      <c r="A153" s="6">
        <f>IFERROR(INDEX(FILTER(INPUT_Rooms!$B$4:$B$83, INPUT_Rooms!$A$4:$A$83=$B$4, INPUT_Rooms!$T$4:$T$83="Y"), 29), "")</f>
        <v/>
      </c>
      <c r="B153" s="6">
        <f>IF(A153="","", XLOOKUP(A153, FILTER(INPUT_Rooms!$B$4:$B$83, INPUT_Rooms!$A$4:$A$83=$B$4), FILTER(INPUT_Rooms!$C$4:$C$83, INPUT_Rooms!$A$4:$A$83=$B$4), ""))</f>
        <v/>
      </c>
      <c r="C153" s="6">
        <f>IF(A153="","", CHOOSE(3,"Baseboard","Crown","Window Casing","Door Casing","Doors (leaf)"))</f>
        <v/>
      </c>
      <c r="D153" s="6">
        <f>IF(A153="","", XLOOKUP(C153,Constants!$A$40:$A$200,Constants!$B$40:$B$200,"",0))</f>
        <v/>
      </c>
      <c r="E153" s="6">
        <f>IF(A153="","", IF(C153="Baseboard", IF(XLOOKUP(A153,INPUT_Rooms!$B:$B,INPUT_Rooms!$X:$X,"")="Y", XLOOKUP(A153,INPUT_Rooms!$B:$B,INPUT_Rooms!$AF:$AF,""), 0),IF(C153="Crown", IF(XLOOKUP(A153,INPUT_Rooms!$B:$B,INPUT_Rooms!$Y:$Y,"")="Y", XLOOKUP(A153,INPUT_Rooms!$B:$B,INPUT_Rooms!$AG:$AG,""), 0),IF(C153="Window Casing", IF(XLOOKUP(A153,INPUT_Rooms!$B:$B,INPUT_Rooms!$Z:$Z,"")="Y", SUMPRODUCT((INPUT_Openings!$A:$A=$B$4)*(INPUT_Openings!$B:$B=A153)*(INPUT_Openings!$D:$D)*XLOOKUP(INPUT_Openings!$C:$C,Constants!$A$30:$A$200,Constants!$E$30:$E$200,"",0)*(INPUT_Openings!$E:$E="Window")), 0),IF(C153="Door Casing", IF(XLOOKUP(A153,INPUT_Rooms!$B:$B,INPUT_Rooms!$AA:$AA,"")="Y", SUMPRODUCT((INPUT_Openings!$A:$A=$B$4)*(INPUT_Openings!$B:$B=A153)*(INPUT_Openings!$D:$D)*XLOOKUP(INPUT_Openings!$C:$C,Constants!$A$30:$A$200,Constants!$E$30:$E$200,"",0)*(INPUT_Openings!$E:$E="Door")), 0),IF(C153="Doors (leaf)", IF(XLOOKUP(A153,INPUT_Rooms!$B:$B,INPUT_Rooms!$AB:$AB,"")="Y", SUMPRODUCT((INPUT_Doors!$A:$A=$B$4)*(INPUT_Doors!$B:$B=A153)*(INPUT_Doors!$D:$D)*(INPUT_Doors!$E:$E)), 0), 0))))))</f>
        <v/>
      </c>
      <c r="F153" s="6">
        <f>IF(A153="","", XLOOKUP(A153, INPUT_Rooms!$B:$B, INPUT_Rooms!$U:$U, ""))</f>
        <v/>
      </c>
      <c r="G153" s="6">
        <f>IF(A153="","", XLOOKUP(A153, INPUT_Rooms!$B:$B, INPUT_Rooms!$V:$V, ""))</f>
        <v/>
      </c>
      <c r="H153" s="6">
        <f>IF(A153="","", IF(XLOOKUP(A153, INPUT_Rooms!$B:$B, INPUT_Rooms!$W:$W, "")="", $B$5, XLOOKUP(A153, INPUT_Rooms!$B:$B, INPUT_Rooms!$W:$W, "")))</f>
        <v/>
      </c>
      <c r="I153" s="6">
        <f>IF(A153="","", IF(C153="Doors (leaf)", 0, E153*XLOOKUP(C153,Constants!$A$40:$A$200,Constants!$C$40:$C$200,0,0)*XLOOKUP(H153,Constants!$E$10:$E$30,Constants!$F$10:$F$30)))</f>
        <v/>
      </c>
      <c r="J153" s="6">
        <f>IF(A153="","", IF(C153="Doors (leaf)", 0, E153*XLOOKUP(C153,Constants!$A$40:$A$200,Constants!$D$40:$D$200,0,0)*G153))</f>
        <v/>
      </c>
      <c r="K153" s="6">
        <f>IF(A153="","", IF(C153="Doors (leaf)", 0, IF(F153="Full", E153*XLOOKUP(C153,Constants!$A$40:$A$200,Constants!$E$40:$E$200,0,0), IF(F153="Spot", E153*XLOOKUP(C153,Constants!$A$40:$A$200,Constants!$E$40:$E$200,0,0)*0.35, 0))))</f>
        <v/>
      </c>
      <c r="L153">
        <f>IF(A153="","",0)</f>
        <v/>
      </c>
      <c r="M153" s="6">
        <f>IF(A153="","", SUM(I153:K153))</f>
        <v/>
      </c>
      <c r="N153" s="6">
        <f>IF(A153="","", L153/60)</f>
        <v/>
      </c>
      <c r="O153" s="6">
        <f>IF(A153="","", N153*(IF(=IF('Job Control'!$B$3="","", XLOOKUP('Job Control'!$B$3, INPUT_JobSettings!$A:$A, INPUT_JobSettings!$F:$F, ""))&lt;&gt;"", =IF('Job Control'!$B$3="","", XLOOKUP('Job Control'!$B$3, INPUT_JobSettings!$A:$A, INPUT_JobSettings!$F:$F, "")), $B$6)))</f>
        <v/>
      </c>
      <c r="P153" s="6">
        <f>IF(A153="","", (O153+L153)*(IF(=IF('Job Control'!$B$3="","", XLOOKUP('Job Control'!$B$3, INPUT_JobSettings!$A:$A, INPUT_JobSettings!$G:$G, ""))&lt;&gt;"", =IF('Job Control'!$B$3="","", XLOOKUP('Job Control'!$B$3, INPUT_JobSettings!$A:$A, INPUT_JobSettings!$G:$G, "")), $B$7)))</f>
        <v/>
      </c>
    </row>
    <row r="154">
      <c r="A154" s="6">
        <f>IFERROR(INDEX(FILTER(INPUT_Rooms!$B$4:$B$83, INPUT_Rooms!$A$4:$A$83=$B$4, INPUT_Rooms!$T$4:$T$83="Y"), 29), "")</f>
        <v/>
      </c>
      <c r="B154" s="6">
        <f>IF(A154="","", XLOOKUP(A154, FILTER(INPUT_Rooms!$B$4:$B$83, INPUT_Rooms!$A$4:$A$83=$B$4), FILTER(INPUT_Rooms!$C$4:$C$83, INPUT_Rooms!$A$4:$A$83=$B$4), ""))</f>
        <v/>
      </c>
      <c r="C154" s="6">
        <f>IF(A154="","", CHOOSE(4,"Baseboard","Crown","Window Casing","Door Casing","Doors (leaf)"))</f>
        <v/>
      </c>
      <c r="D154" s="6">
        <f>IF(A154="","", XLOOKUP(C154,Constants!$A$40:$A$200,Constants!$B$40:$B$200,"",0))</f>
        <v/>
      </c>
      <c r="E154" s="6">
        <f>IF(A154="","", IF(C154="Baseboard", IF(XLOOKUP(A154,INPUT_Rooms!$B:$B,INPUT_Rooms!$X:$X,"")="Y", XLOOKUP(A154,INPUT_Rooms!$B:$B,INPUT_Rooms!$AF:$AF,""), 0),IF(C154="Crown", IF(XLOOKUP(A154,INPUT_Rooms!$B:$B,INPUT_Rooms!$Y:$Y,"")="Y", XLOOKUP(A154,INPUT_Rooms!$B:$B,INPUT_Rooms!$AG:$AG,""), 0),IF(C154="Window Casing", IF(XLOOKUP(A154,INPUT_Rooms!$B:$B,INPUT_Rooms!$Z:$Z,"")="Y", SUMPRODUCT((INPUT_Openings!$A:$A=$B$4)*(INPUT_Openings!$B:$B=A154)*(INPUT_Openings!$D:$D)*XLOOKUP(INPUT_Openings!$C:$C,Constants!$A$30:$A$200,Constants!$E$30:$E$200,"",0)*(INPUT_Openings!$E:$E="Window")), 0),IF(C154="Door Casing", IF(XLOOKUP(A154,INPUT_Rooms!$B:$B,INPUT_Rooms!$AA:$AA,"")="Y", SUMPRODUCT((INPUT_Openings!$A:$A=$B$4)*(INPUT_Openings!$B:$B=A154)*(INPUT_Openings!$D:$D)*XLOOKUP(INPUT_Openings!$C:$C,Constants!$A$30:$A$200,Constants!$E$30:$E$200,"",0)*(INPUT_Openings!$E:$E="Door")), 0),IF(C154="Doors (leaf)", IF(XLOOKUP(A154,INPUT_Rooms!$B:$B,INPUT_Rooms!$AB:$AB,"")="Y", SUMPRODUCT((INPUT_Doors!$A:$A=$B$4)*(INPUT_Doors!$B:$B=A154)*(INPUT_Doors!$D:$D)*(INPUT_Doors!$E:$E)), 0), 0))))))</f>
        <v/>
      </c>
      <c r="F154" s="6">
        <f>IF(A154="","", XLOOKUP(A154, INPUT_Rooms!$B:$B, INPUT_Rooms!$U:$U, ""))</f>
        <v/>
      </c>
      <c r="G154" s="6">
        <f>IF(A154="","", XLOOKUP(A154, INPUT_Rooms!$B:$B, INPUT_Rooms!$V:$V, ""))</f>
        <v/>
      </c>
      <c r="H154" s="6">
        <f>IF(A154="","", IF(XLOOKUP(A154, INPUT_Rooms!$B:$B, INPUT_Rooms!$W:$W, "")="", $B$5, XLOOKUP(A154, INPUT_Rooms!$B:$B, INPUT_Rooms!$W:$W, "")))</f>
        <v/>
      </c>
      <c r="I154" s="6">
        <f>IF(A154="","", IF(C154="Doors (leaf)", 0, E154*XLOOKUP(C154,Constants!$A$40:$A$200,Constants!$C$40:$C$200,0,0)*XLOOKUP(H154,Constants!$E$10:$E$30,Constants!$F$10:$F$30)))</f>
        <v/>
      </c>
      <c r="J154" s="6">
        <f>IF(A154="","", IF(C154="Doors (leaf)", 0, E154*XLOOKUP(C154,Constants!$A$40:$A$200,Constants!$D$40:$D$200,0,0)*G154))</f>
        <v/>
      </c>
      <c r="K154" s="6">
        <f>IF(A154="","", IF(C154="Doors (leaf)", 0, IF(F154="Full", E154*XLOOKUP(C154,Constants!$A$40:$A$200,Constants!$E$40:$E$200,0,0), IF(F154="Spot", E154*XLOOKUP(C154,Constants!$A$40:$A$200,Constants!$E$40:$E$200,0,0)*0.35, 0))))</f>
        <v/>
      </c>
      <c r="L154">
        <f>IF(A154="","",0)</f>
        <v/>
      </c>
      <c r="M154" s="6">
        <f>IF(A154="","", SUM(I154:K154))</f>
        <v/>
      </c>
      <c r="N154" s="6">
        <f>IF(A154="","", L154/60)</f>
        <v/>
      </c>
      <c r="O154" s="6">
        <f>IF(A154="","", N154*(IF(=IF('Job Control'!$B$3="","", XLOOKUP('Job Control'!$B$3, INPUT_JobSettings!$A:$A, INPUT_JobSettings!$F:$F, ""))&lt;&gt;"", =IF('Job Control'!$B$3="","", XLOOKUP('Job Control'!$B$3, INPUT_JobSettings!$A:$A, INPUT_JobSettings!$F:$F, "")), $B$6)))</f>
        <v/>
      </c>
      <c r="P154" s="6">
        <f>IF(A154="","", (O154+L154)*(IF(=IF('Job Control'!$B$3="","", XLOOKUP('Job Control'!$B$3, INPUT_JobSettings!$A:$A, INPUT_JobSettings!$G:$G, ""))&lt;&gt;"", =IF('Job Control'!$B$3="","", XLOOKUP('Job Control'!$B$3, INPUT_JobSettings!$A:$A, INPUT_JobSettings!$G:$G, "")), $B$7)))</f>
        <v/>
      </c>
    </row>
    <row r="155">
      <c r="A155" s="6">
        <f>IFERROR(INDEX(FILTER(INPUT_Rooms!$B$4:$B$83, INPUT_Rooms!$A$4:$A$83=$B$4, INPUT_Rooms!$T$4:$T$83="Y"), 29), "")</f>
        <v/>
      </c>
      <c r="B155" s="6">
        <f>IF(A155="","", XLOOKUP(A155, FILTER(INPUT_Rooms!$B$4:$B$83, INPUT_Rooms!$A$4:$A$83=$B$4), FILTER(INPUT_Rooms!$C$4:$C$83, INPUT_Rooms!$A$4:$A$83=$B$4), ""))</f>
        <v/>
      </c>
      <c r="C155" s="6">
        <f>IF(A155="","", CHOOSE(5,"Baseboard","Crown","Window Casing","Door Casing","Doors (leaf)"))</f>
        <v/>
      </c>
      <c r="D155" s="6">
        <f>IF(A155="","", XLOOKUP(C155,Constants!$A$40:$A$200,Constants!$B$40:$B$200,"",0))</f>
        <v/>
      </c>
      <c r="E155" s="6">
        <f>IF(A155="","", IF(C155="Baseboard", IF(XLOOKUP(A155,INPUT_Rooms!$B:$B,INPUT_Rooms!$X:$X,"")="Y", XLOOKUP(A155,INPUT_Rooms!$B:$B,INPUT_Rooms!$AF:$AF,""), 0),IF(C155="Crown", IF(XLOOKUP(A155,INPUT_Rooms!$B:$B,INPUT_Rooms!$Y:$Y,"")="Y", XLOOKUP(A155,INPUT_Rooms!$B:$B,INPUT_Rooms!$AG:$AG,""), 0),IF(C155="Window Casing", IF(XLOOKUP(A155,INPUT_Rooms!$B:$B,INPUT_Rooms!$Z:$Z,"")="Y", SUMPRODUCT((INPUT_Openings!$A:$A=$B$4)*(INPUT_Openings!$B:$B=A155)*(INPUT_Openings!$D:$D)*XLOOKUP(INPUT_Openings!$C:$C,Constants!$A$30:$A$200,Constants!$E$30:$E$200,"",0)*(INPUT_Openings!$E:$E="Window")), 0),IF(C155="Door Casing", IF(XLOOKUP(A155,INPUT_Rooms!$B:$B,INPUT_Rooms!$AA:$AA,"")="Y", SUMPRODUCT((INPUT_Openings!$A:$A=$B$4)*(INPUT_Openings!$B:$B=A155)*(INPUT_Openings!$D:$D)*XLOOKUP(INPUT_Openings!$C:$C,Constants!$A$30:$A$200,Constants!$E$30:$E$200,"",0)*(INPUT_Openings!$E:$E="Door")), 0),IF(C155="Doors (leaf)", IF(XLOOKUP(A155,INPUT_Rooms!$B:$B,INPUT_Rooms!$AB:$AB,"")="Y", SUMPRODUCT((INPUT_Doors!$A:$A=$B$4)*(INPUT_Doors!$B:$B=A155)*(INPUT_Doors!$D:$D)*(INPUT_Doors!$E:$E)), 0), 0))))))</f>
        <v/>
      </c>
      <c r="F155" s="6">
        <f>IF(A155="","", XLOOKUP(A155, INPUT_Rooms!$B:$B, INPUT_Rooms!$U:$U, ""))</f>
        <v/>
      </c>
      <c r="G155" s="6">
        <f>IF(A155="","", XLOOKUP(A155, INPUT_Rooms!$B:$B, INPUT_Rooms!$V:$V, ""))</f>
        <v/>
      </c>
      <c r="H155" s="6">
        <f>IF(A155="","", IF(XLOOKUP(A155, INPUT_Rooms!$B:$B, INPUT_Rooms!$W:$W, "")="", $B$5, XLOOKUP(A155, INPUT_Rooms!$B:$B, INPUT_Rooms!$W:$W, "")))</f>
        <v/>
      </c>
      <c r="I155" s="6">
        <f>IF(A155="","", IF(C155="Doors (leaf)", 0, E155*XLOOKUP(C155,Constants!$A$40:$A$200,Constants!$C$40:$C$200,0,0)*XLOOKUP(H155,Constants!$E$10:$E$30,Constants!$F$10:$F$30)))</f>
        <v/>
      </c>
      <c r="J155" s="6">
        <f>IF(A155="","", IF(C155="Doors (leaf)", 0, E155*XLOOKUP(C155,Constants!$A$40:$A$200,Constants!$D$40:$D$200,0,0)*G155))</f>
        <v/>
      </c>
      <c r="K155" s="6">
        <f>IF(A155="","", IF(C155="Doors (leaf)", 0, IF(F155="Full", E155*XLOOKUP(C155,Constants!$A$40:$A$200,Constants!$E$40:$E$200,0,0), IF(F155="Spot", E155*XLOOKUP(C155,Constants!$A$40:$A$200,Constants!$E$40:$E$200,0,0)*0.35, 0))))</f>
        <v/>
      </c>
      <c r="L155">
        <f>IF(A155="","",0)</f>
        <v/>
      </c>
      <c r="M155" s="6">
        <f>IF(A155="","", SUM(I155:K155))</f>
        <v/>
      </c>
      <c r="N155" s="6">
        <f>IF(A155="","", L155/60)</f>
        <v/>
      </c>
      <c r="O155" s="6">
        <f>IF(A155="","", N155*(IF(=IF('Job Control'!$B$3="","", XLOOKUP('Job Control'!$B$3, INPUT_JobSettings!$A:$A, INPUT_JobSettings!$F:$F, ""))&lt;&gt;"", =IF('Job Control'!$B$3="","", XLOOKUP('Job Control'!$B$3, INPUT_JobSettings!$A:$A, INPUT_JobSettings!$F:$F, "")), $B$6)))</f>
        <v/>
      </c>
      <c r="P155" s="6">
        <f>IF(A155="","", (O155+L155)*(IF(=IF('Job Control'!$B$3="","", XLOOKUP('Job Control'!$B$3, INPUT_JobSettings!$A:$A, INPUT_JobSettings!$G:$G, ""))&lt;&gt;"", =IF('Job Control'!$B$3="","", XLOOKUP('Job Control'!$B$3, INPUT_JobSettings!$A:$A, INPUT_JobSettings!$G:$G, "")), $B$7)))</f>
        <v/>
      </c>
    </row>
    <row r="156">
      <c r="A156" s="6">
        <f>IFERROR(INDEX(FILTER(INPUT_Rooms!$B$4:$B$83, INPUT_Rooms!$A$4:$A$83=$B$4, INPUT_Rooms!$T$4:$T$83="Y"), 30), "")</f>
        <v/>
      </c>
      <c r="B156" s="6">
        <f>IF(A156="","", XLOOKUP(A156, FILTER(INPUT_Rooms!$B$4:$B$83, INPUT_Rooms!$A$4:$A$83=$B$4), FILTER(INPUT_Rooms!$C$4:$C$83, INPUT_Rooms!$A$4:$A$83=$B$4), ""))</f>
        <v/>
      </c>
      <c r="C156" s="6">
        <f>IF(A156="","", CHOOSE(1,"Baseboard","Crown","Window Casing","Door Casing","Doors (leaf)"))</f>
        <v/>
      </c>
      <c r="D156" s="6">
        <f>IF(A156="","", XLOOKUP(C156,Constants!$A$40:$A$200,Constants!$B$40:$B$200,"",0))</f>
        <v/>
      </c>
      <c r="E156" s="6">
        <f>IF(A156="","", IF(C156="Baseboard", IF(XLOOKUP(A156,INPUT_Rooms!$B:$B,INPUT_Rooms!$X:$X,"")="Y", XLOOKUP(A156,INPUT_Rooms!$B:$B,INPUT_Rooms!$AF:$AF,""), 0),IF(C156="Crown", IF(XLOOKUP(A156,INPUT_Rooms!$B:$B,INPUT_Rooms!$Y:$Y,"")="Y", XLOOKUP(A156,INPUT_Rooms!$B:$B,INPUT_Rooms!$AG:$AG,""), 0),IF(C156="Window Casing", IF(XLOOKUP(A156,INPUT_Rooms!$B:$B,INPUT_Rooms!$Z:$Z,"")="Y", SUMPRODUCT((INPUT_Openings!$A:$A=$B$4)*(INPUT_Openings!$B:$B=A156)*(INPUT_Openings!$D:$D)*XLOOKUP(INPUT_Openings!$C:$C,Constants!$A$30:$A$200,Constants!$E$30:$E$200,"",0)*(INPUT_Openings!$E:$E="Window")), 0),IF(C156="Door Casing", IF(XLOOKUP(A156,INPUT_Rooms!$B:$B,INPUT_Rooms!$AA:$AA,"")="Y", SUMPRODUCT((INPUT_Openings!$A:$A=$B$4)*(INPUT_Openings!$B:$B=A156)*(INPUT_Openings!$D:$D)*XLOOKUP(INPUT_Openings!$C:$C,Constants!$A$30:$A$200,Constants!$E$30:$E$200,"",0)*(INPUT_Openings!$E:$E="Door")), 0),IF(C156="Doors (leaf)", IF(XLOOKUP(A156,INPUT_Rooms!$B:$B,INPUT_Rooms!$AB:$AB,"")="Y", SUMPRODUCT((INPUT_Doors!$A:$A=$B$4)*(INPUT_Doors!$B:$B=A156)*(INPUT_Doors!$D:$D)*(INPUT_Doors!$E:$E)), 0), 0))))))</f>
        <v/>
      </c>
      <c r="F156" s="6">
        <f>IF(A156="","", XLOOKUP(A156, INPUT_Rooms!$B:$B, INPUT_Rooms!$U:$U, ""))</f>
        <v/>
      </c>
      <c r="G156" s="6">
        <f>IF(A156="","", XLOOKUP(A156, INPUT_Rooms!$B:$B, INPUT_Rooms!$V:$V, ""))</f>
        <v/>
      </c>
      <c r="H156" s="6">
        <f>IF(A156="","", IF(XLOOKUP(A156, INPUT_Rooms!$B:$B, INPUT_Rooms!$W:$W, "")="", $B$5, XLOOKUP(A156, INPUT_Rooms!$B:$B, INPUT_Rooms!$W:$W, "")))</f>
        <v/>
      </c>
      <c r="I156" s="6">
        <f>IF(A156="","", IF(C156="Doors (leaf)", 0, E156*XLOOKUP(C156,Constants!$A$40:$A$200,Constants!$C$40:$C$200,0,0)*XLOOKUP(H156,Constants!$E$10:$E$30,Constants!$F$10:$F$30)))</f>
        <v/>
      </c>
      <c r="J156" s="6">
        <f>IF(A156="","", IF(C156="Doors (leaf)", 0, E156*XLOOKUP(C156,Constants!$A$40:$A$200,Constants!$D$40:$D$200,0,0)*G156))</f>
        <v/>
      </c>
      <c r="K156" s="6">
        <f>IF(A156="","", IF(C156="Doors (leaf)", 0, IF(F156="Full", E156*XLOOKUP(C156,Constants!$A$40:$A$200,Constants!$E$40:$E$200,0,0), IF(F156="Spot", E156*XLOOKUP(C156,Constants!$A$40:$A$200,Constants!$E$40:$E$200,0,0)*0.35, 0))))</f>
        <v/>
      </c>
      <c r="L156">
        <f>IF(A156="","",0)</f>
        <v/>
      </c>
      <c r="M156" s="6">
        <f>IF(A156="","", SUM(I156:K156))</f>
        <v/>
      </c>
      <c r="N156" s="6">
        <f>IF(A156="","", L156/60)</f>
        <v/>
      </c>
      <c r="O156" s="6">
        <f>IF(A156="","", N156*(IF(=IF('Job Control'!$B$3="","", XLOOKUP('Job Control'!$B$3, INPUT_JobSettings!$A:$A, INPUT_JobSettings!$F:$F, ""))&lt;&gt;"", =IF('Job Control'!$B$3="","", XLOOKUP('Job Control'!$B$3, INPUT_JobSettings!$A:$A, INPUT_JobSettings!$F:$F, "")), $B$6)))</f>
        <v/>
      </c>
      <c r="P156" s="6">
        <f>IF(A156="","", (O156+L156)*(IF(=IF('Job Control'!$B$3="","", XLOOKUP('Job Control'!$B$3, INPUT_JobSettings!$A:$A, INPUT_JobSettings!$G:$G, ""))&lt;&gt;"", =IF('Job Control'!$B$3="","", XLOOKUP('Job Control'!$B$3, INPUT_JobSettings!$A:$A, INPUT_JobSettings!$G:$G, "")), $B$7)))</f>
        <v/>
      </c>
    </row>
    <row r="157">
      <c r="A157" s="6">
        <f>IFERROR(INDEX(FILTER(INPUT_Rooms!$B$4:$B$83, INPUT_Rooms!$A$4:$A$83=$B$4, INPUT_Rooms!$T$4:$T$83="Y"), 30), "")</f>
        <v/>
      </c>
      <c r="B157" s="6">
        <f>IF(A157="","", XLOOKUP(A157, FILTER(INPUT_Rooms!$B$4:$B$83, INPUT_Rooms!$A$4:$A$83=$B$4), FILTER(INPUT_Rooms!$C$4:$C$83, INPUT_Rooms!$A$4:$A$83=$B$4), ""))</f>
        <v/>
      </c>
      <c r="C157" s="6">
        <f>IF(A157="","", CHOOSE(2,"Baseboard","Crown","Window Casing","Door Casing","Doors (leaf)"))</f>
        <v/>
      </c>
      <c r="D157" s="6">
        <f>IF(A157="","", XLOOKUP(C157,Constants!$A$40:$A$200,Constants!$B$40:$B$200,"",0))</f>
        <v/>
      </c>
      <c r="E157" s="6">
        <f>IF(A157="","", IF(C157="Baseboard", IF(XLOOKUP(A157,INPUT_Rooms!$B:$B,INPUT_Rooms!$X:$X,"")="Y", XLOOKUP(A157,INPUT_Rooms!$B:$B,INPUT_Rooms!$AF:$AF,""), 0),IF(C157="Crown", IF(XLOOKUP(A157,INPUT_Rooms!$B:$B,INPUT_Rooms!$Y:$Y,"")="Y", XLOOKUP(A157,INPUT_Rooms!$B:$B,INPUT_Rooms!$AG:$AG,""), 0),IF(C157="Window Casing", IF(XLOOKUP(A157,INPUT_Rooms!$B:$B,INPUT_Rooms!$Z:$Z,"")="Y", SUMPRODUCT((INPUT_Openings!$A:$A=$B$4)*(INPUT_Openings!$B:$B=A157)*(INPUT_Openings!$D:$D)*XLOOKUP(INPUT_Openings!$C:$C,Constants!$A$30:$A$200,Constants!$E$30:$E$200,"",0)*(INPUT_Openings!$E:$E="Window")), 0),IF(C157="Door Casing", IF(XLOOKUP(A157,INPUT_Rooms!$B:$B,INPUT_Rooms!$AA:$AA,"")="Y", SUMPRODUCT((INPUT_Openings!$A:$A=$B$4)*(INPUT_Openings!$B:$B=A157)*(INPUT_Openings!$D:$D)*XLOOKUP(INPUT_Openings!$C:$C,Constants!$A$30:$A$200,Constants!$E$30:$E$200,"",0)*(INPUT_Openings!$E:$E="Door")), 0),IF(C157="Doors (leaf)", IF(XLOOKUP(A157,INPUT_Rooms!$B:$B,INPUT_Rooms!$AB:$AB,"")="Y", SUMPRODUCT((INPUT_Doors!$A:$A=$B$4)*(INPUT_Doors!$B:$B=A157)*(INPUT_Doors!$D:$D)*(INPUT_Doors!$E:$E)), 0), 0))))))</f>
        <v/>
      </c>
      <c r="F157" s="6">
        <f>IF(A157="","", XLOOKUP(A157, INPUT_Rooms!$B:$B, INPUT_Rooms!$U:$U, ""))</f>
        <v/>
      </c>
      <c r="G157" s="6">
        <f>IF(A157="","", XLOOKUP(A157, INPUT_Rooms!$B:$B, INPUT_Rooms!$V:$V, ""))</f>
        <v/>
      </c>
      <c r="H157" s="6">
        <f>IF(A157="","", IF(XLOOKUP(A157, INPUT_Rooms!$B:$B, INPUT_Rooms!$W:$W, "")="", $B$5, XLOOKUP(A157, INPUT_Rooms!$B:$B, INPUT_Rooms!$W:$W, "")))</f>
        <v/>
      </c>
      <c r="I157" s="6">
        <f>IF(A157="","", IF(C157="Doors (leaf)", 0, E157*XLOOKUP(C157,Constants!$A$40:$A$200,Constants!$C$40:$C$200,0,0)*XLOOKUP(H157,Constants!$E$10:$E$30,Constants!$F$10:$F$30)))</f>
        <v/>
      </c>
      <c r="J157" s="6">
        <f>IF(A157="","", IF(C157="Doors (leaf)", 0, E157*XLOOKUP(C157,Constants!$A$40:$A$200,Constants!$D$40:$D$200,0,0)*G157))</f>
        <v/>
      </c>
      <c r="K157" s="6">
        <f>IF(A157="","", IF(C157="Doors (leaf)", 0, IF(F157="Full", E157*XLOOKUP(C157,Constants!$A$40:$A$200,Constants!$E$40:$E$200,0,0), IF(F157="Spot", E157*XLOOKUP(C157,Constants!$A$40:$A$200,Constants!$E$40:$E$200,0,0)*0.35, 0))))</f>
        <v/>
      </c>
      <c r="L157">
        <f>IF(A157="","",0)</f>
        <v/>
      </c>
      <c r="M157" s="6">
        <f>IF(A157="","", SUM(I157:K157))</f>
        <v/>
      </c>
      <c r="N157" s="6">
        <f>IF(A157="","", L157/60)</f>
        <v/>
      </c>
      <c r="O157" s="6">
        <f>IF(A157="","", N157*(IF(=IF('Job Control'!$B$3="","", XLOOKUP('Job Control'!$B$3, INPUT_JobSettings!$A:$A, INPUT_JobSettings!$F:$F, ""))&lt;&gt;"", =IF('Job Control'!$B$3="","", XLOOKUP('Job Control'!$B$3, INPUT_JobSettings!$A:$A, INPUT_JobSettings!$F:$F, "")), $B$6)))</f>
        <v/>
      </c>
      <c r="P157" s="6">
        <f>IF(A157="","", (O157+L157)*(IF(=IF('Job Control'!$B$3="","", XLOOKUP('Job Control'!$B$3, INPUT_JobSettings!$A:$A, INPUT_JobSettings!$G:$G, ""))&lt;&gt;"", =IF('Job Control'!$B$3="","", XLOOKUP('Job Control'!$B$3, INPUT_JobSettings!$A:$A, INPUT_JobSettings!$G:$G, "")), $B$7)))</f>
        <v/>
      </c>
    </row>
    <row r="158">
      <c r="A158" s="6">
        <f>IFERROR(INDEX(FILTER(INPUT_Rooms!$B$4:$B$83, INPUT_Rooms!$A$4:$A$83=$B$4, INPUT_Rooms!$T$4:$T$83="Y"), 30), "")</f>
        <v/>
      </c>
      <c r="B158" s="6">
        <f>IF(A158="","", XLOOKUP(A158, FILTER(INPUT_Rooms!$B$4:$B$83, INPUT_Rooms!$A$4:$A$83=$B$4), FILTER(INPUT_Rooms!$C$4:$C$83, INPUT_Rooms!$A$4:$A$83=$B$4), ""))</f>
        <v/>
      </c>
      <c r="C158" s="6">
        <f>IF(A158="","", CHOOSE(3,"Baseboard","Crown","Window Casing","Door Casing","Doors (leaf)"))</f>
        <v/>
      </c>
      <c r="D158" s="6">
        <f>IF(A158="","", XLOOKUP(C158,Constants!$A$40:$A$200,Constants!$B$40:$B$200,"",0))</f>
        <v/>
      </c>
      <c r="E158" s="6">
        <f>IF(A158="","", IF(C158="Baseboard", IF(XLOOKUP(A158,INPUT_Rooms!$B:$B,INPUT_Rooms!$X:$X,"")="Y", XLOOKUP(A158,INPUT_Rooms!$B:$B,INPUT_Rooms!$AF:$AF,""), 0),IF(C158="Crown", IF(XLOOKUP(A158,INPUT_Rooms!$B:$B,INPUT_Rooms!$Y:$Y,"")="Y", XLOOKUP(A158,INPUT_Rooms!$B:$B,INPUT_Rooms!$AG:$AG,""), 0),IF(C158="Window Casing", IF(XLOOKUP(A158,INPUT_Rooms!$B:$B,INPUT_Rooms!$Z:$Z,"")="Y", SUMPRODUCT((INPUT_Openings!$A:$A=$B$4)*(INPUT_Openings!$B:$B=A158)*(INPUT_Openings!$D:$D)*XLOOKUP(INPUT_Openings!$C:$C,Constants!$A$30:$A$200,Constants!$E$30:$E$200,"",0)*(INPUT_Openings!$E:$E="Window")), 0),IF(C158="Door Casing", IF(XLOOKUP(A158,INPUT_Rooms!$B:$B,INPUT_Rooms!$AA:$AA,"")="Y", SUMPRODUCT((INPUT_Openings!$A:$A=$B$4)*(INPUT_Openings!$B:$B=A158)*(INPUT_Openings!$D:$D)*XLOOKUP(INPUT_Openings!$C:$C,Constants!$A$30:$A$200,Constants!$E$30:$E$200,"",0)*(INPUT_Openings!$E:$E="Door")), 0),IF(C158="Doors (leaf)", IF(XLOOKUP(A158,INPUT_Rooms!$B:$B,INPUT_Rooms!$AB:$AB,"")="Y", SUMPRODUCT((INPUT_Doors!$A:$A=$B$4)*(INPUT_Doors!$B:$B=A158)*(INPUT_Doors!$D:$D)*(INPUT_Doors!$E:$E)), 0), 0))))))</f>
        <v/>
      </c>
      <c r="F158" s="6">
        <f>IF(A158="","", XLOOKUP(A158, INPUT_Rooms!$B:$B, INPUT_Rooms!$U:$U, ""))</f>
        <v/>
      </c>
      <c r="G158" s="6">
        <f>IF(A158="","", XLOOKUP(A158, INPUT_Rooms!$B:$B, INPUT_Rooms!$V:$V, ""))</f>
        <v/>
      </c>
      <c r="H158" s="6">
        <f>IF(A158="","", IF(XLOOKUP(A158, INPUT_Rooms!$B:$B, INPUT_Rooms!$W:$W, "")="", $B$5, XLOOKUP(A158, INPUT_Rooms!$B:$B, INPUT_Rooms!$W:$W, "")))</f>
        <v/>
      </c>
      <c r="I158" s="6">
        <f>IF(A158="","", IF(C158="Doors (leaf)", 0, E158*XLOOKUP(C158,Constants!$A$40:$A$200,Constants!$C$40:$C$200,0,0)*XLOOKUP(H158,Constants!$E$10:$E$30,Constants!$F$10:$F$30)))</f>
        <v/>
      </c>
      <c r="J158" s="6">
        <f>IF(A158="","", IF(C158="Doors (leaf)", 0, E158*XLOOKUP(C158,Constants!$A$40:$A$200,Constants!$D$40:$D$200,0,0)*G158))</f>
        <v/>
      </c>
      <c r="K158" s="6">
        <f>IF(A158="","", IF(C158="Doors (leaf)", 0, IF(F158="Full", E158*XLOOKUP(C158,Constants!$A$40:$A$200,Constants!$E$40:$E$200,0,0), IF(F158="Spot", E158*XLOOKUP(C158,Constants!$A$40:$A$200,Constants!$E$40:$E$200,0,0)*0.35, 0))))</f>
        <v/>
      </c>
      <c r="L158">
        <f>IF(A158="","",0)</f>
        <v/>
      </c>
      <c r="M158" s="6">
        <f>IF(A158="","", SUM(I158:K158))</f>
        <v/>
      </c>
      <c r="N158" s="6">
        <f>IF(A158="","", L158/60)</f>
        <v/>
      </c>
      <c r="O158" s="6">
        <f>IF(A158="","", N158*(IF(=IF('Job Control'!$B$3="","", XLOOKUP('Job Control'!$B$3, INPUT_JobSettings!$A:$A, INPUT_JobSettings!$F:$F, ""))&lt;&gt;"", =IF('Job Control'!$B$3="","", XLOOKUP('Job Control'!$B$3, INPUT_JobSettings!$A:$A, INPUT_JobSettings!$F:$F, "")), $B$6)))</f>
        <v/>
      </c>
      <c r="P158" s="6">
        <f>IF(A158="","", (O158+L158)*(IF(=IF('Job Control'!$B$3="","", XLOOKUP('Job Control'!$B$3, INPUT_JobSettings!$A:$A, INPUT_JobSettings!$G:$G, ""))&lt;&gt;"", =IF('Job Control'!$B$3="","", XLOOKUP('Job Control'!$B$3, INPUT_JobSettings!$A:$A, INPUT_JobSettings!$G:$G, "")), $B$7)))</f>
        <v/>
      </c>
    </row>
    <row r="159">
      <c r="A159" s="6">
        <f>IFERROR(INDEX(FILTER(INPUT_Rooms!$B$4:$B$83, INPUT_Rooms!$A$4:$A$83=$B$4, INPUT_Rooms!$T$4:$T$83="Y"), 30), "")</f>
        <v/>
      </c>
      <c r="B159" s="6">
        <f>IF(A159="","", XLOOKUP(A159, FILTER(INPUT_Rooms!$B$4:$B$83, INPUT_Rooms!$A$4:$A$83=$B$4), FILTER(INPUT_Rooms!$C$4:$C$83, INPUT_Rooms!$A$4:$A$83=$B$4), ""))</f>
        <v/>
      </c>
      <c r="C159" s="6">
        <f>IF(A159="","", CHOOSE(4,"Baseboard","Crown","Window Casing","Door Casing","Doors (leaf)"))</f>
        <v/>
      </c>
      <c r="D159" s="6">
        <f>IF(A159="","", XLOOKUP(C159,Constants!$A$40:$A$200,Constants!$B$40:$B$200,"",0))</f>
        <v/>
      </c>
      <c r="E159" s="6">
        <f>IF(A159="","", IF(C159="Baseboard", IF(XLOOKUP(A159,INPUT_Rooms!$B:$B,INPUT_Rooms!$X:$X,"")="Y", XLOOKUP(A159,INPUT_Rooms!$B:$B,INPUT_Rooms!$AF:$AF,""), 0),IF(C159="Crown", IF(XLOOKUP(A159,INPUT_Rooms!$B:$B,INPUT_Rooms!$Y:$Y,"")="Y", XLOOKUP(A159,INPUT_Rooms!$B:$B,INPUT_Rooms!$AG:$AG,""), 0),IF(C159="Window Casing", IF(XLOOKUP(A159,INPUT_Rooms!$B:$B,INPUT_Rooms!$Z:$Z,"")="Y", SUMPRODUCT((INPUT_Openings!$A:$A=$B$4)*(INPUT_Openings!$B:$B=A159)*(INPUT_Openings!$D:$D)*XLOOKUP(INPUT_Openings!$C:$C,Constants!$A$30:$A$200,Constants!$E$30:$E$200,"",0)*(INPUT_Openings!$E:$E="Window")), 0),IF(C159="Door Casing", IF(XLOOKUP(A159,INPUT_Rooms!$B:$B,INPUT_Rooms!$AA:$AA,"")="Y", SUMPRODUCT((INPUT_Openings!$A:$A=$B$4)*(INPUT_Openings!$B:$B=A159)*(INPUT_Openings!$D:$D)*XLOOKUP(INPUT_Openings!$C:$C,Constants!$A$30:$A$200,Constants!$E$30:$E$200,"",0)*(INPUT_Openings!$E:$E="Door")), 0),IF(C159="Doors (leaf)", IF(XLOOKUP(A159,INPUT_Rooms!$B:$B,INPUT_Rooms!$AB:$AB,"")="Y", SUMPRODUCT((INPUT_Doors!$A:$A=$B$4)*(INPUT_Doors!$B:$B=A159)*(INPUT_Doors!$D:$D)*(INPUT_Doors!$E:$E)), 0), 0))))))</f>
        <v/>
      </c>
      <c r="F159" s="6">
        <f>IF(A159="","", XLOOKUP(A159, INPUT_Rooms!$B:$B, INPUT_Rooms!$U:$U, ""))</f>
        <v/>
      </c>
      <c r="G159" s="6">
        <f>IF(A159="","", XLOOKUP(A159, INPUT_Rooms!$B:$B, INPUT_Rooms!$V:$V, ""))</f>
        <v/>
      </c>
      <c r="H159" s="6">
        <f>IF(A159="","", IF(XLOOKUP(A159, INPUT_Rooms!$B:$B, INPUT_Rooms!$W:$W, "")="", $B$5, XLOOKUP(A159, INPUT_Rooms!$B:$B, INPUT_Rooms!$W:$W, "")))</f>
        <v/>
      </c>
      <c r="I159" s="6">
        <f>IF(A159="","", IF(C159="Doors (leaf)", 0, E159*XLOOKUP(C159,Constants!$A$40:$A$200,Constants!$C$40:$C$200,0,0)*XLOOKUP(H159,Constants!$E$10:$E$30,Constants!$F$10:$F$30)))</f>
        <v/>
      </c>
      <c r="J159" s="6">
        <f>IF(A159="","", IF(C159="Doors (leaf)", 0, E159*XLOOKUP(C159,Constants!$A$40:$A$200,Constants!$D$40:$D$200,0,0)*G159))</f>
        <v/>
      </c>
      <c r="K159" s="6">
        <f>IF(A159="","", IF(C159="Doors (leaf)", 0, IF(F159="Full", E159*XLOOKUP(C159,Constants!$A$40:$A$200,Constants!$E$40:$E$200,0,0), IF(F159="Spot", E159*XLOOKUP(C159,Constants!$A$40:$A$200,Constants!$E$40:$E$200,0,0)*0.35, 0))))</f>
        <v/>
      </c>
      <c r="L159">
        <f>IF(A159="","",0)</f>
        <v/>
      </c>
      <c r="M159" s="6">
        <f>IF(A159="","", SUM(I159:K159))</f>
        <v/>
      </c>
      <c r="N159" s="6">
        <f>IF(A159="","", L159/60)</f>
        <v/>
      </c>
      <c r="O159" s="6">
        <f>IF(A159="","", N159*(IF(=IF('Job Control'!$B$3="","", XLOOKUP('Job Control'!$B$3, INPUT_JobSettings!$A:$A, INPUT_JobSettings!$F:$F, ""))&lt;&gt;"", =IF('Job Control'!$B$3="","", XLOOKUP('Job Control'!$B$3, INPUT_JobSettings!$A:$A, INPUT_JobSettings!$F:$F, "")), $B$6)))</f>
        <v/>
      </c>
      <c r="P159" s="6">
        <f>IF(A159="","", (O159+L159)*(IF(=IF('Job Control'!$B$3="","", XLOOKUP('Job Control'!$B$3, INPUT_JobSettings!$A:$A, INPUT_JobSettings!$G:$G, ""))&lt;&gt;"", =IF('Job Control'!$B$3="","", XLOOKUP('Job Control'!$B$3, INPUT_JobSettings!$A:$A, INPUT_JobSettings!$G:$G, "")), $B$7)))</f>
        <v/>
      </c>
    </row>
    <row r="160">
      <c r="A160" s="6">
        <f>IFERROR(INDEX(FILTER(INPUT_Rooms!$B$4:$B$83, INPUT_Rooms!$A$4:$A$83=$B$4, INPUT_Rooms!$T$4:$T$83="Y"), 30), "")</f>
        <v/>
      </c>
      <c r="B160" s="6">
        <f>IF(A160="","", XLOOKUP(A160, FILTER(INPUT_Rooms!$B$4:$B$83, INPUT_Rooms!$A$4:$A$83=$B$4), FILTER(INPUT_Rooms!$C$4:$C$83, INPUT_Rooms!$A$4:$A$83=$B$4), ""))</f>
        <v/>
      </c>
      <c r="C160" s="6">
        <f>IF(A160="","", CHOOSE(5,"Baseboard","Crown","Window Casing","Door Casing","Doors (leaf)"))</f>
        <v/>
      </c>
      <c r="D160" s="6">
        <f>IF(A160="","", XLOOKUP(C160,Constants!$A$40:$A$200,Constants!$B$40:$B$200,"",0))</f>
        <v/>
      </c>
      <c r="E160" s="6">
        <f>IF(A160="","", IF(C160="Baseboard", IF(XLOOKUP(A160,INPUT_Rooms!$B:$B,INPUT_Rooms!$X:$X,"")="Y", XLOOKUP(A160,INPUT_Rooms!$B:$B,INPUT_Rooms!$AF:$AF,""), 0),IF(C160="Crown", IF(XLOOKUP(A160,INPUT_Rooms!$B:$B,INPUT_Rooms!$Y:$Y,"")="Y", XLOOKUP(A160,INPUT_Rooms!$B:$B,INPUT_Rooms!$AG:$AG,""), 0),IF(C160="Window Casing", IF(XLOOKUP(A160,INPUT_Rooms!$B:$B,INPUT_Rooms!$Z:$Z,"")="Y", SUMPRODUCT((INPUT_Openings!$A:$A=$B$4)*(INPUT_Openings!$B:$B=A160)*(INPUT_Openings!$D:$D)*XLOOKUP(INPUT_Openings!$C:$C,Constants!$A$30:$A$200,Constants!$E$30:$E$200,"",0)*(INPUT_Openings!$E:$E="Window")), 0),IF(C160="Door Casing", IF(XLOOKUP(A160,INPUT_Rooms!$B:$B,INPUT_Rooms!$AA:$AA,"")="Y", SUMPRODUCT((INPUT_Openings!$A:$A=$B$4)*(INPUT_Openings!$B:$B=A160)*(INPUT_Openings!$D:$D)*XLOOKUP(INPUT_Openings!$C:$C,Constants!$A$30:$A$200,Constants!$E$30:$E$200,"",0)*(INPUT_Openings!$E:$E="Door")), 0),IF(C160="Doors (leaf)", IF(XLOOKUP(A160,INPUT_Rooms!$B:$B,INPUT_Rooms!$AB:$AB,"")="Y", SUMPRODUCT((INPUT_Doors!$A:$A=$B$4)*(INPUT_Doors!$B:$B=A160)*(INPUT_Doors!$D:$D)*(INPUT_Doors!$E:$E)), 0), 0))))))</f>
        <v/>
      </c>
      <c r="F160" s="6">
        <f>IF(A160="","", XLOOKUP(A160, INPUT_Rooms!$B:$B, INPUT_Rooms!$U:$U, ""))</f>
        <v/>
      </c>
      <c r="G160" s="6">
        <f>IF(A160="","", XLOOKUP(A160, INPUT_Rooms!$B:$B, INPUT_Rooms!$V:$V, ""))</f>
        <v/>
      </c>
      <c r="H160" s="6">
        <f>IF(A160="","", IF(XLOOKUP(A160, INPUT_Rooms!$B:$B, INPUT_Rooms!$W:$W, "")="", $B$5, XLOOKUP(A160, INPUT_Rooms!$B:$B, INPUT_Rooms!$W:$W, "")))</f>
        <v/>
      </c>
      <c r="I160" s="6">
        <f>IF(A160="","", IF(C160="Doors (leaf)", 0, E160*XLOOKUP(C160,Constants!$A$40:$A$200,Constants!$C$40:$C$200,0,0)*XLOOKUP(H160,Constants!$E$10:$E$30,Constants!$F$10:$F$30)))</f>
        <v/>
      </c>
      <c r="J160" s="6">
        <f>IF(A160="","", IF(C160="Doors (leaf)", 0, E160*XLOOKUP(C160,Constants!$A$40:$A$200,Constants!$D$40:$D$200,0,0)*G160))</f>
        <v/>
      </c>
      <c r="K160" s="6">
        <f>IF(A160="","", IF(C160="Doors (leaf)", 0, IF(F160="Full", E160*XLOOKUP(C160,Constants!$A$40:$A$200,Constants!$E$40:$E$200,0,0), IF(F160="Spot", E160*XLOOKUP(C160,Constants!$A$40:$A$200,Constants!$E$40:$E$200,0,0)*0.35, 0))))</f>
        <v/>
      </c>
      <c r="L160">
        <f>IF(A160="","",0)</f>
        <v/>
      </c>
      <c r="M160" s="6">
        <f>IF(A160="","", SUM(I160:K160))</f>
        <v/>
      </c>
      <c r="N160" s="6">
        <f>IF(A160="","", L160/60)</f>
        <v/>
      </c>
      <c r="O160" s="6">
        <f>IF(A160="","", N160*(IF(=IF('Job Control'!$B$3="","", XLOOKUP('Job Control'!$B$3, INPUT_JobSettings!$A:$A, INPUT_JobSettings!$F:$F, ""))&lt;&gt;"", =IF('Job Control'!$B$3="","", XLOOKUP('Job Control'!$B$3, INPUT_JobSettings!$A:$A, INPUT_JobSettings!$F:$F, "")), $B$6)))</f>
        <v/>
      </c>
      <c r="P160" s="6">
        <f>IF(A160="","", (O160+L160)*(IF(=IF('Job Control'!$B$3="","", XLOOKUP('Job Control'!$B$3, INPUT_JobSettings!$A:$A, INPUT_JobSettings!$G:$G, ""))&lt;&gt;"", =IF('Job Control'!$B$3="","", XLOOKUP('Job Control'!$B$3, INPUT_JobSettings!$A:$A, INPUT_JobSettings!$G:$G, "")), $B$7)))</f>
        <v/>
      </c>
    </row>
    <row r="161">
      <c r="A161" s="6">
        <f>IFERROR(INDEX(FILTER(INPUT_Rooms!$B$4:$B$83, INPUT_Rooms!$A$4:$A$83=$B$4, INPUT_Rooms!$T$4:$T$83="Y"), 31), "")</f>
        <v/>
      </c>
      <c r="B161" s="6">
        <f>IF(A161="","", XLOOKUP(A161, FILTER(INPUT_Rooms!$B$4:$B$83, INPUT_Rooms!$A$4:$A$83=$B$4), FILTER(INPUT_Rooms!$C$4:$C$83, INPUT_Rooms!$A$4:$A$83=$B$4), ""))</f>
        <v/>
      </c>
      <c r="C161" s="6">
        <f>IF(A161="","", CHOOSE(1,"Baseboard","Crown","Window Casing","Door Casing","Doors (leaf)"))</f>
        <v/>
      </c>
      <c r="D161" s="6">
        <f>IF(A161="","", XLOOKUP(C161,Constants!$A$40:$A$200,Constants!$B$40:$B$200,"",0))</f>
        <v/>
      </c>
      <c r="E161" s="6">
        <f>IF(A161="","", IF(C161="Baseboard", IF(XLOOKUP(A161,INPUT_Rooms!$B:$B,INPUT_Rooms!$X:$X,"")="Y", XLOOKUP(A161,INPUT_Rooms!$B:$B,INPUT_Rooms!$AF:$AF,""), 0),IF(C161="Crown", IF(XLOOKUP(A161,INPUT_Rooms!$B:$B,INPUT_Rooms!$Y:$Y,"")="Y", XLOOKUP(A161,INPUT_Rooms!$B:$B,INPUT_Rooms!$AG:$AG,""), 0),IF(C161="Window Casing", IF(XLOOKUP(A161,INPUT_Rooms!$B:$B,INPUT_Rooms!$Z:$Z,"")="Y", SUMPRODUCT((INPUT_Openings!$A:$A=$B$4)*(INPUT_Openings!$B:$B=A161)*(INPUT_Openings!$D:$D)*XLOOKUP(INPUT_Openings!$C:$C,Constants!$A$30:$A$200,Constants!$E$30:$E$200,"",0)*(INPUT_Openings!$E:$E="Window")), 0),IF(C161="Door Casing", IF(XLOOKUP(A161,INPUT_Rooms!$B:$B,INPUT_Rooms!$AA:$AA,"")="Y", SUMPRODUCT((INPUT_Openings!$A:$A=$B$4)*(INPUT_Openings!$B:$B=A161)*(INPUT_Openings!$D:$D)*XLOOKUP(INPUT_Openings!$C:$C,Constants!$A$30:$A$200,Constants!$E$30:$E$200,"",0)*(INPUT_Openings!$E:$E="Door")), 0),IF(C161="Doors (leaf)", IF(XLOOKUP(A161,INPUT_Rooms!$B:$B,INPUT_Rooms!$AB:$AB,"")="Y", SUMPRODUCT((INPUT_Doors!$A:$A=$B$4)*(INPUT_Doors!$B:$B=A161)*(INPUT_Doors!$D:$D)*(INPUT_Doors!$E:$E)), 0), 0))))))</f>
        <v/>
      </c>
      <c r="F161" s="6">
        <f>IF(A161="","", XLOOKUP(A161, INPUT_Rooms!$B:$B, INPUT_Rooms!$U:$U, ""))</f>
        <v/>
      </c>
      <c r="G161" s="6">
        <f>IF(A161="","", XLOOKUP(A161, INPUT_Rooms!$B:$B, INPUT_Rooms!$V:$V, ""))</f>
        <v/>
      </c>
      <c r="H161" s="6">
        <f>IF(A161="","", IF(XLOOKUP(A161, INPUT_Rooms!$B:$B, INPUT_Rooms!$W:$W, "")="", $B$5, XLOOKUP(A161, INPUT_Rooms!$B:$B, INPUT_Rooms!$W:$W, "")))</f>
        <v/>
      </c>
      <c r="I161" s="6">
        <f>IF(A161="","", IF(C161="Doors (leaf)", 0, E161*XLOOKUP(C161,Constants!$A$40:$A$200,Constants!$C$40:$C$200,0,0)*XLOOKUP(H161,Constants!$E$10:$E$30,Constants!$F$10:$F$30)))</f>
        <v/>
      </c>
      <c r="J161" s="6">
        <f>IF(A161="","", IF(C161="Doors (leaf)", 0, E161*XLOOKUP(C161,Constants!$A$40:$A$200,Constants!$D$40:$D$200,0,0)*G161))</f>
        <v/>
      </c>
      <c r="K161" s="6">
        <f>IF(A161="","", IF(C161="Doors (leaf)", 0, IF(F161="Full", E161*XLOOKUP(C161,Constants!$A$40:$A$200,Constants!$E$40:$E$200,0,0), IF(F161="Spot", E161*XLOOKUP(C161,Constants!$A$40:$A$200,Constants!$E$40:$E$200,0,0)*0.35, 0))))</f>
        <v/>
      </c>
      <c r="L161">
        <f>IF(A161="","",0)</f>
        <v/>
      </c>
      <c r="M161" s="6">
        <f>IF(A161="","", SUM(I161:K161))</f>
        <v/>
      </c>
      <c r="N161" s="6">
        <f>IF(A161="","", L161/60)</f>
        <v/>
      </c>
      <c r="O161" s="6">
        <f>IF(A161="","", N161*(IF(=IF('Job Control'!$B$3="","", XLOOKUP('Job Control'!$B$3, INPUT_JobSettings!$A:$A, INPUT_JobSettings!$F:$F, ""))&lt;&gt;"", =IF('Job Control'!$B$3="","", XLOOKUP('Job Control'!$B$3, INPUT_JobSettings!$A:$A, INPUT_JobSettings!$F:$F, "")), $B$6)))</f>
        <v/>
      </c>
      <c r="P161" s="6">
        <f>IF(A161="","", (O161+L161)*(IF(=IF('Job Control'!$B$3="","", XLOOKUP('Job Control'!$B$3, INPUT_JobSettings!$A:$A, INPUT_JobSettings!$G:$G, ""))&lt;&gt;"", =IF('Job Control'!$B$3="","", XLOOKUP('Job Control'!$B$3, INPUT_JobSettings!$A:$A, INPUT_JobSettings!$G:$G, "")), $B$7)))</f>
        <v/>
      </c>
    </row>
    <row r="162">
      <c r="A162" s="6">
        <f>IFERROR(INDEX(FILTER(INPUT_Rooms!$B$4:$B$83, INPUT_Rooms!$A$4:$A$83=$B$4, INPUT_Rooms!$T$4:$T$83="Y"), 31), "")</f>
        <v/>
      </c>
      <c r="B162" s="6">
        <f>IF(A162="","", XLOOKUP(A162, FILTER(INPUT_Rooms!$B$4:$B$83, INPUT_Rooms!$A$4:$A$83=$B$4), FILTER(INPUT_Rooms!$C$4:$C$83, INPUT_Rooms!$A$4:$A$83=$B$4), ""))</f>
        <v/>
      </c>
      <c r="C162" s="6">
        <f>IF(A162="","", CHOOSE(2,"Baseboard","Crown","Window Casing","Door Casing","Doors (leaf)"))</f>
        <v/>
      </c>
      <c r="D162" s="6">
        <f>IF(A162="","", XLOOKUP(C162,Constants!$A$40:$A$200,Constants!$B$40:$B$200,"",0))</f>
        <v/>
      </c>
      <c r="E162" s="6">
        <f>IF(A162="","", IF(C162="Baseboard", IF(XLOOKUP(A162,INPUT_Rooms!$B:$B,INPUT_Rooms!$X:$X,"")="Y", XLOOKUP(A162,INPUT_Rooms!$B:$B,INPUT_Rooms!$AF:$AF,""), 0),IF(C162="Crown", IF(XLOOKUP(A162,INPUT_Rooms!$B:$B,INPUT_Rooms!$Y:$Y,"")="Y", XLOOKUP(A162,INPUT_Rooms!$B:$B,INPUT_Rooms!$AG:$AG,""), 0),IF(C162="Window Casing", IF(XLOOKUP(A162,INPUT_Rooms!$B:$B,INPUT_Rooms!$Z:$Z,"")="Y", SUMPRODUCT((INPUT_Openings!$A:$A=$B$4)*(INPUT_Openings!$B:$B=A162)*(INPUT_Openings!$D:$D)*XLOOKUP(INPUT_Openings!$C:$C,Constants!$A$30:$A$200,Constants!$E$30:$E$200,"",0)*(INPUT_Openings!$E:$E="Window")), 0),IF(C162="Door Casing", IF(XLOOKUP(A162,INPUT_Rooms!$B:$B,INPUT_Rooms!$AA:$AA,"")="Y", SUMPRODUCT((INPUT_Openings!$A:$A=$B$4)*(INPUT_Openings!$B:$B=A162)*(INPUT_Openings!$D:$D)*XLOOKUP(INPUT_Openings!$C:$C,Constants!$A$30:$A$200,Constants!$E$30:$E$200,"",0)*(INPUT_Openings!$E:$E="Door")), 0),IF(C162="Doors (leaf)", IF(XLOOKUP(A162,INPUT_Rooms!$B:$B,INPUT_Rooms!$AB:$AB,"")="Y", SUMPRODUCT((INPUT_Doors!$A:$A=$B$4)*(INPUT_Doors!$B:$B=A162)*(INPUT_Doors!$D:$D)*(INPUT_Doors!$E:$E)), 0), 0))))))</f>
        <v/>
      </c>
      <c r="F162" s="6">
        <f>IF(A162="","", XLOOKUP(A162, INPUT_Rooms!$B:$B, INPUT_Rooms!$U:$U, ""))</f>
        <v/>
      </c>
      <c r="G162" s="6">
        <f>IF(A162="","", XLOOKUP(A162, INPUT_Rooms!$B:$B, INPUT_Rooms!$V:$V, ""))</f>
        <v/>
      </c>
      <c r="H162" s="6">
        <f>IF(A162="","", IF(XLOOKUP(A162, INPUT_Rooms!$B:$B, INPUT_Rooms!$W:$W, "")="", $B$5, XLOOKUP(A162, INPUT_Rooms!$B:$B, INPUT_Rooms!$W:$W, "")))</f>
        <v/>
      </c>
      <c r="I162" s="6">
        <f>IF(A162="","", IF(C162="Doors (leaf)", 0, E162*XLOOKUP(C162,Constants!$A$40:$A$200,Constants!$C$40:$C$200,0,0)*XLOOKUP(H162,Constants!$E$10:$E$30,Constants!$F$10:$F$30)))</f>
        <v/>
      </c>
      <c r="J162" s="6">
        <f>IF(A162="","", IF(C162="Doors (leaf)", 0, E162*XLOOKUP(C162,Constants!$A$40:$A$200,Constants!$D$40:$D$200,0,0)*G162))</f>
        <v/>
      </c>
      <c r="K162" s="6">
        <f>IF(A162="","", IF(C162="Doors (leaf)", 0, IF(F162="Full", E162*XLOOKUP(C162,Constants!$A$40:$A$200,Constants!$E$40:$E$200,0,0), IF(F162="Spot", E162*XLOOKUP(C162,Constants!$A$40:$A$200,Constants!$E$40:$E$200,0,0)*0.35, 0))))</f>
        <v/>
      </c>
      <c r="L162">
        <f>IF(A162="","",0)</f>
        <v/>
      </c>
      <c r="M162" s="6">
        <f>IF(A162="","", SUM(I162:K162))</f>
        <v/>
      </c>
      <c r="N162" s="6">
        <f>IF(A162="","", L162/60)</f>
        <v/>
      </c>
      <c r="O162" s="6">
        <f>IF(A162="","", N162*(IF(=IF('Job Control'!$B$3="","", XLOOKUP('Job Control'!$B$3, INPUT_JobSettings!$A:$A, INPUT_JobSettings!$F:$F, ""))&lt;&gt;"", =IF('Job Control'!$B$3="","", XLOOKUP('Job Control'!$B$3, INPUT_JobSettings!$A:$A, INPUT_JobSettings!$F:$F, "")), $B$6)))</f>
        <v/>
      </c>
      <c r="P162" s="6">
        <f>IF(A162="","", (O162+L162)*(IF(=IF('Job Control'!$B$3="","", XLOOKUP('Job Control'!$B$3, INPUT_JobSettings!$A:$A, INPUT_JobSettings!$G:$G, ""))&lt;&gt;"", =IF('Job Control'!$B$3="","", XLOOKUP('Job Control'!$B$3, INPUT_JobSettings!$A:$A, INPUT_JobSettings!$G:$G, "")), $B$7)))</f>
        <v/>
      </c>
    </row>
    <row r="163">
      <c r="A163" s="6">
        <f>IFERROR(INDEX(FILTER(INPUT_Rooms!$B$4:$B$83, INPUT_Rooms!$A$4:$A$83=$B$4, INPUT_Rooms!$T$4:$T$83="Y"), 31), "")</f>
        <v/>
      </c>
      <c r="B163" s="6">
        <f>IF(A163="","", XLOOKUP(A163, FILTER(INPUT_Rooms!$B$4:$B$83, INPUT_Rooms!$A$4:$A$83=$B$4), FILTER(INPUT_Rooms!$C$4:$C$83, INPUT_Rooms!$A$4:$A$83=$B$4), ""))</f>
        <v/>
      </c>
      <c r="C163" s="6">
        <f>IF(A163="","", CHOOSE(3,"Baseboard","Crown","Window Casing","Door Casing","Doors (leaf)"))</f>
        <v/>
      </c>
      <c r="D163" s="6">
        <f>IF(A163="","", XLOOKUP(C163,Constants!$A$40:$A$200,Constants!$B$40:$B$200,"",0))</f>
        <v/>
      </c>
      <c r="E163" s="6">
        <f>IF(A163="","", IF(C163="Baseboard", IF(XLOOKUP(A163,INPUT_Rooms!$B:$B,INPUT_Rooms!$X:$X,"")="Y", XLOOKUP(A163,INPUT_Rooms!$B:$B,INPUT_Rooms!$AF:$AF,""), 0),IF(C163="Crown", IF(XLOOKUP(A163,INPUT_Rooms!$B:$B,INPUT_Rooms!$Y:$Y,"")="Y", XLOOKUP(A163,INPUT_Rooms!$B:$B,INPUT_Rooms!$AG:$AG,""), 0),IF(C163="Window Casing", IF(XLOOKUP(A163,INPUT_Rooms!$B:$B,INPUT_Rooms!$Z:$Z,"")="Y", SUMPRODUCT((INPUT_Openings!$A:$A=$B$4)*(INPUT_Openings!$B:$B=A163)*(INPUT_Openings!$D:$D)*XLOOKUP(INPUT_Openings!$C:$C,Constants!$A$30:$A$200,Constants!$E$30:$E$200,"",0)*(INPUT_Openings!$E:$E="Window")), 0),IF(C163="Door Casing", IF(XLOOKUP(A163,INPUT_Rooms!$B:$B,INPUT_Rooms!$AA:$AA,"")="Y", SUMPRODUCT((INPUT_Openings!$A:$A=$B$4)*(INPUT_Openings!$B:$B=A163)*(INPUT_Openings!$D:$D)*XLOOKUP(INPUT_Openings!$C:$C,Constants!$A$30:$A$200,Constants!$E$30:$E$200,"",0)*(INPUT_Openings!$E:$E="Door")), 0),IF(C163="Doors (leaf)", IF(XLOOKUP(A163,INPUT_Rooms!$B:$B,INPUT_Rooms!$AB:$AB,"")="Y", SUMPRODUCT((INPUT_Doors!$A:$A=$B$4)*(INPUT_Doors!$B:$B=A163)*(INPUT_Doors!$D:$D)*(INPUT_Doors!$E:$E)), 0), 0))))))</f>
        <v/>
      </c>
      <c r="F163" s="6">
        <f>IF(A163="","", XLOOKUP(A163, INPUT_Rooms!$B:$B, INPUT_Rooms!$U:$U, ""))</f>
        <v/>
      </c>
      <c r="G163" s="6">
        <f>IF(A163="","", XLOOKUP(A163, INPUT_Rooms!$B:$B, INPUT_Rooms!$V:$V, ""))</f>
        <v/>
      </c>
      <c r="H163" s="6">
        <f>IF(A163="","", IF(XLOOKUP(A163, INPUT_Rooms!$B:$B, INPUT_Rooms!$W:$W, "")="", $B$5, XLOOKUP(A163, INPUT_Rooms!$B:$B, INPUT_Rooms!$W:$W, "")))</f>
        <v/>
      </c>
      <c r="I163" s="6">
        <f>IF(A163="","", IF(C163="Doors (leaf)", 0, E163*XLOOKUP(C163,Constants!$A$40:$A$200,Constants!$C$40:$C$200,0,0)*XLOOKUP(H163,Constants!$E$10:$E$30,Constants!$F$10:$F$30)))</f>
        <v/>
      </c>
      <c r="J163" s="6">
        <f>IF(A163="","", IF(C163="Doors (leaf)", 0, E163*XLOOKUP(C163,Constants!$A$40:$A$200,Constants!$D$40:$D$200,0,0)*G163))</f>
        <v/>
      </c>
      <c r="K163" s="6">
        <f>IF(A163="","", IF(C163="Doors (leaf)", 0, IF(F163="Full", E163*XLOOKUP(C163,Constants!$A$40:$A$200,Constants!$E$40:$E$200,0,0), IF(F163="Spot", E163*XLOOKUP(C163,Constants!$A$40:$A$200,Constants!$E$40:$E$200,0,0)*0.35, 0))))</f>
        <v/>
      </c>
      <c r="L163">
        <f>IF(A163="","",0)</f>
        <v/>
      </c>
      <c r="M163" s="6">
        <f>IF(A163="","", SUM(I163:K163))</f>
        <v/>
      </c>
      <c r="N163" s="6">
        <f>IF(A163="","", L163/60)</f>
        <v/>
      </c>
      <c r="O163" s="6">
        <f>IF(A163="","", N163*(IF(=IF('Job Control'!$B$3="","", XLOOKUP('Job Control'!$B$3, INPUT_JobSettings!$A:$A, INPUT_JobSettings!$F:$F, ""))&lt;&gt;"", =IF('Job Control'!$B$3="","", XLOOKUP('Job Control'!$B$3, INPUT_JobSettings!$A:$A, INPUT_JobSettings!$F:$F, "")), $B$6)))</f>
        <v/>
      </c>
      <c r="P163" s="6">
        <f>IF(A163="","", (O163+L163)*(IF(=IF('Job Control'!$B$3="","", XLOOKUP('Job Control'!$B$3, INPUT_JobSettings!$A:$A, INPUT_JobSettings!$G:$G, ""))&lt;&gt;"", =IF('Job Control'!$B$3="","", XLOOKUP('Job Control'!$B$3, INPUT_JobSettings!$A:$A, INPUT_JobSettings!$G:$G, "")), $B$7)))</f>
        <v/>
      </c>
    </row>
    <row r="164">
      <c r="A164" s="6">
        <f>IFERROR(INDEX(FILTER(INPUT_Rooms!$B$4:$B$83, INPUT_Rooms!$A$4:$A$83=$B$4, INPUT_Rooms!$T$4:$T$83="Y"), 31), "")</f>
        <v/>
      </c>
      <c r="B164" s="6">
        <f>IF(A164="","", XLOOKUP(A164, FILTER(INPUT_Rooms!$B$4:$B$83, INPUT_Rooms!$A$4:$A$83=$B$4), FILTER(INPUT_Rooms!$C$4:$C$83, INPUT_Rooms!$A$4:$A$83=$B$4), ""))</f>
        <v/>
      </c>
      <c r="C164" s="6">
        <f>IF(A164="","", CHOOSE(4,"Baseboard","Crown","Window Casing","Door Casing","Doors (leaf)"))</f>
        <v/>
      </c>
      <c r="D164" s="6">
        <f>IF(A164="","", XLOOKUP(C164,Constants!$A$40:$A$200,Constants!$B$40:$B$200,"",0))</f>
        <v/>
      </c>
      <c r="E164" s="6">
        <f>IF(A164="","", IF(C164="Baseboard", IF(XLOOKUP(A164,INPUT_Rooms!$B:$B,INPUT_Rooms!$X:$X,"")="Y", XLOOKUP(A164,INPUT_Rooms!$B:$B,INPUT_Rooms!$AF:$AF,""), 0),IF(C164="Crown", IF(XLOOKUP(A164,INPUT_Rooms!$B:$B,INPUT_Rooms!$Y:$Y,"")="Y", XLOOKUP(A164,INPUT_Rooms!$B:$B,INPUT_Rooms!$AG:$AG,""), 0),IF(C164="Window Casing", IF(XLOOKUP(A164,INPUT_Rooms!$B:$B,INPUT_Rooms!$Z:$Z,"")="Y", SUMPRODUCT((INPUT_Openings!$A:$A=$B$4)*(INPUT_Openings!$B:$B=A164)*(INPUT_Openings!$D:$D)*XLOOKUP(INPUT_Openings!$C:$C,Constants!$A$30:$A$200,Constants!$E$30:$E$200,"",0)*(INPUT_Openings!$E:$E="Window")), 0),IF(C164="Door Casing", IF(XLOOKUP(A164,INPUT_Rooms!$B:$B,INPUT_Rooms!$AA:$AA,"")="Y", SUMPRODUCT((INPUT_Openings!$A:$A=$B$4)*(INPUT_Openings!$B:$B=A164)*(INPUT_Openings!$D:$D)*XLOOKUP(INPUT_Openings!$C:$C,Constants!$A$30:$A$200,Constants!$E$30:$E$200,"",0)*(INPUT_Openings!$E:$E="Door")), 0),IF(C164="Doors (leaf)", IF(XLOOKUP(A164,INPUT_Rooms!$B:$B,INPUT_Rooms!$AB:$AB,"")="Y", SUMPRODUCT((INPUT_Doors!$A:$A=$B$4)*(INPUT_Doors!$B:$B=A164)*(INPUT_Doors!$D:$D)*(INPUT_Doors!$E:$E)), 0), 0))))))</f>
        <v/>
      </c>
      <c r="F164" s="6">
        <f>IF(A164="","", XLOOKUP(A164, INPUT_Rooms!$B:$B, INPUT_Rooms!$U:$U, ""))</f>
        <v/>
      </c>
      <c r="G164" s="6">
        <f>IF(A164="","", XLOOKUP(A164, INPUT_Rooms!$B:$B, INPUT_Rooms!$V:$V, ""))</f>
        <v/>
      </c>
      <c r="H164" s="6">
        <f>IF(A164="","", IF(XLOOKUP(A164, INPUT_Rooms!$B:$B, INPUT_Rooms!$W:$W, "")="", $B$5, XLOOKUP(A164, INPUT_Rooms!$B:$B, INPUT_Rooms!$W:$W, "")))</f>
        <v/>
      </c>
      <c r="I164" s="6">
        <f>IF(A164="","", IF(C164="Doors (leaf)", 0, E164*XLOOKUP(C164,Constants!$A$40:$A$200,Constants!$C$40:$C$200,0,0)*XLOOKUP(H164,Constants!$E$10:$E$30,Constants!$F$10:$F$30)))</f>
        <v/>
      </c>
      <c r="J164" s="6">
        <f>IF(A164="","", IF(C164="Doors (leaf)", 0, E164*XLOOKUP(C164,Constants!$A$40:$A$200,Constants!$D$40:$D$200,0,0)*G164))</f>
        <v/>
      </c>
      <c r="K164" s="6">
        <f>IF(A164="","", IF(C164="Doors (leaf)", 0, IF(F164="Full", E164*XLOOKUP(C164,Constants!$A$40:$A$200,Constants!$E$40:$E$200,0,0), IF(F164="Spot", E164*XLOOKUP(C164,Constants!$A$40:$A$200,Constants!$E$40:$E$200,0,0)*0.35, 0))))</f>
        <v/>
      </c>
      <c r="L164">
        <f>IF(A164="","",0)</f>
        <v/>
      </c>
      <c r="M164" s="6">
        <f>IF(A164="","", SUM(I164:K164))</f>
        <v/>
      </c>
      <c r="N164" s="6">
        <f>IF(A164="","", L164/60)</f>
        <v/>
      </c>
      <c r="O164" s="6">
        <f>IF(A164="","", N164*(IF(=IF('Job Control'!$B$3="","", XLOOKUP('Job Control'!$B$3, INPUT_JobSettings!$A:$A, INPUT_JobSettings!$F:$F, ""))&lt;&gt;"", =IF('Job Control'!$B$3="","", XLOOKUP('Job Control'!$B$3, INPUT_JobSettings!$A:$A, INPUT_JobSettings!$F:$F, "")), $B$6)))</f>
        <v/>
      </c>
      <c r="P164" s="6">
        <f>IF(A164="","", (O164+L164)*(IF(=IF('Job Control'!$B$3="","", XLOOKUP('Job Control'!$B$3, INPUT_JobSettings!$A:$A, INPUT_JobSettings!$G:$G, ""))&lt;&gt;"", =IF('Job Control'!$B$3="","", XLOOKUP('Job Control'!$B$3, INPUT_JobSettings!$A:$A, INPUT_JobSettings!$G:$G, "")), $B$7)))</f>
        <v/>
      </c>
    </row>
    <row r="165">
      <c r="A165" s="6">
        <f>IFERROR(INDEX(FILTER(INPUT_Rooms!$B$4:$B$83, INPUT_Rooms!$A$4:$A$83=$B$4, INPUT_Rooms!$T$4:$T$83="Y"), 31), "")</f>
        <v/>
      </c>
      <c r="B165" s="6">
        <f>IF(A165="","", XLOOKUP(A165, FILTER(INPUT_Rooms!$B$4:$B$83, INPUT_Rooms!$A$4:$A$83=$B$4), FILTER(INPUT_Rooms!$C$4:$C$83, INPUT_Rooms!$A$4:$A$83=$B$4), ""))</f>
        <v/>
      </c>
      <c r="C165" s="6">
        <f>IF(A165="","", CHOOSE(5,"Baseboard","Crown","Window Casing","Door Casing","Doors (leaf)"))</f>
        <v/>
      </c>
      <c r="D165" s="6">
        <f>IF(A165="","", XLOOKUP(C165,Constants!$A$40:$A$200,Constants!$B$40:$B$200,"",0))</f>
        <v/>
      </c>
      <c r="E165" s="6">
        <f>IF(A165="","", IF(C165="Baseboard", IF(XLOOKUP(A165,INPUT_Rooms!$B:$B,INPUT_Rooms!$X:$X,"")="Y", XLOOKUP(A165,INPUT_Rooms!$B:$B,INPUT_Rooms!$AF:$AF,""), 0),IF(C165="Crown", IF(XLOOKUP(A165,INPUT_Rooms!$B:$B,INPUT_Rooms!$Y:$Y,"")="Y", XLOOKUP(A165,INPUT_Rooms!$B:$B,INPUT_Rooms!$AG:$AG,""), 0),IF(C165="Window Casing", IF(XLOOKUP(A165,INPUT_Rooms!$B:$B,INPUT_Rooms!$Z:$Z,"")="Y", SUMPRODUCT((INPUT_Openings!$A:$A=$B$4)*(INPUT_Openings!$B:$B=A165)*(INPUT_Openings!$D:$D)*XLOOKUP(INPUT_Openings!$C:$C,Constants!$A$30:$A$200,Constants!$E$30:$E$200,"",0)*(INPUT_Openings!$E:$E="Window")), 0),IF(C165="Door Casing", IF(XLOOKUP(A165,INPUT_Rooms!$B:$B,INPUT_Rooms!$AA:$AA,"")="Y", SUMPRODUCT((INPUT_Openings!$A:$A=$B$4)*(INPUT_Openings!$B:$B=A165)*(INPUT_Openings!$D:$D)*XLOOKUP(INPUT_Openings!$C:$C,Constants!$A$30:$A$200,Constants!$E$30:$E$200,"",0)*(INPUT_Openings!$E:$E="Door")), 0),IF(C165="Doors (leaf)", IF(XLOOKUP(A165,INPUT_Rooms!$B:$B,INPUT_Rooms!$AB:$AB,"")="Y", SUMPRODUCT((INPUT_Doors!$A:$A=$B$4)*(INPUT_Doors!$B:$B=A165)*(INPUT_Doors!$D:$D)*(INPUT_Doors!$E:$E)), 0), 0))))))</f>
        <v/>
      </c>
      <c r="F165" s="6">
        <f>IF(A165="","", XLOOKUP(A165, INPUT_Rooms!$B:$B, INPUT_Rooms!$U:$U, ""))</f>
        <v/>
      </c>
      <c r="G165" s="6">
        <f>IF(A165="","", XLOOKUP(A165, INPUT_Rooms!$B:$B, INPUT_Rooms!$V:$V, ""))</f>
        <v/>
      </c>
      <c r="H165" s="6">
        <f>IF(A165="","", IF(XLOOKUP(A165, INPUT_Rooms!$B:$B, INPUT_Rooms!$W:$W, "")="", $B$5, XLOOKUP(A165, INPUT_Rooms!$B:$B, INPUT_Rooms!$W:$W, "")))</f>
        <v/>
      </c>
      <c r="I165" s="6">
        <f>IF(A165="","", IF(C165="Doors (leaf)", 0, E165*XLOOKUP(C165,Constants!$A$40:$A$200,Constants!$C$40:$C$200,0,0)*XLOOKUP(H165,Constants!$E$10:$E$30,Constants!$F$10:$F$30)))</f>
        <v/>
      </c>
      <c r="J165" s="6">
        <f>IF(A165="","", IF(C165="Doors (leaf)", 0, E165*XLOOKUP(C165,Constants!$A$40:$A$200,Constants!$D$40:$D$200,0,0)*G165))</f>
        <v/>
      </c>
      <c r="K165" s="6">
        <f>IF(A165="","", IF(C165="Doors (leaf)", 0, IF(F165="Full", E165*XLOOKUP(C165,Constants!$A$40:$A$200,Constants!$E$40:$E$200,0,0), IF(F165="Spot", E165*XLOOKUP(C165,Constants!$A$40:$A$200,Constants!$E$40:$E$200,0,0)*0.35, 0))))</f>
        <v/>
      </c>
      <c r="L165">
        <f>IF(A165="","",0)</f>
        <v/>
      </c>
      <c r="M165" s="6">
        <f>IF(A165="","", SUM(I165:K165))</f>
        <v/>
      </c>
      <c r="N165" s="6">
        <f>IF(A165="","", L165/60)</f>
        <v/>
      </c>
      <c r="O165" s="6">
        <f>IF(A165="","", N165*(IF(=IF('Job Control'!$B$3="","", XLOOKUP('Job Control'!$B$3, INPUT_JobSettings!$A:$A, INPUT_JobSettings!$F:$F, ""))&lt;&gt;"", =IF('Job Control'!$B$3="","", XLOOKUP('Job Control'!$B$3, INPUT_JobSettings!$A:$A, INPUT_JobSettings!$F:$F, "")), $B$6)))</f>
        <v/>
      </c>
      <c r="P165" s="6">
        <f>IF(A165="","", (O165+L165)*(IF(=IF('Job Control'!$B$3="","", XLOOKUP('Job Control'!$B$3, INPUT_JobSettings!$A:$A, INPUT_JobSettings!$G:$G, ""))&lt;&gt;"", =IF('Job Control'!$B$3="","", XLOOKUP('Job Control'!$B$3, INPUT_JobSettings!$A:$A, INPUT_JobSettings!$G:$G, "")), $B$7)))</f>
        <v/>
      </c>
    </row>
    <row r="166">
      <c r="A166" s="6">
        <f>IFERROR(INDEX(FILTER(INPUT_Rooms!$B$4:$B$83, INPUT_Rooms!$A$4:$A$83=$B$4, INPUT_Rooms!$T$4:$T$83="Y"), 32), "")</f>
        <v/>
      </c>
      <c r="B166" s="6">
        <f>IF(A166="","", XLOOKUP(A166, FILTER(INPUT_Rooms!$B$4:$B$83, INPUT_Rooms!$A$4:$A$83=$B$4), FILTER(INPUT_Rooms!$C$4:$C$83, INPUT_Rooms!$A$4:$A$83=$B$4), ""))</f>
        <v/>
      </c>
      <c r="C166" s="6">
        <f>IF(A166="","", CHOOSE(1,"Baseboard","Crown","Window Casing","Door Casing","Doors (leaf)"))</f>
        <v/>
      </c>
      <c r="D166" s="6">
        <f>IF(A166="","", XLOOKUP(C166,Constants!$A$40:$A$200,Constants!$B$40:$B$200,"",0))</f>
        <v/>
      </c>
      <c r="E166" s="6">
        <f>IF(A166="","", IF(C166="Baseboard", IF(XLOOKUP(A166,INPUT_Rooms!$B:$B,INPUT_Rooms!$X:$X,"")="Y", XLOOKUP(A166,INPUT_Rooms!$B:$B,INPUT_Rooms!$AF:$AF,""), 0),IF(C166="Crown", IF(XLOOKUP(A166,INPUT_Rooms!$B:$B,INPUT_Rooms!$Y:$Y,"")="Y", XLOOKUP(A166,INPUT_Rooms!$B:$B,INPUT_Rooms!$AG:$AG,""), 0),IF(C166="Window Casing", IF(XLOOKUP(A166,INPUT_Rooms!$B:$B,INPUT_Rooms!$Z:$Z,"")="Y", SUMPRODUCT((INPUT_Openings!$A:$A=$B$4)*(INPUT_Openings!$B:$B=A166)*(INPUT_Openings!$D:$D)*XLOOKUP(INPUT_Openings!$C:$C,Constants!$A$30:$A$200,Constants!$E$30:$E$200,"",0)*(INPUT_Openings!$E:$E="Window")), 0),IF(C166="Door Casing", IF(XLOOKUP(A166,INPUT_Rooms!$B:$B,INPUT_Rooms!$AA:$AA,"")="Y", SUMPRODUCT((INPUT_Openings!$A:$A=$B$4)*(INPUT_Openings!$B:$B=A166)*(INPUT_Openings!$D:$D)*XLOOKUP(INPUT_Openings!$C:$C,Constants!$A$30:$A$200,Constants!$E$30:$E$200,"",0)*(INPUT_Openings!$E:$E="Door")), 0),IF(C166="Doors (leaf)", IF(XLOOKUP(A166,INPUT_Rooms!$B:$B,INPUT_Rooms!$AB:$AB,"")="Y", SUMPRODUCT((INPUT_Doors!$A:$A=$B$4)*(INPUT_Doors!$B:$B=A166)*(INPUT_Doors!$D:$D)*(INPUT_Doors!$E:$E)), 0), 0))))))</f>
        <v/>
      </c>
      <c r="F166" s="6">
        <f>IF(A166="","", XLOOKUP(A166, INPUT_Rooms!$B:$B, INPUT_Rooms!$U:$U, ""))</f>
        <v/>
      </c>
      <c r="G166" s="6">
        <f>IF(A166="","", XLOOKUP(A166, INPUT_Rooms!$B:$B, INPUT_Rooms!$V:$V, ""))</f>
        <v/>
      </c>
      <c r="H166" s="6">
        <f>IF(A166="","", IF(XLOOKUP(A166, INPUT_Rooms!$B:$B, INPUT_Rooms!$W:$W, "")="", $B$5, XLOOKUP(A166, INPUT_Rooms!$B:$B, INPUT_Rooms!$W:$W, "")))</f>
        <v/>
      </c>
      <c r="I166" s="6">
        <f>IF(A166="","", IF(C166="Doors (leaf)", 0, E166*XLOOKUP(C166,Constants!$A$40:$A$200,Constants!$C$40:$C$200,0,0)*XLOOKUP(H166,Constants!$E$10:$E$30,Constants!$F$10:$F$30)))</f>
        <v/>
      </c>
      <c r="J166" s="6">
        <f>IF(A166="","", IF(C166="Doors (leaf)", 0, E166*XLOOKUP(C166,Constants!$A$40:$A$200,Constants!$D$40:$D$200,0,0)*G166))</f>
        <v/>
      </c>
      <c r="K166" s="6">
        <f>IF(A166="","", IF(C166="Doors (leaf)", 0, IF(F166="Full", E166*XLOOKUP(C166,Constants!$A$40:$A$200,Constants!$E$40:$E$200,0,0), IF(F166="Spot", E166*XLOOKUP(C166,Constants!$A$40:$A$200,Constants!$E$40:$E$200,0,0)*0.35, 0))))</f>
        <v/>
      </c>
      <c r="L166">
        <f>IF(A166="","",0)</f>
        <v/>
      </c>
      <c r="M166" s="6">
        <f>IF(A166="","", SUM(I166:K166))</f>
        <v/>
      </c>
      <c r="N166" s="6">
        <f>IF(A166="","", L166/60)</f>
        <v/>
      </c>
      <c r="O166" s="6">
        <f>IF(A166="","", N166*(IF(=IF('Job Control'!$B$3="","", XLOOKUP('Job Control'!$B$3, INPUT_JobSettings!$A:$A, INPUT_JobSettings!$F:$F, ""))&lt;&gt;"", =IF('Job Control'!$B$3="","", XLOOKUP('Job Control'!$B$3, INPUT_JobSettings!$A:$A, INPUT_JobSettings!$F:$F, "")), $B$6)))</f>
        <v/>
      </c>
      <c r="P166" s="6">
        <f>IF(A166="","", (O166+L166)*(IF(=IF('Job Control'!$B$3="","", XLOOKUP('Job Control'!$B$3, INPUT_JobSettings!$A:$A, INPUT_JobSettings!$G:$G, ""))&lt;&gt;"", =IF('Job Control'!$B$3="","", XLOOKUP('Job Control'!$B$3, INPUT_JobSettings!$A:$A, INPUT_JobSettings!$G:$G, "")), $B$7)))</f>
        <v/>
      </c>
    </row>
    <row r="167">
      <c r="A167" s="6">
        <f>IFERROR(INDEX(FILTER(INPUT_Rooms!$B$4:$B$83, INPUT_Rooms!$A$4:$A$83=$B$4, INPUT_Rooms!$T$4:$T$83="Y"), 32), "")</f>
        <v/>
      </c>
      <c r="B167" s="6">
        <f>IF(A167="","", XLOOKUP(A167, FILTER(INPUT_Rooms!$B$4:$B$83, INPUT_Rooms!$A$4:$A$83=$B$4), FILTER(INPUT_Rooms!$C$4:$C$83, INPUT_Rooms!$A$4:$A$83=$B$4), ""))</f>
        <v/>
      </c>
      <c r="C167" s="6">
        <f>IF(A167="","", CHOOSE(2,"Baseboard","Crown","Window Casing","Door Casing","Doors (leaf)"))</f>
        <v/>
      </c>
      <c r="D167" s="6">
        <f>IF(A167="","", XLOOKUP(C167,Constants!$A$40:$A$200,Constants!$B$40:$B$200,"",0))</f>
        <v/>
      </c>
      <c r="E167" s="6">
        <f>IF(A167="","", IF(C167="Baseboard", IF(XLOOKUP(A167,INPUT_Rooms!$B:$B,INPUT_Rooms!$X:$X,"")="Y", XLOOKUP(A167,INPUT_Rooms!$B:$B,INPUT_Rooms!$AF:$AF,""), 0),IF(C167="Crown", IF(XLOOKUP(A167,INPUT_Rooms!$B:$B,INPUT_Rooms!$Y:$Y,"")="Y", XLOOKUP(A167,INPUT_Rooms!$B:$B,INPUT_Rooms!$AG:$AG,""), 0),IF(C167="Window Casing", IF(XLOOKUP(A167,INPUT_Rooms!$B:$B,INPUT_Rooms!$Z:$Z,"")="Y", SUMPRODUCT((INPUT_Openings!$A:$A=$B$4)*(INPUT_Openings!$B:$B=A167)*(INPUT_Openings!$D:$D)*XLOOKUP(INPUT_Openings!$C:$C,Constants!$A$30:$A$200,Constants!$E$30:$E$200,"",0)*(INPUT_Openings!$E:$E="Window")), 0),IF(C167="Door Casing", IF(XLOOKUP(A167,INPUT_Rooms!$B:$B,INPUT_Rooms!$AA:$AA,"")="Y", SUMPRODUCT((INPUT_Openings!$A:$A=$B$4)*(INPUT_Openings!$B:$B=A167)*(INPUT_Openings!$D:$D)*XLOOKUP(INPUT_Openings!$C:$C,Constants!$A$30:$A$200,Constants!$E$30:$E$200,"",0)*(INPUT_Openings!$E:$E="Door")), 0),IF(C167="Doors (leaf)", IF(XLOOKUP(A167,INPUT_Rooms!$B:$B,INPUT_Rooms!$AB:$AB,"")="Y", SUMPRODUCT((INPUT_Doors!$A:$A=$B$4)*(INPUT_Doors!$B:$B=A167)*(INPUT_Doors!$D:$D)*(INPUT_Doors!$E:$E)), 0), 0))))))</f>
        <v/>
      </c>
      <c r="F167" s="6">
        <f>IF(A167="","", XLOOKUP(A167, INPUT_Rooms!$B:$B, INPUT_Rooms!$U:$U, ""))</f>
        <v/>
      </c>
      <c r="G167" s="6">
        <f>IF(A167="","", XLOOKUP(A167, INPUT_Rooms!$B:$B, INPUT_Rooms!$V:$V, ""))</f>
        <v/>
      </c>
      <c r="H167" s="6">
        <f>IF(A167="","", IF(XLOOKUP(A167, INPUT_Rooms!$B:$B, INPUT_Rooms!$W:$W, "")="", $B$5, XLOOKUP(A167, INPUT_Rooms!$B:$B, INPUT_Rooms!$W:$W, "")))</f>
        <v/>
      </c>
      <c r="I167" s="6">
        <f>IF(A167="","", IF(C167="Doors (leaf)", 0, E167*XLOOKUP(C167,Constants!$A$40:$A$200,Constants!$C$40:$C$200,0,0)*XLOOKUP(H167,Constants!$E$10:$E$30,Constants!$F$10:$F$30)))</f>
        <v/>
      </c>
      <c r="J167" s="6">
        <f>IF(A167="","", IF(C167="Doors (leaf)", 0, E167*XLOOKUP(C167,Constants!$A$40:$A$200,Constants!$D$40:$D$200,0,0)*G167))</f>
        <v/>
      </c>
      <c r="K167" s="6">
        <f>IF(A167="","", IF(C167="Doors (leaf)", 0, IF(F167="Full", E167*XLOOKUP(C167,Constants!$A$40:$A$200,Constants!$E$40:$E$200,0,0), IF(F167="Spot", E167*XLOOKUP(C167,Constants!$A$40:$A$200,Constants!$E$40:$E$200,0,0)*0.35, 0))))</f>
        <v/>
      </c>
      <c r="L167">
        <f>IF(A167="","",0)</f>
        <v/>
      </c>
      <c r="M167" s="6">
        <f>IF(A167="","", SUM(I167:K167))</f>
        <v/>
      </c>
      <c r="N167" s="6">
        <f>IF(A167="","", L167/60)</f>
        <v/>
      </c>
      <c r="O167" s="6">
        <f>IF(A167="","", N167*(IF(=IF('Job Control'!$B$3="","", XLOOKUP('Job Control'!$B$3, INPUT_JobSettings!$A:$A, INPUT_JobSettings!$F:$F, ""))&lt;&gt;"", =IF('Job Control'!$B$3="","", XLOOKUP('Job Control'!$B$3, INPUT_JobSettings!$A:$A, INPUT_JobSettings!$F:$F, "")), $B$6)))</f>
        <v/>
      </c>
      <c r="P167" s="6">
        <f>IF(A167="","", (O167+L167)*(IF(=IF('Job Control'!$B$3="","", XLOOKUP('Job Control'!$B$3, INPUT_JobSettings!$A:$A, INPUT_JobSettings!$G:$G, ""))&lt;&gt;"", =IF('Job Control'!$B$3="","", XLOOKUP('Job Control'!$B$3, INPUT_JobSettings!$A:$A, INPUT_JobSettings!$G:$G, "")), $B$7)))</f>
        <v/>
      </c>
    </row>
    <row r="168">
      <c r="A168" s="6">
        <f>IFERROR(INDEX(FILTER(INPUT_Rooms!$B$4:$B$83, INPUT_Rooms!$A$4:$A$83=$B$4, INPUT_Rooms!$T$4:$T$83="Y"), 32), "")</f>
        <v/>
      </c>
      <c r="B168" s="6">
        <f>IF(A168="","", XLOOKUP(A168, FILTER(INPUT_Rooms!$B$4:$B$83, INPUT_Rooms!$A$4:$A$83=$B$4), FILTER(INPUT_Rooms!$C$4:$C$83, INPUT_Rooms!$A$4:$A$83=$B$4), ""))</f>
        <v/>
      </c>
      <c r="C168" s="6">
        <f>IF(A168="","", CHOOSE(3,"Baseboard","Crown","Window Casing","Door Casing","Doors (leaf)"))</f>
        <v/>
      </c>
      <c r="D168" s="6">
        <f>IF(A168="","", XLOOKUP(C168,Constants!$A$40:$A$200,Constants!$B$40:$B$200,"",0))</f>
        <v/>
      </c>
      <c r="E168" s="6">
        <f>IF(A168="","", IF(C168="Baseboard", IF(XLOOKUP(A168,INPUT_Rooms!$B:$B,INPUT_Rooms!$X:$X,"")="Y", XLOOKUP(A168,INPUT_Rooms!$B:$B,INPUT_Rooms!$AF:$AF,""), 0),IF(C168="Crown", IF(XLOOKUP(A168,INPUT_Rooms!$B:$B,INPUT_Rooms!$Y:$Y,"")="Y", XLOOKUP(A168,INPUT_Rooms!$B:$B,INPUT_Rooms!$AG:$AG,""), 0),IF(C168="Window Casing", IF(XLOOKUP(A168,INPUT_Rooms!$B:$B,INPUT_Rooms!$Z:$Z,"")="Y", SUMPRODUCT((INPUT_Openings!$A:$A=$B$4)*(INPUT_Openings!$B:$B=A168)*(INPUT_Openings!$D:$D)*XLOOKUP(INPUT_Openings!$C:$C,Constants!$A$30:$A$200,Constants!$E$30:$E$200,"",0)*(INPUT_Openings!$E:$E="Window")), 0),IF(C168="Door Casing", IF(XLOOKUP(A168,INPUT_Rooms!$B:$B,INPUT_Rooms!$AA:$AA,"")="Y", SUMPRODUCT((INPUT_Openings!$A:$A=$B$4)*(INPUT_Openings!$B:$B=A168)*(INPUT_Openings!$D:$D)*XLOOKUP(INPUT_Openings!$C:$C,Constants!$A$30:$A$200,Constants!$E$30:$E$200,"",0)*(INPUT_Openings!$E:$E="Door")), 0),IF(C168="Doors (leaf)", IF(XLOOKUP(A168,INPUT_Rooms!$B:$B,INPUT_Rooms!$AB:$AB,"")="Y", SUMPRODUCT((INPUT_Doors!$A:$A=$B$4)*(INPUT_Doors!$B:$B=A168)*(INPUT_Doors!$D:$D)*(INPUT_Doors!$E:$E)), 0), 0))))))</f>
        <v/>
      </c>
      <c r="F168" s="6">
        <f>IF(A168="","", XLOOKUP(A168, INPUT_Rooms!$B:$B, INPUT_Rooms!$U:$U, ""))</f>
        <v/>
      </c>
      <c r="G168" s="6">
        <f>IF(A168="","", XLOOKUP(A168, INPUT_Rooms!$B:$B, INPUT_Rooms!$V:$V, ""))</f>
        <v/>
      </c>
      <c r="H168" s="6">
        <f>IF(A168="","", IF(XLOOKUP(A168, INPUT_Rooms!$B:$B, INPUT_Rooms!$W:$W, "")="", $B$5, XLOOKUP(A168, INPUT_Rooms!$B:$B, INPUT_Rooms!$W:$W, "")))</f>
        <v/>
      </c>
      <c r="I168" s="6">
        <f>IF(A168="","", IF(C168="Doors (leaf)", 0, E168*XLOOKUP(C168,Constants!$A$40:$A$200,Constants!$C$40:$C$200,0,0)*XLOOKUP(H168,Constants!$E$10:$E$30,Constants!$F$10:$F$30)))</f>
        <v/>
      </c>
      <c r="J168" s="6">
        <f>IF(A168="","", IF(C168="Doors (leaf)", 0, E168*XLOOKUP(C168,Constants!$A$40:$A$200,Constants!$D$40:$D$200,0,0)*G168))</f>
        <v/>
      </c>
      <c r="K168" s="6">
        <f>IF(A168="","", IF(C168="Doors (leaf)", 0, IF(F168="Full", E168*XLOOKUP(C168,Constants!$A$40:$A$200,Constants!$E$40:$E$200,0,0), IF(F168="Spot", E168*XLOOKUP(C168,Constants!$A$40:$A$200,Constants!$E$40:$E$200,0,0)*0.35, 0))))</f>
        <v/>
      </c>
      <c r="L168">
        <f>IF(A168="","",0)</f>
        <v/>
      </c>
      <c r="M168" s="6">
        <f>IF(A168="","", SUM(I168:K168))</f>
        <v/>
      </c>
      <c r="N168" s="6">
        <f>IF(A168="","", L168/60)</f>
        <v/>
      </c>
      <c r="O168" s="6">
        <f>IF(A168="","", N168*(IF(=IF('Job Control'!$B$3="","", XLOOKUP('Job Control'!$B$3, INPUT_JobSettings!$A:$A, INPUT_JobSettings!$F:$F, ""))&lt;&gt;"", =IF('Job Control'!$B$3="","", XLOOKUP('Job Control'!$B$3, INPUT_JobSettings!$A:$A, INPUT_JobSettings!$F:$F, "")), $B$6)))</f>
        <v/>
      </c>
      <c r="P168" s="6">
        <f>IF(A168="","", (O168+L168)*(IF(=IF('Job Control'!$B$3="","", XLOOKUP('Job Control'!$B$3, INPUT_JobSettings!$A:$A, INPUT_JobSettings!$G:$G, ""))&lt;&gt;"", =IF('Job Control'!$B$3="","", XLOOKUP('Job Control'!$B$3, INPUT_JobSettings!$A:$A, INPUT_JobSettings!$G:$G, "")), $B$7)))</f>
        <v/>
      </c>
    </row>
    <row r="169">
      <c r="A169" s="6">
        <f>IFERROR(INDEX(FILTER(INPUT_Rooms!$B$4:$B$83, INPUT_Rooms!$A$4:$A$83=$B$4, INPUT_Rooms!$T$4:$T$83="Y"), 32), "")</f>
        <v/>
      </c>
      <c r="B169" s="6">
        <f>IF(A169="","", XLOOKUP(A169, FILTER(INPUT_Rooms!$B$4:$B$83, INPUT_Rooms!$A$4:$A$83=$B$4), FILTER(INPUT_Rooms!$C$4:$C$83, INPUT_Rooms!$A$4:$A$83=$B$4), ""))</f>
        <v/>
      </c>
      <c r="C169" s="6">
        <f>IF(A169="","", CHOOSE(4,"Baseboard","Crown","Window Casing","Door Casing","Doors (leaf)"))</f>
        <v/>
      </c>
      <c r="D169" s="6">
        <f>IF(A169="","", XLOOKUP(C169,Constants!$A$40:$A$200,Constants!$B$40:$B$200,"",0))</f>
        <v/>
      </c>
      <c r="E169" s="6">
        <f>IF(A169="","", IF(C169="Baseboard", IF(XLOOKUP(A169,INPUT_Rooms!$B:$B,INPUT_Rooms!$X:$X,"")="Y", XLOOKUP(A169,INPUT_Rooms!$B:$B,INPUT_Rooms!$AF:$AF,""), 0),IF(C169="Crown", IF(XLOOKUP(A169,INPUT_Rooms!$B:$B,INPUT_Rooms!$Y:$Y,"")="Y", XLOOKUP(A169,INPUT_Rooms!$B:$B,INPUT_Rooms!$AG:$AG,""), 0),IF(C169="Window Casing", IF(XLOOKUP(A169,INPUT_Rooms!$B:$B,INPUT_Rooms!$Z:$Z,"")="Y", SUMPRODUCT((INPUT_Openings!$A:$A=$B$4)*(INPUT_Openings!$B:$B=A169)*(INPUT_Openings!$D:$D)*XLOOKUP(INPUT_Openings!$C:$C,Constants!$A$30:$A$200,Constants!$E$30:$E$200,"",0)*(INPUT_Openings!$E:$E="Window")), 0),IF(C169="Door Casing", IF(XLOOKUP(A169,INPUT_Rooms!$B:$B,INPUT_Rooms!$AA:$AA,"")="Y", SUMPRODUCT((INPUT_Openings!$A:$A=$B$4)*(INPUT_Openings!$B:$B=A169)*(INPUT_Openings!$D:$D)*XLOOKUP(INPUT_Openings!$C:$C,Constants!$A$30:$A$200,Constants!$E$30:$E$200,"",0)*(INPUT_Openings!$E:$E="Door")), 0),IF(C169="Doors (leaf)", IF(XLOOKUP(A169,INPUT_Rooms!$B:$B,INPUT_Rooms!$AB:$AB,"")="Y", SUMPRODUCT((INPUT_Doors!$A:$A=$B$4)*(INPUT_Doors!$B:$B=A169)*(INPUT_Doors!$D:$D)*(INPUT_Doors!$E:$E)), 0), 0))))))</f>
        <v/>
      </c>
      <c r="F169" s="6">
        <f>IF(A169="","", XLOOKUP(A169, INPUT_Rooms!$B:$B, INPUT_Rooms!$U:$U, ""))</f>
        <v/>
      </c>
      <c r="G169" s="6">
        <f>IF(A169="","", XLOOKUP(A169, INPUT_Rooms!$B:$B, INPUT_Rooms!$V:$V, ""))</f>
        <v/>
      </c>
      <c r="H169" s="6">
        <f>IF(A169="","", IF(XLOOKUP(A169, INPUT_Rooms!$B:$B, INPUT_Rooms!$W:$W, "")="", $B$5, XLOOKUP(A169, INPUT_Rooms!$B:$B, INPUT_Rooms!$W:$W, "")))</f>
        <v/>
      </c>
      <c r="I169" s="6">
        <f>IF(A169="","", IF(C169="Doors (leaf)", 0, E169*XLOOKUP(C169,Constants!$A$40:$A$200,Constants!$C$40:$C$200,0,0)*XLOOKUP(H169,Constants!$E$10:$E$30,Constants!$F$10:$F$30)))</f>
        <v/>
      </c>
      <c r="J169" s="6">
        <f>IF(A169="","", IF(C169="Doors (leaf)", 0, E169*XLOOKUP(C169,Constants!$A$40:$A$200,Constants!$D$40:$D$200,0,0)*G169))</f>
        <v/>
      </c>
      <c r="K169" s="6">
        <f>IF(A169="","", IF(C169="Doors (leaf)", 0, IF(F169="Full", E169*XLOOKUP(C169,Constants!$A$40:$A$200,Constants!$E$40:$E$200,0,0), IF(F169="Spot", E169*XLOOKUP(C169,Constants!$A$40:$A$200,Constants!$E$40:$E$200,0,0)*0.35, 0))))</f>
        <v/>
      </c>
      <c r="L169">
        <f>IF(A169="","",0)</f>
        <v/>
      </c>
      <c r="M169" s="6">
        <f>IF(A169="","", SUM(I169:K169))</f>
        <v/>
      </c>
      <c r="N169" s="6">
        <f>IF(A169="","", L169/60)</f>
        <v/>
      </c>
      <c r="O169" s="6">
        <f>IF(A169="","", N169*(IF(=IF('Job Control'!$B$3="","", XLOOKUP('Job Control'!$B$3, INPUT_JobSettings!$A:$A, INPUT_JobSettings!$F:$F, ""))&lt;&gt;"", =IF('Job Control'!$B$3="","", XLOOKUP('Job Control'!$B$3, INPUT_JobSettings!$A:$A, INPUT_JobSettings!$F:$F, "")), $B$6)))</f>
        <v/>
      </c>
      <c r="P169" s="6">
        <f>IF(A169="","", (O169+L169)*(IF(=IF('Job Control'!$B$3="","", XLOOKUP('Job Control'!$B$3, INPUT_JobSettings!$A:$A, INPUT_JobSettings!$G:$G, ""))&lt;&gt;"", =IF('Job Control'!$B$3="","", XLOOKUP('Job Control'!$B$3, INPUT_JobSettings!$A:$A, INPUT_JobSettings!$G:$G, "")), $B$7)))</f>
        <v/>
      </c>
    </row>
    <row r="170">
      <c r="A170" s="6">
        <f>IFERROR(INDEX(FILTER(INPUT_Rooms!$B$4:$B$83, INPUT_Rooms!$A$4:$A$83=$B$4, INPUT_Rooms!$T$4:$T$83="Y"), 32), "")</f>
        <v/>
      </c>
      <c r="B170" s="6">
        <f>IF(A170="","", XLOOKUP(A170, FILTER(INPUT_Rooms!$B$4:$B$83, INPUT_Rooms!$A$4:$A$83=$B$4), FILTER(INPUT_Rooms!$C$4:$C$83, INPUT_Rooms!$A$4:$A$83=$B$4), ""))</f>
        <v/>
      </c>
      <c r="C170" s="6">
        <f>IF(A170="","", CHOOSE(5,"Baseboard","Crown","Window Casing","Door Casing","Doors (leaf)"))</f>
        <v/>
      </c>
      <c r="D170" s="6">
        <f>IF(A170="","", XLOOKUP(C170,Constants!$A$40:$A$200,Constants!$B$40:$B$200,"",0))</f>
        <v/>
      </c>
      <c r="E170" s="6">
        <f>IF(A170="","", IF(C170="Baseboard", IF(XLOOKUP(A170,INPUT_Rooms!$B:$B,INPUT_Rooms!$X:$X,"")="Y", XLOOKUP(A170,INPUT_Rooms!$B:$B,INPUT_Rooms!$AF:$AF,""), 0),IF(C170="Crown", IF(XLOOKUP(A170,INPUT_Rooms!$B:$B,INPUT_Rooms!$Y:$Y,"")="Y", XLOOKUP(A170,INPUT_Rooms!$B:$B,INPUT_Rooms!$AG:$AG,""), 0),IF(C170="Window Casing", IF(XLOOKUP(A170,INPUT_Rooms!$B:$B,INPUT_Rooms!$Z:$Z,"")="Y", SUMPRODUCT((INPUT_Openings!$A:$A=$B$4)*(INPUT_Openings!$B:$B=A170)*(INPUT_Openings!$D:$D)*XLOOKUP(INPUT_Openings!$C:$C,Constants!$A$30:$A$200,Constants!$E$30:$E$200,"",0)*(INPUT_Openings!$E:$E="Window")), 0),IF(C170="Door Casing", IF(XLOOKUP(A170,INPUT_Rooms!$B:$B,INPUT_Rooms!$AA:$AA,"")="Y", SUMPRODUCT((INPUT_Openings!$A:$A=$B$4)*(INPUT_Openings!$B:$B=A170)*(INPUT_Openings!$D:$D)*XLOOKUP(INPUT_Openings!$C:$C,Constants!$A$30:$A$200,Constants!$E$30:$E$200,"",0)*(INPUT_Openings!$E:$E="Door")), 0),IF(C170="Doors (leaf)", IF(XLOOKUP(A170,INPUT_Rooms!$B:$B,INPUT_Rooms!$AB:$AB,"")="Y", SUMPRODUCT((INPUT_Doors!$A:$A=$B$4)*(INPUT_Doors!$B:$B=A170)*(INPUT_Doors!$D:$D)*(INPUT_Doors!$E:$E)), 0), 0))))))</f>
        <v/>
      </c>
      <c r="F170" s="6">
        <f>IF(A170="","", XLOOKUP(A170, INPUT_Rooms!$B:$B, INPUT_Rooms!$U:$U, ""))</f>
        <v/>
      </c>
      <c r="G170" s="6">
        <f>IF(A170="","", XLOOKUP(A170, INPUT_Rooms!$B:$B, INPUT_Rooms!$V:$V, ""))</f>
        <v/>
      </c>
      <c r="H170" s="6">
        <f>IF(A170="","", IF(XLOOKUP(A170, INPUT_Rooms!$B:$B, INPUT_Rooms!$W:$W, "")="", $B$5, XLOOKUP(A170, INPUT_Rooms!$B:$B, INPUT_Rooms!$W:$W, "")))</f>
        <v/>
      </c>
      <c r="I170" s="6">
        <f>IF(A170="","", IF(C170="Doors (leaf)", 0, E170*XLOOKUP(C170,Constants!$A$40:$A$200,Constants!$C$40:$C$200,0,0)*XLOOKUP(H170,Constants!$E$10:$E$30,Constants!$F$10:$F$30)))</f>
        <v/>
      </c>
      <c r="J170" s="6">
        <f>IF(A170="","", IF(C170="Doors (leaf)", 0, E170*XLOOKUP(C170,Constants!$A$40:$A$200,Constants!$D$40:$D$200,0,0)*G170))</f>
        <v/>
      </c>
      <c r="K170" s="6">
        <f>IF(A170="","", IF(C170="Doors (leaf)", 0, IF(F170="Full", E170*XLOOKUP(C170,Constants!$A$40:$A$200,Constants!$E$40:$E$200,0,0), IF(F170="Spot", E170*XLOOKUP(C170,Constants!$A$40:$A$200,Constants!$E$40:$E$200,0,0)*0.35, 0))))</f>
        <v/>
      </c>
      <c r="L170">
        <f>IF(A170="","",0)</f>
        <v/>
      </c>
      <c r="M170" s="6">
        <f>IF(A170="","", SUM(I170:K170))</f>
        <v/>
      </c>
      <c r="N170" s="6">
        <f>IF(A170="","", L170/60)</f>
        <v/>
      </c>
      <c r="O170" s="6">
        <f>IF(A170="","", N170*(IF(=IF('Job Control'!$B$3="","", XLOOKUP('Job Control'!$B$3, INPUT_JobSettings!$A:$A, INPUT_JobSettings!$F:$F, ""))&lt;&gt;"", =IF('Job Control'!$B$3="","", XLOOKUP('Job Control'!$B$3, INPUT_JobSettings!$A:$A, INPUT_JobSettings!$F:$F, "")), $B$6)))</f>
        <v/>
      </c>
      <c r="P170" s="6">
        <f>IF(A170="","", (O170+L170)*(IF(=IF('Job Control'!$B$3="","", XLOOKUP('Job Control'!$B$3, INPUT_JobSettings!$A:$A, INPUT_JobSettings!$G:$G, ""))&lt;&gt;"", =IF('Job Control'!$B$3="","", XLOOKUP('Job Control'!$B$3, INPUT_JobSettings!$A:$A, INPUT_JobSettings!$G:$G, "")), $B$7)))</f>
        <v/>
      </c>
    </row>
    <row r="171">
      <c r="A171" s="6">
        <f>IFERROR(INDEX(FILTER(INPUT_Rooms!$B$4:$B$83, INPUT_Rooms!$A$4:$A$83=$B$4, INPUT_Rooms!$T$4:$T$83="Y"), 33), "")</f>
        <v/>
      </c>
      <c r="B171" s="6">
        <f>IF(A171="","", XLOOKUP(A171, FILTER(INPUT_Rooms!$B$4:$B$83, INPUT_Rooms!$A$4:$A$83=$B$4), FILTER(INPUT_Rooms!$C$4:$C$83, INPUT_Rooms!$A$4:$A$83=$B$4), ""))</f>
        <v/>
      </c>
      <c r="C171" s="6">
        <f>IF(A171="","", CHOOSE(1,"Baseboard","Crown","Window Casing","Door Casing","Doors (leaf)"))</f>
        <v/>
      </c>
      <c r="D171" s="6">
        <f>IF(A171="","", XLOOKUP(C171,Constants!$A$40:$A$200,Constants!$B$40:$B$200,"",0))</f>
        <v/>
      </c>
      <c r="E171" s="6">
        <f>IF(A171="","", IF(C171="Baseboard", IF(XLOOKUP(A171,INPUT_Rooms!$B:$B,INPUT_Rooms!$X:$X,"")="Y", XLOOKUP(A171,INPUT_Rooms!$B:$B,INPUT_Rooms!$AF:$AF,""), 0),IF(C171="Crown", IF(XLOOKUP(A171,INPUT_Rooms!$B:$B,INPUT_Rooms!$Y:$Y,"")="Y", XLOOKUP(A171,INPUT_Rooms!$B:$B,INPUT_Rooms!$AG:$AG,""), 0),IF(C171="Window Casing", IF(XLOOKUP(A171,INPUT_Rooms!$B:$B,INPUT_Rooms!$Z:$Z,"")="Y", SUMPRODUCT((INPUT_Openings!$A:$A=$B$4)*(INPUT_Openings!$B:$B=A171)*(INPUT_Openings!$D:$D)*XLOOKUP(INPUT_Openings!$C:$C,Constants!$A$30:$A$200,Constants!$E$30:$E$200,"",0)*(INPUT_Openings!$E:$E="Window")), 0),IF(C171="Door Casing", IF(XLOOKUP(A171,INPUT_Rooms!$B:$B,INPUT_Rooms!$AA:$AA,"")="Y", SUMPRODUCT((INPUT_Openings!$A:$A=$B$4)*(INPUT_Openings!$B:$B=A171)*(INPUT_Openings!$D:$D)*XLOOKUP(INPUT_Openings!$C:$C,Constants!$A$30:$A$200,Constants!$E$30:$E$200,"",0)*(INPUT_Openings!$E:$E="Door")), 0),IF(C171="Doors (leaf)", IF(XLOOKUP(A171,INPUT_Rooms!$B:$B,INPUT_Rooms!$AB:$AB,"")="Y", SUMPRODUCT((INPUT_Doors!$A:$A=$B$4)*(INPUT_Doors!$B:$B=A171)*(INPUT_Doors!$D:$D)*(INPUT_Doors!$E:$E)), 0), 0))))))</f>
        <v/>
      </c>
      <c r="F171" s="6">
        <f>IF(A171="","", XLOOKUP(A171, INPUT_Rooms!$B:$B, INPUT_Rooms!$U:$U, ""))</f>
        <v/>
      </c>
      <c r="G171" s="6">
        <f>IF(A171="","", XLOOKUP(A171, INPUT_Rooms!$B:$B, INPUT_Rooms!$V:$V, ""))</f>
        <v/>
      </c>
      <c r="H171" s="6">
        <f>IF(A171="","", IF(XLOOKUP(A171, INPUT_Rooms!$B:$B, INPUT_Rooms!$W:$W, "")="", $B$5, XLOOKUP(A171, INPUT_Rooms!$B:$B, INPUT_Rooms!$W:$W, "")))</f>
        <v/>
      </c>
      <c r="I171" s="6">
        <f>IF(A171="","", IF(C171="Doors (leaf)", 0, E171*XLOOKUP(C171,Constants!$A$40:$A$200,Constants!$C$40:$C$200,0,0)*XLOOKUP(H171,Constants!$E$10:$E$30,Constants!$F$10:$F$30)))</f>
        <v/>
      </c>
      <c r="J171" s="6">
        <f>IF(A171="","", IF(C171="Doors (leaf)", 0, E171*XLOOKUP(C171,Constants!$A$40:$A$200,Constants!$D$40:$D$200,0,0)*G171))</f>
        <v/>
      </c>
      <c r="K171" s="6">
        <f>IF(A171="","", IF(C171="Doors (leaf)", 0, IF(F171="Full", E171*XLOOKUP(C171,Constants!$A$40:$A$200,Constants!$E$40:$E$200,0,0), IF(F171="Spot", E171*XLOOKUP(C171,Constants!$A$40:$A$200,Constants!$E$40:$E$200,0,0)*0.35, 0))))</f>
        <v/>
      </c>
      <c r="L171">
        <f>IF(A171="","",0)</f>
        <v/>
      </c>
      <c r="M171" s="6">
        <f>IF(A171="","", SUM(I171:K171))</f>
        <v/>
      </c>
      <c r="N171" s="6">
        <f>IF(A171="","", L171/60)</f>
        <v/>
      </c>
      <c r="O171" s="6">
        <f>IF(A171="","", N171*(IF(=IF('Job Control'!$B$3="","", XLOOKUP('Job Control'!$B$3, INPUT_JobSettings!$A:$A, INPUT_JobSettings!$F:$F, ""))&lt;&gt;"", =IF('Job Control'!$B$3="","", XLOOKUP('Job Control'!$B$3, INPUT_JobSettings!$A:$A, INPUT_JobSettings!$F:$F, "")), $B$6)))</f>
        <v/>
      </c>
      <c r="P171" s="6">
        <f>IF(A171="","", (O171+L171)*(IF(=IF('Job Control'!$B$3="","", XLOOKUP('Job Control'!$B$3, INPUT_JobSettings!$A:$A, INPUT_JobSettings!$G:$G, ""))&lt;&gt;"", =IF('Job Control'!$B$3="","", XLOOKUP('Job Control'!$B$3, INPUT_JobSettings!$A:$A, INPUT_JobSettings!$G:$G, "")), $B$7)))</f>
        <v/>
      </c>
    </row>
    <row r="172">
      <c r="A172" s="6">
        <f>IFERROR(INDEX(FILTER(INPUT_Rooms!$B$4:$B$83, INPUT_Rooms!$A$4:$A$83=$B$4, INPUT_Rooms!$T$4:$T$83="Y"), 33), "")</f>
        <v/>
      </c>
      <c r="B172" s="6">
        <f>IF(A172="","", XLOOKUP(A172, FILTER(INPUT_Rooms!$B$4:$B$83, INPUT_Rooms!$A$4:$A$83=$B$4), FILTER(INPUT_Rooms!$C$4:$C$83, INPUT_Rooms!$A$4:$A$83=$B$4), ""))</f>
        <v/>
      </c>
      <c r="C172" s="6">
        <f>IF(A172="","", CHOOSE(2,"Baseboard","Crown","Window Casing","Door Casing","Doors (leaf)"))</f>
        <v/>
      </c>
      <c r="D172" s="6">
        <f>IF(A172="","", XLOOKUP(C172,Constants!$A$40:$A$200,Constants!$B$40:$B$200,"",0))</f>
        <v/>
      </c>
      <c r="E172" s="6">
        <f>IF(A172="","", IF(C172="Baseboard", IF(XLOOKUP(A172,INPUT_Rooms!$B:$B,INPUT_Rooms!$X:$X,"")="Y", XLOOKUP(A172,INPUT_Rooms!$B:$B,INPUT_Rooms!$AF:$AF,""), 0),IF(C172="Crown", IF(XLOOKUP(A172,INPUT_Rooms!$B:$B,INPUT_Rooms!$Y:$Y,"")="Y", XLOOKUP(A172,INPUT_Rooms!$B:$B,INPUT_Rooms!$AG:$AG,""), 0),IF(C172="Window Casing", IF(XLOOKUP(A172,INPUT_Rooms!$B:$B,INPUT_Rooms!$Z:$Z,"")="Y", SUMPRODUCT((INPUT_Openings!$A:$A=$B$4)*(INPUT_Openings!$B:$B=A172)*(INPUT_Openings!$D:$D)*XLOOKUP(INPUT_Openings!$C:$C,Constants!$A$30:$A$200,Constants!$E$30:$E$200,"",0)*(INPUT_Openings!$E:$E="Window")), 0),IF(C172="Door Casing", IF(XLOOKUP(A172,INPUT_Rooms!$B:$B,INPUT_Rooms!$AA:$AA,"")="Y", SUMPRODUCT((INPUT_Openings!$A:$A=$B$4)*(INPUT_Openings!$B:$B=A172)*(INPUT_Openings!$D:$D)*XLOOKUP(INPUT_Openings!$C:$C,Constants!$A$30:$A$200,Constants!$E$30:$E$200,"",0)*(INPUT_Openings!$E:$E="Door")), 0),IF(C172="Doors (leaf)", IF(XLOOKUP(A172,INPUT_Rooms!$B:$B,INPUT_Rooms!$AB:$AB,"")="Y", SUMPRODUCT((INPUT_Doors!$A:$A=$B$4)*(INPUT_Doors!$B:$B=A172)*(INPUT_Doors!$D:$D)*(INPUT_Doors!$E:$E)), 0), 0))))))</f>
        <v/>
      </c>
      <c r="F172" s="6">
        <f>IF(A172="","", XLOOKUP(A172, INPUT_Rooms!$B:$B, INPUT_Rooms!$U:$U, ""))</f>
        <v/>
      </c>
      <c r="G172" s="6">
        <f>IF(A172="","", XLOOKUP(A172, INPUT_Rooms!$B:$B, INPUT_Rooms!$V:$V, ""))</f>
        <v/>
      </c>
      <c r="H172" s="6">
        <f>IF(A172="","", IF(XLOOKUP(A172, INPUT_Rooms!$B:$B, INPUT_Rooms!$W:$W, "")="", $B$5, XLOOKUP(A172, INPUT_Rooms!$B:$B, INPUT_Rooms!$W:$W, "")))</f>
        <v/>
      </c>
      <c r="I172" s="6">
        <f>IF(A172="","", IF(C172="Doors (leaf)", 0, E172*XLOOKUP(C172,Constants!$A$40:$A$200,Constants!$C$40:$C$200,0,0)*XLOOKUP(H172,Constants!$E$10:$E$30,Constants!$F$10:$F$30)))</f>
        <v/>
      </c>
      <c r="J172" s="6">
        <f>IF(A172="","", IF(C172="Doors (leaf)", 0, E172*XLOOKUP(C172,Constants!$A$40:$A$200,Constants!$D$40:$D$200,0,0)*G172))</f>
        <v/>
      </c>
      <c r="K172" s="6">
        <f>IF(A172="","", IF(C172="Doors (leaf)", 0, IF(F172="Full", E172*XLOOKUP(C172,Constants!$A$40:$A$200,Constants!$E$40:$E$200,0,0), IF(F172="Spot", E172*XLOOKUP(C172,Constants!$A$40:$A$200,Constants!$E$40:$E$200,0,0)*0.35, 0))))</f>
        <v/>
      </c>
      <c r="L172">
        <f>IF(A172="","",0)</f>
        <v/>
      </c>
      <c r="M172" s="6">
        <f>IF(A172="","", SUM(I172:K172))</f>
        <v/>
      </c>
      <c r="N172" s="6">
        <f>IF(A172="","", L172/60)</f>
        <v/>
      </c>
      <c r="O172" s="6">
        <f>IF(A172="","", N172*(IF(=IF('Job Control'!$B$3="","", XLOOKUP('Job Control'!$B$3, INPUT_JobSettings!$A:$A, INPUT_JobSettings!$F:$F, ""))&lt;&gt;"", =IF('Job Control'!$B$3="","", XLOOKUP('Job Control'!$B$3, INPUT_JobSettings!$A:$A, INPUT_JobSettings!$F:$F, "")), $B$6)))</f>
        <v/>
      </c>
      <c r="P172" s="6">
        <f>IF(A172="","", (O172+L172)*(IF(=IF('Job Control'!$B$3="","", XLOOKUP('Job Control'!$B$3, INPUT_JobSettings!$A:$A, INPUT_JobSettings!$G:$G, ""))&lt;&gt;"", =IF('Job Control'!$B$3="","", XLOOKUP('Job Control'!$B$3, INPUT_JobSettings!$A:$A, INPUT_JobSettings!$G:$G, "")), $B$7)))</f>
        <v/>
      </c>
    </row>
    <row r="173">
      <c r="A173" s="6">
        <f>IFERROR(INDEX(FILTER(INPUT_Rooms!$B$4:$B$83, INPUT_Rooms!$A$4:$A$83=$B$4, INPUT_Rooms!$T$4:$T$83="Y"), 33), "")</f>
        <v/>
      </c>
      <c r="B173" s="6">
        <f>IF(A173="","", XLOOKUP(A173, FILTER(INPUT_Rooms!$B$4:$B$83, INPUT_Rooms!$A$4:$A$83=$B$4), FILTER(INPUT_Rooms!$C$4:$C$83, INPUT_Rooms!$A$4:$A$83=$B$4), ""))</f>
        <v/>
      </c>
      <c r="C173" s="6">
        <f>IF(A173="","", CHOOSE(3,"Baseboard","Crown","Window Casing","Door Casing","Doors (leaf)"))</f>
        <v/>
      </c>
      <c r="D173" s="6">
        <f>IF(A173="","", XLOOKUP(C173,Constants!$A$40:$A$200,Constants!$B$40:$B$200,"",0))</f>
        <v/>
      </c>
      <c r="E173" s="6">
        <f>IF(A173="","", IF(C173="Baseboard", IF(XLOOKUP(A173,INPUT_Rooms!$B:$B,INPUT_Rooms!$X:$X,"")="Y", XLOOKUP(A173,INPUT_Rooms!$B:$B,INPUT_Rooms!$AF:$AF,""), 0),IF(C173="Crown", IF(XLOOKUP(A173,INPUT_Rooms!$B:$B,INPUT_Rooms!$Y:$Y,"")="Y", XLOOKUP(A173,INPUT_Rooms!$B:$B,INPUT_Rooms!$AG:$AG,""), 0),IF(C173="Window Casing", IF(XLOOKUP(A173,INPUT_Rooms!$B:$B,INPUT_Rooms!$Z:$Z,"")="Y", SUMPRODUCT((INPUT_Openings!$A:$A=$B$4)*(INPUT_Openings!$B:$B=A173)*(INPUT_Openings!$D:$D)*XLOOKUP(INPUT_Openings!$C:$C,Constants!$A$30:$A$200,Constants!$E$30:$E$200,"",0)*(INPUT_Openings!$E:$E="Window")), 0),IF(C173="Door Casing", IF(XLOOKUP(A173,INPUT_Rooms!$B:$B,INPUT_Rooms!$AA:$AA,"")="Y", SUMPRODUCT((INPUT_Openings!$A:$A=$B$4)*(INPUT_Openings!$B:$B=A173)*(INPUT_Openings!$D:$D)*XLOOKUP(INPUT_Openings!$C:$C,Constants!$A$30:$A$200,Constants!$E$30:$E$200,"",0)*(INPUT_Openings!$E:$E="Door")), 0),IF(C173="Doors (leaf)", IF(XLOOKUP(A173,INPUT_Rooms!$B:$B,INPUT_Rooms!$AB:$AB,"")="Y", SUMPRODUCT((INPUT_Doors!$A:$A=$B$4)*(INPUT_Doors!$B:$B=A173)*(INPUT_Doors!$D:$D)*(INPUT_Doors!$E:$E)), 0), 0))))))</f>
        <v/>
      </c>
      <c r="F173" s="6">
        <f>IF(A173="","", XLOOKUP(A173, INPUT_Rooms!$B:$B, INPUT_Rooms!$U:$U, ""))</f>
        <v/>
      </c>
      <c r="G173" s="6">
        <f>IF(A173="","", XLOOKUP(A173, INPUT_Rooms!$B:$B, INPUT_Rooms!$V:$V, ""))</f>
        <v/>
      </c>
      <c r="H173" s="6">
        <f>IF(A173="","", IF(XLOOKUP(A173, INPUT_Rooms!$B:$B, INPUT_Rooms!$W:$W, "")="", $B$5, XLOOKUP(A173, INPUT_Rooms!$B:$B, INPUT_Rooms!$W:$W, "")))</f>
        <v/>
      </c>
      <c r="I173" s="6">
        <f>IF(A173="","", IF(C173="Doors (leaf)", 0, E173*XLOOKUP(C173,Constants!$A$40:$A$200,Constants!$C$40:$C$200,0,0)*XLOOKUP(H173,Constants!$E$10:$E$30,Constants!$F$10:$F$30)))</f>
        <v/>
      </c>
      <c r="J173" s="6">
        <f>IF(A173="","", IF(C173="Doors (leaf)", 0, E173*XLOOKUP(C173,Constants!$A$40:$A$200,Constants!$D$40:$D$200,0,0)*G173))</f>
        <v/>
      </c>
      <c r="K173" s="6">
        <f>IF(A173="","", IF(C173="Doors (leaf)", 0, IF(F173="Full", E173*XLOOKUP(C173,Constants!$A$40:$A$200,Constants!$E$40:$E$200,0,0), IF(F173="Spot", E173*XLOOKUP(C173,Constants!$A$40:$A$200,Constants!$E$40:$E$200,0,0)*0.35, 0))))</f>
        <v/>
      </c>
      <c r="L173">
        <f>IF(A173="","",0)</f>
        <v/>
      </c>
      <c r="M173" s="6">
        <f>IF(A173="","", SUM(I173:K173))</f>
        <v/>
      </c>
      <c r="N173" s="6">
        <f>IF(A173="","", L173/60)</f>
        <v/>
      </c>
      <c r="O173" s="6">
        <f>IF(A173="","", N173*(IF(=IF('Job Control'!$B$3="","", XLOOKUP('Job Control'!$B$3, INPUT_JobSettings!$A:$A, INPUT_JobSettings!$F:$F, ""))&lt;&gt;"", =IF('Job Control'!$B$3="","", XLOOKUP('Job Control'!$B$3, INPUT_JobSettings!$A:$A, INPUT_JobSettings!$F:$F, "")), $B$6)))</f>
        <v/>
      </c>
      <c r="P173" s="6">
        <f>IF(A173="","", (O173+L173)*(IF(=IF('Job Control'!$B$3="","", XLOOKUP('Job Control'!$B$3, INPUT_JobSettings!$A:$A, INPUT_JobSettings!$G:$G, ""))&lt;&gt;"", =IF('Job Control'!$B$3="","", XLOOKUP('Job Control'!$B$3, INPUT_JobSettings!$A:$A, INPUT_JobSettings!$G:$G, "")), $B$7)))</f>
        <v/>
      </c>
    </row>
    <row r="174">
      <c r="A174" s="6">
        <f>IFERROR(INDEX(FILTER(INPUT_Rooms!$B$4:$B$83, INPUT_Rooms!$A$4:$A$83=$B$4, INPUT_Rooms!$T$4:$T$83="Y"), 33), "")</f>
        <v/>
      </c>
      <c r="B174" s="6">
        <f>IF(A174="","", XLOOKUP(A174, FILTER(INPUT_Rooms!$B$4:$B$83, INPUT_Rooms!$A$4:$A$83=$B$4), FILTER(INPUT_Rooms!$C$4:$C$83, INPUT_Rooms!$A$4:$A$83=$B$4), ""))</f>
        <v/>
      </c>
      <c r="C174" s="6">
        <f>IF(A174="","", CHOOSE(4,"Baseboard","Crown","Window Casing","Door Casing","Doors (leaf)"))</f>
        <v/>
      </c>
      <c r="D174" s="6">
        <f>IF(A174="","", XLOOKUP(C174,Constants!$A$40:$A$200,Constants!$B$40:$B$200,"",0))</f>
        <v/>
      </c>
      <c r="E174" s="6">
        <f>IF(A174="","", IF(C174="Baseboard", IF(XLOOKUP(A174,INPUT_Rooms!$B:$B,INPUT_Rooms!$X:$X,"")="Y", XLOOKUP(A174,INPUT_Rooms!$B:$B,INPUT_Rooms!$AF:$AF,""), 0),IF(C174="Crown", IF(XLOOKUP(A174,INPUT_Rooms!$B:$B,INPUT_Rooms!$Y:$Y,"")="Y", XLOOKUP(A174,INPUT_Rooms!$B:$B,INPUT_Rooms!$AG:$AG,""), 0),IF(C174="Window Casing", IF(XLOOKUP(A174,INPUT_Rooms!$B:$B,INPUT_Rooms!$Z:$Z,"")="Y", SUMPRODUCT((INPUT_Openings!$A:$A=$B$4)*(INPUT_Openings!$B:$B=A174)*(INPUT_Openings!$D:$D)*XLOOKUP(INPUT_Openings!$C:$C,Constants!$A$30:$A$200,Constants!$E$30:$E$200,"",0)*(INPUT_Openings!$E:$E="Window")), 0),IF(C174="Door Casing", IF(XLOOKUP(A174,INPUT_Rooms!$B:$B,INPUT_Rooms!$AA:$AA,"")="Y", SUMPRODUCT((INPUT_Openings!$A:$A=$B$4)*(INPUT_Openings!$B:$B=A174)*(INPUT_Openings!$D:$D)*XLOOKUP(INPUT_Openings!$C:$C,Constants!$A$30:$A$200,Constants!$E$30:$E$200,"",0)*(INPUT_Openings!$E:$E="Door")), 0),IF(C174="Doors (leaf)", IF(XLOOKUP(A174,INPUT_Rooms!$B:$B,INPUT_Rooms!$AB:$AB,"")="Y", SUMPRODUCT((INPUT_Doors!$A:$A=$B$4)*(INPUT_Doors!$B:$B=A174)*(INPUT_Doors!$D:$D)*(INPUT_Doors!$E:$E)), 0), 0))))))</f>
        <v/>
      </c>
      <c r="F174" s="6">
        <f>IF(A174="","", XLOOKUP(A174, INPUT_Rooms!$B:$B, INPUT_Rooms!$U:$U, ""))</f>
        <v/>
      </c>
      <c r="G174" s="6">
        <f>IF(A174="","", XLOOKUP(A174, INPUT_Rooms!$B:$B, INPUT_Rooms!$V:$V, ""))</f>
        <v/>
      </c>
      <c r="H174" s="6">
        <f>IF(A174="","", IF(XLOOKUP(A174, INPUT_Rooms!$B:$B, INPUT_Rooms!$W:$W, "")="", $B$5, XLOOKUP(A174, INPUT_Rooms!$B:$B, INPUT_Rooms!$W:$W, "")))</f>
        <v/>
      </c>
      <c r="I174" s="6">
        <f>IF(A174="","", IF(C174="Doors (leaf)", 0, E174*XLOOKUP(C174,Constants!$A$40:$A$200,Constants!$C$40:$C$200,0,0)*XLOOKUP(H174,Constants!$E$10:$E$30,Constants!$F$10:$F$30)))</f>
        <v/>
      </c>
      <c r="J174" s="6">
        <f>IF(A174="","", IF(C174="Doors (leaf)", 0, E174*XLOOKUP(C174,Constants!$A$40:$A$200,Constants!$D$40:$D$200,0,0)*G174))</f>
        <v/>
      </c>
      <c r="K174" s="6">
        <f>IF(A174="","", IF(C174="Doors (leaf)", 0, IF(F174="Full", E174*XLOOKUP(C174,Constants!$A$40:$A$200,Constants!$E$40:$E$200,0,0), IF(F174="Spot", E174*XLOOKUP(C174,Constants!$A$40:$A$200,Constants!$E$40:$E$200,0,0)*0.35, 0))))</f>
        <v/>
      </c>
      <c r="L174">
        <f>IF(A174="","",0)</f>
        <v/>
      </c>
      <c r="M174" s="6">
        <f>IF(A174="","", SUM(I174:K174))</f>
        <v/>
      </c>
      <c r="N174" s="6">
        <f>IF(A174="","", L174/60)</f>
        <v/>
      </c>
      <c r="O174" s="6">
        <f>IF(A174="","", N174*(IF(=IF('Job Control'!$B$3="","", XLOOKUP('Job Control'!$B$3, INPUT_JobSettings!$A:$A, INPUT_JobSettings!$F:$F, ""))&lt;&gt;"", =IF('Job Control'!$B$3="","", XLOOKUP('Job Control'!$B$3, INPUT_JobSettings!$A:$A, INPUT_JobSettings!$F:$F, "")), $B$6)))</f>
        <v/>
      </c>
      <c r="P174" s="6">
        <f>IF(A174="","", (O174+L174)*(IF(=IF('Job Control'!$B$3="","", XLOOKUP('Job Control'!$B$3, INPUT_JobSettings!$A:$A, INPUT_JobSettings!$G:$G, ""))&lt;&gt;"", =IF('Job Control'!$B$3="","", XLOOKUP('Job Control'!$B$3, INPUT_JobSettings!$A:$A, INPUT_JobSettings!$G:$G, "")), $B$7)))</f>
        <v/>
      </c>
    </row>
    <row r="175">
      <c r="A175" s="6">
        <f>IFERROR(INDEX(FILTER(INPUT_Rooms!$B$4:$B$83, INPUT_Rooms!$A$4:$A$83=$B$4, INPUT_Rooms!$T$4:$T$83="Y"), 33), "")</f>
        <v/>
      </c>
      <c r="B175" s="6">
        <f>IF(A175="","", XLOOKUP(A175, FILTER(INPUT_Rooms!$B$4:$B$83, INPUT_Rooms!$A$4:$A$83=$B$4), FILTER(INPUT_Rooms!$C$4:$C$83, INPUT_Rooms!$A$4:$A$83=$B$4), ""))</f>
        <v/>
      </c>
      <c r="C175" s="6">
        <f>IF(A175="","", CHOOSE(5,"Baseboard","Crown","Window Casing","Door Casing","Doors (leaf)"))</f>
        <v/>
      </c>
      <c r="D175" s="6">
        <f>IF(A175="","", XLOOKUP(C175,Constants!$A$40:$A$200,Constants!$B$40:$B$200,"",0))</f>
        <v/>
      </c>
      <c r="E175" s="6">
        <f>IF(A175="","", IF(C175="Baseboard", IF(XLOOKUP(A175,INPUT_Rooms!$B:$B,INPUT_Rooms!$X:$X,"")="Y", XLOOKUP(A175,INPUT_Rooms!$B:$B,INPUT_Rooms!$AF:$AF,""), 0),IF(C175="Crown", IF(XLOOKUP(A175,INPUT_Rooms!$B:$B,INPUT_Rooms!$Y:$Y,"")="Y", XLOOKUP(A175,INPUT_Rooms!$B:$B,INPUT_Rooms!$AG:$AG,""), 0),IF(C175="Window Casing", IF(XLOOKUP(A175,INPUT_Rooms!$B:$B,INPUT_Rooms!$Z:$Z,"")="Y", SUMPRODUCT((INPUT_Openings!$A:$A=$B$4)*(INPUT_Openings!$B:$B=A175)*(INPUT_Openings!$D:$D)*XLOOKUP(INPUT_Openings!$C:$C,Constants!$A$30:$A$200,Constants!$E$30:$E$200,"",0)*(INPUT_Openings!$E:$E="Window")), 0),IF(C175="Door Casing", IF(XLOOKUP(A175,INPUT_Rooms!$B:$B,INPUT_Rooms!$AA:$AA,"")="Y", SUMPRODUCT((INPUT_Openings!$A:$A=$B$4)*(INPUT_Openings!$B:$B=A175)*(INPUT_Openings!$D:$D)*XLOOKUP(INPUT_Openings!$C:$C,Constants!$A$30:$A$200,Constants!$E$30:$E$200,"",0)*(INPUT_Openings!$E:$E="Door")), 0),IF(C175="Doors (leaf)", IF(XLOOKUP(A175,INPUT_Rooms!$B:$B,INPUT_Rooms!$AB:$AB,"")="Y", SUMPRODUCT((INPUT_Doors!$A:$A=$B$4)*(INPUT_Doors!$B:$B=A175)*(INPUT_Doors!$D:$D)*(INPUT_Doors!$E:$E)), 0), 0))))))</f>
        <v/>
      </c>
      <c r="F175" s="6">
        <f>IF(A175="","", XLOOKUP(A175, INPUT_Rooms!$B:$B, INPUT_Rooms!$U:$U, ""))</f>
        <v/>
      </c>
      <c r="G175" s="6">
        <f>IF(A175="","", XLOOKUP(A175, INPUT_Rooms!$B:$B, INPUT_Rooms!$V:$V, ""))</f>
        <v/>
      </c>
      <c r="H175" s="6">
        <f>IF(A175="","", IF(XLOOKUP(A175, INPUT_Rooms!$B:$B, INPUT_Rooms!$W:$W, "")="", $B$5, XLOOKUP(A175, INPUT_Rooms!$B:$B, INPUT_Rooms!$W:$W, "")))</f>
        <v/>
      </c>
      <c r="I175" s="6">
        <f>IF(A175="","", IF(C175="Doors (leaf)", 0, E175*XLOOKUP(C175,Constants!$A$40:$A$200,Constants!$C$40:$C$200,0,0)*XLOOKUP(H175,Constants!$E$10:$E$30,Constants!$F$10:$F$30)))</f>
        <v/>
      </c>
      <c r="J175" s="6">
        <f>IF(A175="","", IF(C175="Doors (leaf)", 0, E175*XLOOKUP(C175,Constants!$A$40:$A$200,Constants!$D$40:$D$200,0,0)*G175))</f>
        <v/>
      </c>
      <c r="K175" s="6">
        <f>IF(A175="","", IF(C175="Doors (leaf)", 0, IF(F175="Full", E175*XLOOKUP(C175,Constants!$A$40:$A$200,Constants!$E$40:$E$200,0,0), IF(F175="Spot", E175*XLOOKUP(C175,Constants!$A$40:$A$200,Constants!$E$40:$E$200,0,0)*0.35, 0))))</f>
        <v/>
      </c>
      <c r="L175">
        <f>IF(A175="","",0)</f>
        <v/>
      </c>
      <c r="M175" s="6">
        <f>IF(A175="","", SUM(I175:K175))</f>
        <v/>
      </c>
      <c r="N175" s="6">
        <f>IF(A175="","", L175/60)</f>
        <v/>
      </c>
      <c r="O175" s="6">
        <f>IF(A175="","", N175*(IF(=IF('Job Control'!$B$3="","", XLOOKUP('Job Control'!$B$3, INPUT_JobSettings!$A:$A, INPUT_JobSettings!$F:$F, ""))&lt;&gt;"", =IF('Job Control'!$B$3="","", XLOOKUP('Job Control'!$B$3, INPUT_JobSettings!$A:$A, INPUT_JobSettings!$F:$F, "")), $B$6)))</f>
        <v/>
      </c>
      <c r="P175" s="6">
        <f>IF(A175="","", (O175+L175)*(IF(=IF('Job Control'!$B$3="","", XLOOKUP('Job Control'!$B$3, INPUT_JobSettings!$A:$A, INPUT_JobSettings!$G:$G, ""))&lt;&gt;"", =IF('Job Control'!$B$3="","", XLOOKUP('Job Control'!$B$3, INPUT_JobSettings!$A:$A, INPUT_JobSettings!$G:$G, "")), $B$7)))</f>
        <v/>
      </c>
    </row>
    <row r="176">
      <c r="A176" s="6">
        <f>IFERROR(INDEX(FILTER(INPUT_Rooms!$B$4:$B$83, INPUT_Rooms!$A$4:$A$83=$B$4, INPUT_Rooms!$T$4:$T$83="Y"), 34), "")</f>
        <v/>
      </c>
      <c r="B176" s="6">
        <f>IF(A176="","", XLOOKUP(A176, FILTER(INPUT_Rooms!$B$4:$B$83, INPUT_Rooms!$A$4:$A$83=$B$4), FILTER(INPUT_Rooms!$C$4:$C$83, INPUT_Rooms!$A$4:$A$83=$B$4), ""))</f>
        <v/>
      </c>
      <c r="C176" s="6">
        <f>IF(A176="","", CHOOSE(1,"Baseboard","Crown","Window Casing","Door Casing","Doors (leaf)"))</f>
        <v/>
      </c>
      <c r="D176" s="6">
        <f>IF(A176="","", XLOOKUP(C176,Constants!$A$40:$A$200,Constants!$B$40:$B$200,"",0))</f>
        <v/>
      </c>
      <c r="E176" s="6">
        <f>IF(A176="","", IF(C176="Baseboard", IF(XLOOKUP(A176,INPUT_Rooms!$B:$B,INPUT_Rooms!$X:$X,"")="Y", XLOOKUP(A176,INPUT_Rooms!$B:$B,INPUT_Rooms!$AF:$AF,""), 0),IF(C176="Crown", IF(XLOOKUP(A176,INPUT_Rooms!$B:$B,INPUT_Rooms!$Y:$Y,"")="Y", XLOOKUP(A176,INPUT_Rooms!$B:$B,INPUT_Rooms!$AG:$AG,""), 0),IF(C176="Window Casing", IF(XLOOKUP(A176,INPUT_Rooms!$B:$B,INPUT_Rooms!$Z:$Z,"")="Y", SUMPRODUCT((INPUT_Openings!$A:$A=$B$4)*(INPUT_Openings!$B:$B=A176)*(INPUT_Openings!$D:$D)*XLOOKUP(INPUT_Openings!$C:$C,Constants!$A$30:$A$200,Constants!$E$30:$E$200,"",0)*(INPUT_Openings!$E:$E="Window")), 0),IF(C176="Door Casing", IF(XLOOKUP(A176,INPUT_Rooms!$B:$B,INPUT_Rooms!$AA:$AA,"")="Y", SUMPRODUCT((INPUT_Openings!$A:$A=$B$4)*(INPUT_Openings!$B:$B=A176)*(INPUT_Openings!$D:$D)*XLOOKUP(INPUT_Openings!$C:$C,Constants!$A$30:$A$200,Constants!$E$30:$E$200,"",0)*(INPUT_Openings!$E:$E="Door")), 0),IF(C176="Doors (leaf)", IF(XLOOKUP(A176,INPUT_Rooms!$B:$B,INPUT_Rooms!$AB:$AB,"")="Y", SUMPRODUCT((INPUT_Doors!$A:$A=$B$4)*(INPUT_Doors!$B:$B=A176)*(INPUT_Doors!$D:$D)*(INPUT_Doors!$E:$E)), 0), 0))))))</f>
        <v/>
      </c>
      <c r="F176" s="6">
        <f>IF(A176="","", XLOOKUP(A176, INPUT_Rooms!$B:$B, INPUT_Rooms!$U:$U, ""))</f>
        <v/>
      </c>
      <c r="G176" s="6">
        <f>IF(A176="","", XLOOKUP(A176, INPUT_Rooms!$B:$B, INPUT_Rooms!$V:$V, ""))</f>
        <v/>
      </c>
      <c r="H176" s="6">
        <f>IF(A176="","", IF(XLOOKUP(A176, INPUT_Rooms!$B:$B, INPUT_Rooms!$W:$W, "")="", $B$5, XLOOKUP(A176, INPUT_Rooms!$B:$B, INPUT_Rooms!$W:$W, "")))</f>
        <v/>
      </c>
      <c r="I176" s="6">
        <f>IF(A176="","", IF(C176="Doors (leaf)", 0, E176*XLOOKUP(C176,Constants!$A$40:$A$200,Constants!$C$40:$C$200,0,0)*XLOOKUP(H176,Constants!$E$10:$E$30,Constants!$F$10:$F$30)))</f>
        <v/>
      </c>
      <c r="J176" s="6">
        <f>IF(A176="","", IF(C176="Doors (leaf)", 0, E176*XLOOKUP(C176,Constants!$A$40:$A$200,Constants!$D$40:$D$200,0,0)*G176))</f>
        <v/>
      </c>
      <c r="K176" s="6">
        <f>IF(A176="","", IF(C176="Doors (leaf)", 0, IF(F176="Full", E176*XLOOKUP(C176,Constants!$A$40:$A$200,Constants!$E$40:$E$200,0,0), IF(F176="Spot", E176*XLOOKUP(C176,Constants!$A$40:$A$200,Constants!$E$40:$E$200,0,0)*0.35, 0))))</f>
        <v/>
      </c>
      <c r="L176">
        <f>IF(A176="","",0)</f>
        <v/>
      </c>
      <c r="M176" s="6">
        <f>IF(A176="","", SUM(I176:K176))</f>
        <v/>
      </c>
      <c r="N176" s="6">
        <f>IF(A176="","", L176/60)</f>
        <v/>
      </c>
      <c r="O176" s="6">
        <f>IF(A176="","", N176*(IF(=IF('Job Control'!$B$3="","", XLOOKUP('Job Control'!$B$3, INPUT_JobSettings!$A:$A, INPUT_JobSettings!$F:$F, ""))&lt;&gt;"", =IF('Job Control'!$B$3="","", XLOOKUP('Job Control'!$B$3, INPUT_JobSettings!$A:$A, INPUT_JobSettings!$F:$F, "")), $B$6)))</f>
        <v/>
      </c>
      <c r="P176" s="6">
        <f>IF(A176="","", (O176+L176)*(IF(=IF('Job Control'!$B$3="","", XLOOKUP('Job Control'!$B$3, INPUT_JobSettings!$A:$A, INPUT_JobSettings!$G:$G, ""))&lt;&gt;"", =IF('Job Control'!$B$3="","", XLOOKUP('Job Control'!$B$3, INPUT_JobSettings!$A:$A, INPUT_JobSettings!$G:$G, "")), $B$7)))</f>
        <v/>
      </c>
    </row>
    <row r="177">
      <c r="A177" s="6">
        <f>IFERROR(INDEX(FILTER(INPUT_Rooms!$B$4:$B$83, INPUT_Rooms!$A$4:$A$83=$B$4, INPUT_Rooms!$T$4:$T$83="Y"), 34), "")</f>
        <v/>
      </c>
      <c r="B177" s="6">
        <f>IF(A177="","", XLOOKUP(A177, FILTER(INPUT_Rooms!$B$4:$B$83, INPUT_Rooms!$A$4:$A$83=$B$4), FILTER(INPUT_Rooms!$C$4:$C$83, INPUT_Rooms!$A$4:$A$83=$B$4), ""))</f>
        <v/>
      </c>
      <c r="C177" s="6">
        <f>IF(A177="","", CHOOSE(2,"Baseboard","Crown","Window Casing","Door Casing","Doors (leaf)"))</f>
        <v/>
      </c>
      <c r="D177" s="6">
        <f>IF(A177="","", XLOOKUP(C177,Constants!$A$40:$A$200,Constants!$B$40:$B$200,"",0))</f>
        <v/>
      </c>
      <c r="E177" s="6">
        <f>IF(A177="","", IF(C177="Baseboard", IF(XLOOKUP(A177,INPUT_Rooms!$B:$B,INPUT_Rooms!$X:$X,"")="Y", XLOOKUP(A177,INPUT_Rooms!$B:$B,INPUT_Rooms!$AF:$AF,""), 0),IF(C177="Crown", IF(XLOOKUP(A177,INPUT_Rooms!$B:$B,INPUT_Rooms!$Y:$Y,"")="Y", XLOOKUP(A177,INPUT_Rooms!$B:$B,INPUT_Rooms!$AG:$AG,""), 0),IF(C177="Window Casing", IF(XLOOKUP(A177,INPUT_Rooms!$B:$B,INPUT_Rooms!$Z:$Z,"")="Y", SUMPRODUCT((INPUT_Openings!$A:$A=$B$4)*(INPUT_Openings!$B:$B=A177)*(INPUT_Openings!$D:$D)*XLOOKUP(INPUT_Openings!$C:$C,Constants!$A$30:$A$200,Constants!$E$30:$E$200,"",0)*(INPUT_Openings!$E:$E="Window")), 0),IF(C177="Door Casing", IF(XLOOKUP(A177,INPUT_Rooms!$B:$B,INPUT_Rooms!$AA:$AA,"")="Y", SUMPRODUCT((INPUT_Openings!$A:$A=$B$4)*(INPUT_Openings!$B:$B=A177)*(INPUT_Openings!$D:$D)*XLOOKUP(INPUT_Openings!$C:$C,Constants!$A$30:$A$200,Constants!$E$30:$E$200,"",0)*(INPUT_Openings!$E:$E="Door")), 0),IF(C177="Doors (leaf)", IF(XLOOKUP(A177,INPUT_Rooms!$B:$B,INPUT_Rooms!$AB:$AB,"")="Y", SUMPRODUCT((INPUT_Doors!$A:$A=$B$4)*(INPUT_Doors!$B:$B=A177)*(INPUT_Doors!$D:$D)*(INPUT_Doors!$E:$E)), 0), 0))))))</f>
        <v/>
      </c>
      <c r="F177" s="6">
        <f>IF(A177="","", XLOOKUP(A177, INPUT_Rooms!$B:$B, INPUT_Rooms!$U:$U, ""))</f>
        <v/>
      </c>
      <c r="G177" s="6">
        <f>IF(A177="","", XLOOKUP(A177, INPUT_Rooms!$B:$B, INPUT_Rooms!$V:$V, ""))</f>
        <v/>
      </c>
      <c r="H177" s="6">
        <f>IF(A177="","", IF(XLOOKUP(A177, INPUT_Rooms!$B:$B, INPUT_Rooms!$W:$W, "")="", $B$5, XLOOKUP(A177, INPUT_Rooms!$B:$B, INPUT_Rooms!$W:$W, "")))</f>
        <v/>
      </c>
      <c r="I177" s="6">
        <f>IF(A177="","", IF(C177="Doors (leaf)", 0, E177*XLOOKUP(C177,Constants!$A$40:$A$200,Constants!$C$40:$C$200,0,0)*XLOOKUP(H177,Constants!$E$10:$E$30,Constants!$F$10:$F$30)))</f>
        <v/>
      </c>
      <c r="J177" s="6">
        <f>IF(A177="","", IF(C177="Doors (leaf)", 0, E177*XLOOKUP(C177,Constants!$A$40:$A$200,Constants!$D$40:$D$200,0,0)*G177))</f>
        <v/>
      </c>
      <c r="K177" s="6">
        <f>IF(A177="","", IF(C177="Doors (leaf)", 0, IF(F177="Full", E177*XLOOKUP(C177,Constants!$A$40:$A$200,Constants!$E$40:$E$200,0,0), IF(F177="Spot", E177*XLOOKUP(C177,Constants!$A$40:$A$200,Constants!$E$40:$E$200,0,0)*0.35, 0))))</f>
        <v/>
      </c>
      <c r="L177">
        <f>IF(A177="","",0)</f>
        <v/>
      </c>
      <c r="M177" s="6">
        <f>IF(A177="","", SUM(I177:K177))</f>
        <v/>
      </c>
      <c r="N177" s="6">
        <f>IF(A177="","", L177/60)</f>
        <v/>
      </c>
      <c r="O177" s="6">
        <f>IF(A177="","", N177*(IF(=IF('Job Control'!$B$3="","", XLOOKUP('Job Control'!$B$3, INPUT_JobSettings!$A:$A, INPUT_JobSettings!$F:$F, ""))&lt;&gt;"", =IF('Job Control'!$B$3="","", XLOOKUP('Job Control'!$B$3, INPUT_JobSettings!$A:$A, INPUT_JobSettings!$F:$F, "")), $B$6)))</f>
        <v/>
      </c>
      <c r="P177" s="6">
        <f>IF(A177="","", (O177+L177)*(IF(=IF('Job Control'!$B$3="","", XLOOKUP('Job Control'!$B$3, INPUT_JobSettings!$A:$A, INPUT_JobSettings!$G:$G, ""))&lt;&gt;"", =IF('Job Control'!$B$3="","", XLOOKUP('Job Control'!$B$3, INPUT_JobSettings!$A:$A, INPUT_JobSettings!$G:$G, "")), $B$7)))</f>
        <v/>
      </c>
    </row>
    <row r="178">
      <c r="A178" s="6">
        <f>IFERROR(INDEX(FILTER(INPUT_Rooms!$B$4:$B$83, INPUT_Rooms!$A$4:$A$83=$B$4, INPUT_Rooms!$T$4:$T$83="Y"), 34), "")</f>
        <v/>
      </c>
      <c r="B178" s="6">
        <f>IF(A178="","", XLOOKUP(A178, FILTER(INPUT_Rooms!$B$4:$B$83, INPUT_Rooms!$A$4:$A$83=$B$4), FILTER(INPUT_Rooms!$C$4:$C$83, INPUT_Rooms!$A$4:$A$83=$B$4), ""))</f>
        <v/>
      </c>
      <c r="C178" s="6">
        <f>IF(A178="","", CHOOSE(3,"Baseboard","Crown","Window Casing","Door Casing","Doors (leaf)"))</f>
        <v/>
      </c>
      <c r="D178" s="6">
        <f>IF(A178="","", XLOOKUP(C178,Constants!$A$40:$A$200,Constants!$B$40:$B$200,"",0))</f>
        <v/>
      </c>
      <c r="E178" s="6">
        <f>IF(A178="","", IF(C178="Baseboard", IF(XLOOKUP(A178,INPUT_Rooms!$B:$B,INPUT_Rooms!$X:$X,"")="Y", XLOOKUP(A178,INPUT_Rooms!$B:$B,INPUT_Rooms!$AF:$AF,""), 0),IF(C178="Crown", IF(XLOOKUP(A178,INPUT_Rooms!$B:$B,INPUT_Rooms!$Y:$Y,"")="Y", XLOOKUP(A178,INPUT_Rooms!$B:$B,INPUT_Rooms!$AG:$AG,""), 0),IF(C178="Window Casing", IF(XLOOKUP(A178,INPUT_Rooms!$B:$B,INPUT_Rooms!$Z:$Z,"")="Y", SUMPRODUCT((INPUT_Openings!$A:$A=$B$4)*(INPUT_Openings!$B:$B=A178)*(INPUT_Openings!$D:$D)*XLOOKUP(INPUT_Openings!$C:$C,Constants!$A$30:$A$200,Constants!$E$30:$E$200,"",0)*(INPUT_Openings!$E:$E="Window")), 0),IF(C178="Door Casing", IF(XLOOKUP(A178,INPUT_Rooms!$B:$B,INPUT_Rooms!$AA:$AA,"")="Y", SUMPRODUCT((INPUT_Openings!$A:$A=$B$4)*(INPUT_Openings!$B:$B=A178)*(INPUT_Openings!$D:$D)*XLOOKUP(INPUT_Openings!$C:$C,Constants!$A$30:$A$200,Constants!$E$30:$E$200,"",0)*(INPUT_Openings!$E:$E="Door")), 0),IF(C178="Doors (leaf)", IF(XLOOKUP(A178,INPUT_Rooms!$B:$B,INPUT_Rooms!$AB:$AB,"")="Y", SUMPRODUCT((INPUT_Doors!$A:$A=$B$4)*(INPUT_Doors!$B:$B=A178)*(INPUT_Doors!$D:$D)*(INPUT_Doors!$E:$E)), 0), 0))))))</f>
        <v/>
      </c>
      <c r="F178" s="6">
        <f>IF(A178="","", XLOOKUP(A178, INPUT_Rooms!$B:$B, INPUT_Rooms!$U:$U, ""))</f>
        <v/>
      </c>
      <c r="G178" s="6">
        <f>IF(A178="","", XLOOKUP(A178, INPUT_Rooms!$B:$B, INPUT_Rooms!$V:$V, ""))</f>
        <v/>
      </c>
      <c r="H178" s="6">
        <f>IF(A178="","", IF(XLOOKUP(A178, INPUT_Rooms!$B:$B, INPUT_Rooms!$W:$W, "")="", $B$5, XLOOKUP(A178, INPUT_Rooms!$B:$B, INPUT_Rooms!$W:$W, "")))</f>
        <v/>
      </c>
      <c r="I178" s="6">
        <f>IF(A178="","", IF(C178="Doors (leaf)", 0, E178*XLOOKUP(C178,Constants!$A$40:$A$200,Constants!$C$40:$C$200,0,0)*XLOOKUP(H178,Constants!$E$10:$E$30,Constants!$F$10:$F$30)))</f>
        <v/>
      </c>
      <c r="J178" s="6">
        <f>IF(A178="","", IF(C178="Doors (leaf)", 0, E178*XLOOKUP(C178,Constants!$A$40:$A$200,Constants!$D$40:$D$200,0,0)*G178))</f>
        <v/>
      </c>
      <c r="K178" s="6">
        <f>IF(A178="","", IF(C178="Doors (leaf)", 0, IF(F178="Full", E178*XLOOKUP(C178,Constants!$A$40:$A$200,Constants!$E$40:$E$200,0,0), IF(F178="Spot", E178*XLOOKUP(C178,Constants!$A$40:$A$200,Constants!$E$40:$E$200,0,0)*0.35, 0))))</f>
        <v/>
      </c>
      <c r="L178">
        <f>IF(A178="","",0)</f>
        <v/>
      </c>
      <c r="M178" s="6">
        <f>IF(A178="","", SUM(I178:K178))</f>
        <v/>
      </c>
      <c r="N178" s="6">
        <f>IF(A178="","", L178/60)</f>
        <v/>
      </c>
      <c r="O178" s="6">
        <f>IF(A178="","", N178*(IF(=IF('Job Control'!$B$3="","", XLOOKUP('Job Control'!$B$3, INPUT_JobSettings!$A:$A, INPUT_JobSettings!$F:$F, ""))&lt;&gt;"", =IF('Job Control'!$B$3="","", XLOOKUP('Job Control'!$B$3, INPUT_JobSettings!$A:$A, INPUT_JobSettings!$F:$F, "")), $B$6)))</f>
        <v/>
      </c>
      <c r="P178" s="6">
        <f>IF(A178="","", (O178+L178)*(IF(=IF('Job Control'!$B$3="","", XLOOKUP('Job Control'!$B$3, INPUT_JobSettings!$A:$A, INPUT_JobSettings!$G:$G, ""))&lt;&gt;"", =IF('Job Control'!$B$3="","", XLOOKUP('Job Control'!$B$3, INPUT_JobSettings!$A:$A, INPUT_JobSettings!$G:$G, "")), $B$7)))</f>
        <v/>
      </c>
    </row>
    <row r="179">
      <c r="A179" s="6">
        <f>IFERROR(INDEX(FILTER(INPUT_Rooms!$B$4:$B$83, INPUT_Rooms!$A$4:$A$83=$B$4, INPUT_Rooms!$T$4:$T$83="Y"), 34), "")</f>
        <v/>
      </c>
      <c r="B179" s="6">
        <f>IF(A179="","", XLOOKUP(A179, FILTER(INPUT_Rooms!$B$4:$B$83, INPUT_Rooms!$A$4:$A$83=$B$4), FILTER(INPUT_Rooms!$C$4:$C$83, INPUT_Rooms!$A$4:$A$83=$B$4), ""))</f>
        <v/>
      </c>
      <c r="C179" s="6">
        <f>IF(A179="","", CHOOSE(4,"Baseboard","Crown","Window Casing","Door Casing","Doors (leaf)"))</f>
        <v/>
      </c>
      <c r="D179" s="6">
        <f>IF(A179="","", XLOOKUP(C179,Constants!$A$40:$A$200,Constants!$B$40:$B$200,"",0))</f>
        <v/>
      </c>
      <c r="E179" s="6">
        <f>IF(A179="","", IF(C179="Baseboard", IF(XLOOKUP(A179,INPUT_Rooms!$B:$B,INPUT_Rooms!$X:$X,"")="Y", XLOOKUP(A179,INPUT_Rooms!$B:$B,INPUT_Rooms!$AF:$AF,""), 0),IF(C179="Crown", IF(XLOOKUP(A179,INPUT_Rooms!$B:$B,INPUT_Rooms!$Y:$Y,"")="Y", XLOOKUP(A179,INPUT_Rooms!$B:$B,INPUT_Rooms!$AG:$AG,""), 0),IF(C179="Window Casing", IF(XLOOKUP(A179,INPUT_Rooms!$B:$B,INPUT_Rooms!$Z:$Z,"")="Y", SUMPRODUCT((INPUT_Openings!$A:$A=$B$4)*(INPUT_Openings!$B:$B=A179)*(INPUT_Openings!$D:$D)*XLOOKUP(INPUT_Openings!$C:$C,Constants!$A$30:$A$200,Constants!$E$30:$E$200,"",0)*(INPUT_Openings!$E:$E="Window")), 0),IF(C179="Door Casing", IF(XLOOKUP(A179,INPUT_Rooms!$B:$B,INPUT_Rooms!$AA:$AA,"")="Y", SUMPRODUCT((INPUT_Openings!$A:$A=$B$4)*(INPUT_Openings!$B:$B=A179)*(INPUT_Openings!$D:$D)*XLOOKUP(INPUT_Openings!$C:$C,Constants!$A$30:$A$200,Constants!$E$30:$E$200,"",0)*(INPUT_Openings!$E:$E="Door")), 0),IF(C179="Doors (leaf)", IF(XLOOKUP(A179,INPUT_Rooms!$B:$B,INPUT_Rooms!$AB:$AB,"")="Y", SUMPRODUCT((INPUT_Doors!$A:$A=$B$4)*(INPUT_Doors!$B:$B=A179)*(INPUT_Doors!$D:$D)*(INPUT_Doors!$E:$E)), 0), 0))))))</f>
        <v/>
      </c>
      <c r="F179" s="6">
        <f>IF(A179="","", XLOOKUP(A179, INPUT_Rooms!$B:$B, INPUT_Rooms!$U:$U, ""))</f>
        <v/>
      </c>
      <c r="G179" s="6">
        <f>IF(A179="","", XLOOKUP(A179, INPUT_Rooms!$B:$B, INPUT_Rooms!$V:$V, ""))</f>
        <v/>
      </c>
      <c r="H179" s="6">
        <f>IF(A179="","", IF(XLOOKUP(A179, INPUT_Rooms!$B:$B, INPUT_Rooms!$W:$W, "")="", $B$5, XLOOKUP(A179, INPUT_Rooms!$B:$B, INPUT_Rooms!$W:$W, "")))</f>
        <v/>
      </c>
      <c r="I179" s="6">
        <f>IF(A179="","", IF(C179="Doors (leaf)", 0, E179*XLOOKUP(C179,Constants!$A$40:$A$200,Constants!$C$40:$C$200,0,0)*XLOOKUP(H179,Constants!$E$10:$E$30,Constants!$F$10:$F$30)))</f>
        <v/>
      </c>
      <c r="J179" s="6">
        <f>IF(A179="","", IF(C179="Doors (leaf)", 0, E179*XLOOKUP(C179,Constants!$A$40:$A$200,Constants!$D$40:$D$200,0,0)*G179))</f>
        <v/>
      </c>
      <c r="K179" s="6">
        <f>IF(A179="","", IF(C179="Doors (leaf)", 0, IF(F179="Full", E179*XLOOKUP(C179,Constants!$A$40:$A$200,Constants!$E$40:$E$200,0,0), IF(F179="Spot", E179*XLOOKUP(C179,Constants!$A$40:$A$200,Constants!$E$40:$E$200,0,0)*0.35, 0))))</f>
        <v/>
      </c>
      <c r="L179">
        <f>IF(A179="","",0)</f>
        <v/>
      </c>
      <c r="M179" s="6">
        <f>IF(A179="","", SUM(I179:K179))</f>
        <v/>
      </c>
      <c r="N179" s="6">
        <f>IF(A179="","", L179/60)</f>
        <v/>
      </c>
      <c r="O179" s="6">
        <f>IF(A179="","", N179*(IF(=IF('Job Control'!$B$3="","", XLOOKUP('Job Control'!$B$3, INPUT_JobSettings!$A:$A, INPUT_JobSettings!$F:$F, ""))&lt;&gt;"", =IF('Job Control'!$B$3="","", XLOOKUP('Job Control'!$B$3, INPUT_JobSettings!$A:$A, INPUT_JobSettings!$F:$F, "")), $B$6)))</f>
        <v/>
      </c>
      <c r="P179" s="6">
        <f>IF(A179="","", (O179+L179)*(IF(=IF('Job Control'!$B$3="","", XLOOKUP('Job Control'!$B$3, INPUT_JobSettings!$A:$A, INPUT_JobSettings!$G:$G, ""))&lt;&gt;"", =IF('Job Control'!$B$3="","", XLOOKUP('Job Control'!$B$3, INPUT_JobSettings!$A:$A, INPUT_JobSettings!$G:$G, "")), $B$7)))</f>
        <v/>
      </c>
    </row>
    <row r="180">
      <c r="A180" s="6">
        <f>IFERROR(INDEX(FILTER(INPUT_Rooms!$B$4:$B$83, INPUT_Rooms!$A$4:$A$83=$B$4, INPUT_Rooms!$T$4:$T$83="Y"), 34), "")</f>
        <v/>
      </c>
      <c r="B180" s="6">
        <f>IF(A180="","", XLOOKUP(A180, FILTER(INPUT_Rooms!$B$4:$B$83, INPUT_Rooms!$A$4:$A$83=$B$4), FILTER(INPUT_Rooms!$C$4:$C$83, INPUT_Rooms!$A$4:$A$83=$B$4), ""))</f>
        <v/>
      </c>
      <c r="C180" s="6">
        <f>IF(A180="","", CHOOSE(5,"Baseboard","Crown","Window Casing","Door Casing","Doors (leaf)"))</f>
        <v/>
      </c>
      <c r="D180" s="6">
        <f>IF(A180="","", XLOOKUP(C180,Constants!$A$40:$A$200,Constants!$B$40:$B$200,"",0))</f>
        <v/>
      </c>
      <c r="E180" s="6">
        <f>IF(A180="","", IF(C180="Baseboard", IF(XLOOKUP(A180,INPUT_Rooms!$B:$B,INPUT_Rooms!$X:$X,"")="Y", XLOOKUP(A180,INPUT_Rooms!$B:$B,INPUT_Rooms!$AF:$AF,""), 0),IF(C180="Crown", IF(XLOOKUP(A180,INPUT_Rooms!$B:$B,INPUT_Rooms!$Y:$Y,"")="Y", XLOOKUP(A180,INPUT_Rooms!$B:$B,INPUT_Rooms!$AG:$AG,""), 0),IF(C180="Window Casing", IF(XLOOKUP(A180,INPUT_Rooms!$B:$B,INPUT_Rooms!$Z:$Z,"")="Y", SUMPRODUCT((INPUT_Openings!$A:$A=$B$4)*(INPUT_Openings!$B:$B=A180)*(INPUT_Openings!$D:$D)*XLOOKUP(INPUT_Openings!$C:$C,Constants!$A$30:$A$200,Constants!$E$30:$E$200,"",0)*(INPUT_Openings!$E:$E="Window")), 0),IF(C180="Door Casing", IF(XLOOKUP(A180,INPUT_Rooms!$B:$B,INPUT_Rooms!$AA:$AA,"")="Y", SUMPRODUCT((INPUT_Openings!$A:$A=$B$4)*(INPUT_Openings!$B:$B=A180)*(INPUT_Openings!$D:$D)*XLOOKUP(INPUT_Openings!$C:$C,Constants!$A$30:$A$200,Constants!$E$30:$E$200,"",0)*(INPUT_Openings!$E:$E="Door")), 0),IF(C180="Doors (leaf)", IF(XLOOKUP(A180,INPUT_Rooms!$B:$B,INPUT_Rooms!$AB:$AB,"")="Y", SUMPRODUCT((INPUT_Doors!$A:$A=$B$4)*(INPUT_Doors!$B:$B=A180)*(INPUT_Doors!$D:$D)*(INPUT_Doors!$E:$E)), 0), 0))))))</f>
        <v/>
      </c>
      <c r="F180" s="6">
        <f>IF(A180="","", XLOOKUP(A180, INPUT_Rooms!$B:$B, INPUT_Rooms!$U:$U, ""))</f>
        <v/>
      </c>
      <c r="G180" s="6">
        <f>IF(A180="","", XLOOKUP(A180, INPUT_Rooms!$B:$B, INPUT_Rooms!$V:$V, ""))</f>
        <v/>
      </c>
      <c r="H180" s="6">
        <f>IF(A180="","", IF(XLOOKUP(A180, INPUT_Rooms!$B:$B, INPUT_Rooms!$W:$W, "")="", $B$5, XLOOKUP(A180, INPUT_Rooms!$B:$B, INPUT_Rooms!$W:$W, "")))</f>
        <v/>
      </c>
      <c r="I180" s="6">
        <f>IF(A180="","", IF(C180="Doors (leaf)", 0, E180*XLOOKUP(C180,Constants!$A$40:$A$200,Constants!$C$40:$C$200,0,0)*XLOOKUP(H180,Constants!$E$10:$E$30,Constants!$F$10:$F$30)))</f>
        <v/>
      </c>
      <c r="J180" s="6">
        <f>IF(A180="","", IF(C180="Doors (leaf)", 0, E180*XLOOKUP(C180,Constants!$A$40:$A$200,Constants!$D$40:$D$200,0,0)*G180))</f>
        <v/>
      </c>
      <c r="K180" s="6">
        <f>IF(A180="","", IF(C180="Doors (leaf)", 0, IF(F180="Full", E180*XLOOKUP(C180,Constants!$A$40:$A$200,Constants!$E$40:$E$200,0,0), IF(F180="Spot", E180*XLOOKUP(C180,Constants!$A$40:$A$200,Constants!$E$40:$E$200,0,0)*0.35, 0))))</f>
        <v/>
      </c>
      <c r="L180">
        <f>IF(A180="","",0)</f>
        <v/>
      </c>
      <c r="M180" s="6">
        <f>IF(A180="","", SUM(I180:K180))</f>
        <v/>
      </c>
      <c r="N180" s="6">
        <f>IF(A180="","", L180/60)</f>
        <v/>
      </c>
      <c r="O180" s="6">
        <f>IF(A180="","", N180*(IF(=IF('Job Control'!$B$3="","", XLOOKUP('Job Control'!$B$3, INPUT_JobSettings!$A:$A, INPUT_JobSettings!$F:$F, ""))&lt;&gt;"", =IF('Job Control'!$B$3="","", XLOOKUP('Job Control'!$B$3, INPUT_JobSettings!$A:$A, INPUT_JobSettings!$F:$F, "")), $B$6)))</f>
        <v/>
      </c>
      <c r="P180" s="6">
        <f>IF(A180="","", (O180+L180)*(IF(=IF('Job Control'!$B$3="","", XLOOKUP('Job Control'!$B$3, INPUT_JobSettings!$A:$A, INPUT_JobSettings!$G:$G, ""))&lt;&gt;"", =IF('Job Control'!$B$3="","", XLOOKUP('Job Control'!$B$3, INPUT_JobSettings!$A:$A, INPUT_JobSettings!$G:$G, "")), $B$7)))</f>
        <v/>
      </c>
    </row>
    <row r="181">
      <c r="A181" s="6">
        <f>IFERROR(INDEX(FILTER(INPUT_Rooms!$B$4:$B$83, INPUT_Rooms!$A$4:$A$83=$B$4, INPUT_Rooms!$T$4:$T$83="Y"), 35), "")</f>
        <v/>
      </c>
      <c r="B181" s="6">
        <f>IF(A181="","", XLOOKUP(A181, FILTER(INPUT_Rooms!$B$4:$B$83, INPUT_Rooms!$A$4:$A$83=$B$4), FILTER(INPUT_Rooms!$C$4:$C$83, INPUT_Rooms!$A$4:$A$83=$B$4), ""))</f>
        <v/>
      </c>
      <c r="C181" s="6">
        <f>IF(A181="","", CHOOSE(1,"Baseboard","Crown","Window Casing","Door Casing","Doors (leaf)"))</f>
        <v/>
      </c>
      <c r="D181" s="6">
        <f>IF(A181="","", XLOOKUP(C181,Constants!$A$40:$A$200,Constants!$B$40:$B$200,"",0))</f>
        <v/>
      </c>
      <c r="E181" s="6">
        <f>IF(A181="","", IF(C181="Baseboard", IF(XLOOKUP(A181,INPUT_Rooms!$B:$B,INPUT_Rooms!$X:$X,"")="Y", XLOOKUP(A181,INPUT_Rooms!$B:$B,INPUT_Rooms!$AF:$AF,""), 0),IF(C181="Crown", IF(XLOOKUP(A181,INPUT_Rooms!$B:$B,INPUT_Rooms!$Y:$Y,"")="Y", XLOOKUP(A181,INPUT_Rooms!$B:$B,INPUT_Rooms!$AG:$AG,""), 0),IF(C181="Window Casing", IF(XLOOKUP(A181,INPUT_Rooms!$B:$B,INPUT_Rooms!$Z:$Z,"")="Y", SUMPRODUCT((INPUT_Openings!$A:$A=$B$4)*(INPUT_Openings!$B:$B=A181)*(INPUT_Openings!$D:$D)*XLOOKUP(INPUT_Openings!$C:$C,Constants!$A$30:$A$200,Constants!$E$30:$E$200,"",0)*(INPUT_Openings!$E:$E="Window")), 0),IF(C181="Door Casing", IF(XLOOKUP(A181,INPUT_Rooms!$B:$B,INPUT_Rooms!$AA:$AA,"")="Y", SUMPRODUCT((INPUT_Openings!$A:$A=$B$4)*(INPUT_Openings!$B:$B=A181)*(INPUT_Openings!$D:$D)*XLOOKUP(INPUT_Openings!$C:$C,Constants!$A$30:$A$200,Constants!$E$30:$E$200,"",0)*(INPUT_Openings!$E:$E="Door")), 0),IF(C181="Doors (leaf)", IF(XLOOKUP(A181,INPUT_Rooms!$B:$B,INPUT_Rooms!$AB:$AB,"")="Y", SUMPRODUCT((INPUT_Doors!$A:$A=$B$4)*(INPUT_Doors!$B:$B=A181)*(INPUT_Doors!$D:$D)*(INPUT_Doors!$E:$E)), 0), 0))))))</f>
        <v/>
      </c>
      <c r="F181" s="6">
        <f>IF(A181="","", XLOOKUP(A181, INPUT_Rooms!$B:$B, INPUT_Rooms!$U:$U, ""))</f>
        <v/>
      </c>
      <c r="G181" s="6">
        <f>IF(A181="","", XLOOKUP(A181, INPUT_Rooms!$B:$B, INPUT_Rooms!$V:$V, ""))</f>
        <v/>
      </c>
      <c r="H181" s="6">
        <f>IF(A181="","", IF(XLOOKUP(A181, INPUT_Rooms!$B:$B, INPUT_Rooms!$W:$W, "")="", $B$5, XLOOKUP(A181, INPUT_Rooms!$B:$B, INPUT_Rooms!$W:$W, "")))</f>
        <v/>
      </c>
      <c r="I181" s="6">
        <f>IF(A181="","", IF(C181="Doors (leaf)", 0, E181*XLOOKUP(C181,Constants!$A$40:$A$200,Constants!$C$40:$C$200,0,0)*XLOOKUP(H181,Constants!$E$10:$E$30,Constants!$F$10:$F$30)))</f>
        <v/>
      </c>
      <c r="J181" s="6">
        <f>IF(A181="","", IF(C181="Doors (leaf)", 0, E181*XLOOKUP(C181,Constants!$A$40:$A$200,Constants!$D$40:$D$200,0,0)*G181))</f>
        <v/>
      </c>
      <c r="K181" s="6">
        <f>IF(A181="","", IF(C181="Doors (leaf)", 0, IF(F181="Full", E181*XLOOKUP(C181,Constants!$A$40:$A$200,Constants!$E$40:$E$200,0,0), IF(F181="Spot", E181*XLOOKUP(C181,Constants!$A$40:$A$200,Constants!$E$40:$E$200,0,0)*0.35, 0))))</f>
        <v/>
      </c>
      <c r="L181">
        <f>IF(A181="","",0)</f>
        <v/>
      </c>
      <c r="M181" s="6">
        <f>IF(A181="","", SUM(I181:K181))</f>
        <v/>
      </c>
      <c r="N181" s="6">
        <f>IF(A181="","", L181/60)</f>
        <v/>
      </c>
      <c r="O181" s="6">
        <f>IF(A181="","", N181*(IF(=IF('Job Control'!$B$3="","", XLOOKUP('Job Control'!$B$3, INPUT_JobSettings!$A:$A, INPUT_JobSettings!$F:$F, ""))&lt;&gt;"", =IF('Job Control'!$B$3="","", XLOOKUP('Job Control'!$B$3, INPUT_JobSettings!$A:$A, INPUT_JobSettings!$F:$F, "")), $B$6)))</f>
        <v/>
      </c>
      <c r="P181" s="6">
        <f>IF(A181="","", (O181+L181)*(IF(=IF('Job Control'!$B$3="","", XLOOKUP('Job Control'!$B$3, INPUT_JobSettings!$A:$A, INPUT_JobSettings!$G:$G, ""))&lt;&gt;"", =IF('Job Control'!$B$3="","", XLOOKUP('Job Control'!$B$3, INPUT_JobSettings!$A:$A, INPUT_JobSettings!$G:$G, "")), $B$7)))</f>
        <v/>
      </c>
    </row>
    <row r="182">
      <c r="A182" s="6">
        <f>IFERROR(INDEX(FILTER(INPUT_Rooms!$B$4:$B$83, INPUT_Rooms!$A$4:$A$83=$B$4, INPUT_Rooms!$T$4:$T$83="Y"), 35), "")</f>
        <v/>
      </c>
      <c r="B182" s="6">
        <f>IF(A182="","", XLOOKUP(A182, FILTER(INPUT_Rooms!$B$4:$B$83, INPUT_Rooms!$A$4:$A$83=$B$4), FILTER(INPUT_Rooms!$C$4:$C$83, INPUT_Rooms!$A$4:$A$83=$B$4), ""))</f>
        <v/>
      </c>
      <c r="C182" s="6">
        <f>IF(A182="","", CHOOSE(2,"Baseboard","Crown","Window Casing","Door Casing","Doors (leaf)"))</f>
        <v/>
      </c>
      <c r="D182" s="6">
        <f>IF(A182="","", XLOOKUP(C182,Constants!$A$40:$A$200,Constants!$B$40:$B$200,"",0))</f>
        <v/>
      </c>
      <c r="E182" s="6">
        <f>IF(A182="","", IF(C182="Baseboard", IF(XLOOKUP(A182,INPUT_Rooms!$B:$B,INPUT_Rooms!$X:$X,"")="Y", XLOOKUP(A182,INPUT_Rooms!$B:$B,INPUT_Rooms!$AF:$AF,""), 0),IF(C182="Crown", IF(XLOOKUP(A182,INPUT_Rooms!$B:$B,INPUT_Rooms!$Y:$Y,"")="Y", XLOOKUP(A182,INPUT_Rooms!$B:$B,INPUT_Rooms!$AG:$AG,""), 0),IF(C182="Window Casing", IF(XLOOKUP(A182,INPUT_Rooms!$B:$B,INPUT_Rooms!$Z:$Z,"")="Y", SUMPRODUCT((INPUT_Openings!$A:$A=$B$4)*(INPUT_Openings!$B:$B=A182)*(INPUT_Openings!$D:$D)*XLOOKUP(INPUT_Openings!$C:$C,Constants!$A$30:$A$200,Constants!$E$30:$E$200,"",0)*(INPUT_Openings!$E:$E="Window")), 0),IF(C182="Door Casing", IF(XLOOKUP(A182,INPUT_Rooms!$B:$B,INPUT_Rooms!$AA:$AA,"")="Y", SUMPRODUCT((INPUT_Openings!$A:$A=$B$4)*(INPUT_Openings!$B:$B=A182)*(INPUT_Openings!$D:$D)*XLOOKUP(INPUT_Openings!$C:$C,Constants!$A$30:$A$200,Constants!$E$30:$E$200,"",0)*(INPUT_Openings!$E:$E="Door")), 0),IF(C182="Doors (leaf)", IF(XLOOKUP(A182,INPUT_Rooms!$B:$B,INPUT_Rooms!$AB:$AB,"")="Y", SUMPRODUCT((INPUT_Doors!$A:$A=$B$4)*(INPUT_Doors!$B:$B=A182)*(INPUT_Doors!$D:$D)*(INPUT_Doors!$E:$E)), 0), 0))))))</f>
        <v/>
      </c>
      <c r="F182" s="6">
        <f>IF(A182="","", XLOOKUP(A182, INPUT_Rooms!$B:$B, INPUT_Rooms!$U:$U, ""))</f>
        <v/>
      </c>
      <c r="G182" s="6">
        <f>IF(A182="","", XLOOKUP(A182, INPUT_Rooms!$B:$B, INPUT_Rooms!$V:$V, ""))</f>
        <v/>
      </c>
      <c r="H182" s="6">
        <f>IF(A182="","", IF(XLOOKUP(A182, INPUT_Rooms!$B:$B, INPUT_Rooms!$W:$W, "")="", $B$5, XLOOKUP(A182, INPUT_Rooms!$B:$B, INPUT_Rooms!$W:$W, "")))</f>
        <v/>
      </c>
      <c r="I182" s="6">
        <f>IF(A182="","", IF(C182="Doors (leaf)", 0, E182*XLOOKUP(C182,Constants!$A$40:$A$200,Constants!$C$40:$C$200,0,0)*XLOOKUP(H182,Constants!$E$10:$E$30,Constants!$F$10:$F$30)))</f>
        <v/>
      </c>
      <c r="J182" s="6">
        <f>IF(A182="","", IF(C182="Doors (leaf)", 0, E182*XLOOKUP(C182,Constants!$A$40:$A$200,Constants!$D$40:$D$200,0,0)*G182))</f>
        <v/>
      </c>
      <c r="K182" s="6">
        <f>IF(A182="","", IF(C182="Doors (leaf)", 0, IF(F182="Full", E182*XLOOKUP(C182,Constants!$A$40:$A$200,Constants!$E$40:$E$200,0,0), IF(F182="Spot", E182*XLOOKUP(C182,Constants!$A$40:$A$200,Constants!$E$40:$E$200,0,0)*0.35, 0))))</f>
        <v/>
      </c>
      <c r="L182">
        <f>IF(A182="","",0)</f>
        <v/>
      </c>
      <c r="M182" s="6">
        <f>IF(A182="","", SUM(I182:K182))</f>
        <v/>
      </c>
      <c r="N182" s="6">
        <f>IF(A182="","", L182/60)</f>
        <v/>
      </c>
      <c r="O182" s="6">
        <f>IF(A182="","", N182*(IF(=IF('Job Control'!$B$3="","", XLOOKUP('Job Control'!$B$3, INPUT_JobSettings!$A:$A, INPUT_JobSettings!$F:$F, ""))&lt;&gt;"", =IF('Job Control'!$B$3="","", XLOOKUP('Job Control'!$B$3, INPUT_JobSettings!$A:$A, INPUT_JobSettings!$F:$F, "")), $B$6)))</f>
        <v/>
      </c>
      <c r="P182" s="6">
        <f>IF(A182="","", (O182+L182)*(IF(=IF('Job Control'!$B$3="","", XLOOKUP('Job Control'!$B$3, INPUT_JobSettings!$A:$A, INPUT_JobSettings!$G:$G, ""))&lt;&gt;"", =IF('Job Control'!$B$3="","", XLOOKUP('Job Control'!$B$3, INPUT_JobSettings!$A:$A, INPUT_JobSettings!$G:$G, "")), $B$7)))</f>
        <v/>
      </c>
    </row>
    <row r="183">
      <c r="A183" s="6">
        <f>IFERROR(INDEX(FILTER(INPUT_Rooms!$B$4:$B$83, INPUT_Rooms!$A$4:$A$83=$B$4, INPUT_Rooms!$T$4:$T$83="Y"), 35), "")</f>
        <v/>
      </c>
      <c r="B183" s="6">
        <f>IF(A183="","", XLOOKUP(A183, FILTER(INPUT_Rooms!$B$4:$B$83, INPUT_Rooms!$A$4:$A$83=$B$4), FILTER(INPUT_Rooms!$C$4:$C$83, INPUT_Rooms!$A$4:$A$83=$B$4), ""))</f>
        <v/>
      </c>
      <c r="C183" s="6">
        <f>IF(A183="","", CHOOSE(3,"Baseboard","Crown","Window Casing","Door Casing","Doors (leaf)"))</f>
        <v/>
      </c>
      <c r="D183" s="6">
        <f>IF(A183="","", XLOOKUP(C183,Constants!$A$40:$A$200,Constants!$B$40:$B$200,"",0))</f>
        <v/>
      </c>
      <c r="E183" s="6">
        <f>IF(A183="","", IF(C183="Baseboard", IF(XLOOKUP(A183,INPUT_Rooms!$B:$B,INPUT_Rooms!$X:$X,"")="Y", XLOOKUP(A183,INPUT_Rooms!$B:$B,INPUT_Rooms!$AF:$AF,""), 0),IF(C183="Crown", IF(XLOOKUP(A183,INPUT_Rooms!$B:$B,INPUT_Rooms!$Y:$Y,"")="Y", XLOOKUP(A183,INPUT_Rooms!$B:$B,INPUT_Rooms!$AG:$AG,""), 0),IF(C183="Window Casing", IF(XLOOKUP(A183,INPUT_Rooms!$B:$B,INPUT_Rooms!$Z:$Z,"")="Y", SUMPRODUCT((INPUT_Openings!$A:$A=$B$4)*(INPUT_Openings!$B:$B=A183)*(INPUT_Openings!$D:$D)*XLOOKUP(INPUT_Openings!$C:$C,Constants!$A$30:$A$200,Constants!$E$30:$E$200,"",0)*(INPUT_Openings!$E:$E="Window")), 0),IF(C183="Door Casing", IF(XLOOKUP(A183,INPUT_Rooms!$B:$B,INPUT_Rooms!$AA:$AA,"")="Y", SUMPRODUCT((INPUT_Openings!$A:$A=$B$4)*(INPUT_Openings!$B:$B=A183)*(INPUT_Openings!$D:$D)*XLOOKUP(INPUT_Openings!$C:$C,Constants!$A$30:$A$200,Constants!$E$30:$E$200,"",0)*(INPUT_Openings!$E:$E="Door")), 0),IF(C183="Doors (leaf)", IF(XLOOKUP(A183,INPUT_Rooms!$B:$B,INPUT_Rooms!$AB:$AB,"")="Y", SUMPRODUCT((INPUT_Doors!$A:$A=$B$4)*(INPUT_Doors!$B:$B=A183)*(INPUT_Doors!$D:$D)*(INPUT_Doors!$E:$E)), 0), 0))))))</f>
        <v/>
      </c>
      <c r="F183" s="6">
        <f>IF(A183="","", XLOOKUP(A183, INPUT_Rooms!$B:$B, INPUT_Rooms!$U:$U, ""))</f>
        <v/>
      </c>
      <c r="G183" s="6">
        <f>IF(A183="","", XLOOKUP(A183, INPUT_Rooms!$B:$B, INPUT_Rooms!$V:$V, ""))</f>
        <v/>
      </c>
      <c r="H183" s="6">
        <f>IF(A183="","", IF(XLOOKUP(A183, INPUT_Rooms!$B:$B, INPUT_Rooms!$W:$W, "")="", $B$5, XLOOKUP(A183, INPUT_Rooms!$B:$B, INPUT_Rooms!$W:$W, "")))</f>
        <v/>
      </c>
      <c r="I183" s="6">
        <f>IF(A183="","", IF(C183="Doors (leaf)", 0, E183*XLOOKUP(C183,Constants!$A$40:$A$200,Constants!$C$40:$C$200,0,0)*XLOOKUP(H183,Constants!$E$10:$E$30,Constants!$F$10:$F$30)))</f>
        <v/>
      </c>
      <c r="J183" s="6">
        <f>IF(A183="","", IF(C183="Doors (leaf)", 0, E183*XLOOKUP(C183,Constants!$A$40:$A$200,Constants!$D$40:$D$200,0,0)*G183))</f>
        <v/>
      </c>
      <c r="K183" s="6">
        <f>IF(A183="","", IF(C183="Doors (leaf)", 0, IF(F183="Full", E183*XLOOKUP(C183,Constants!$A$40:$A$200,Constants!$E$40:$E$200,0,0), IF(F183="Spot", E183*XLOOKUP(C183,Constants!$A$40:$A$200,Constants!$E$40:$E$200,0,0)*0.35, 0))))</f>
        <v/>
      </c>
      <c r="L183">
        <f>IF(A183="","",0)</f>
        <v/>
      </c>
      <c r="M183" s="6">
        <f>IF(A183="","", SUM(I183:K183))</f>
        <v/>
      </c>
      <c r="N183" s="6">
        <f>IF(A183="","", L183/60)</f>
        <v/>
      </c>
      <c r="O183" s="6">
        <f>IF(A183="","", N183*(IF(=IF('Job Control'!$B$3="","", XLOOKUP('Job Control'!$B$3, INPUT_JobSettings!$A:$A, INPUT_JobSettings!$F:$F, ""))&lt;&gt;"", =IF('Job Control'!$B$3="","", XLOOKUP('Job Control'!$B$3, INPUT_JobSettings!$A:$A, INPUT_JobSettings!$F:$F, "")), $B$6)))</f>
        <v/>
      </c>
      <c r="P183" s="6">
        <f>IF(A183="","", (O183+L183)*(IF(=IF('Job Control'!$B$3="","", XLOOKUP('Job Control'!$B$3, INPUT_JobSettings!$A:$A, INPUT_JobSettings!$G:$G, ""))&lt;&gt;"", =IF('Job Control'!$B$3="","", XLOOKUP('Job Control'!$B$3, INPUT_JobSettings!$A:$A, INPUT_JobSettings!$G:$G, "")), $B$7)))</f>
        <v/>
      </c>
    </row>
    <row r="184">
      <c r="A184" s="6">
        <f>IFERROR(INDEX(FILTER(INPUT_Rooms!$B$4:$B$83, INPUT_Rooms!$A$4:$A$83=$B$4, INPUT_Rooms!$T$4:$T$83="Y"), 35), "")</f>
        <v/>
      </c>
      <c r="B184" s="6">
        <f>IF(A184="","", XLOOKUP(A184, FILTER(INPUT_Rooms!$B$4:$B$83, INPUT_Rooms!$A$4:$A$83=$B$4), FILTER(INPUT_Rooms!$C$4:$C$83, INPUT_Rooms!$A$4:$A$83=$B$4), ""))</f>
        <v/>
      </c>
      <c r="C184" s="6">
        <f>IF(A184="","", CHOOSE(4,"Baseboard","Crown","Window Casing","Door Casing","Doors (leaf)"))</f>
        <v/>
      </c>
      <c r="D184" s="6">
        <f>IF(A184="","", XLOOKUP(C184,Constants!$A$40:$A$200,Constants!$B$40:$B$200,"",0))</f>
        <v/>
      </c>
      <c r="E184" s="6">
        <f>IF(A184="","", IF(C184="Baseboard", IF(XLOOKUP(A184,INPUT_Rooms!$B:$B,INPUT_Rooms!$X:$X,"")="Y", XLOOKUP(A184,INPUT_Rooms!$B:$B,INPUT_Rooms!$AF:$AF,""), 0),IF(C184="Crown", IF(XLOOKUP(A184,INPUT_Rooms!$B:$B,INPUT_Rooms!$Y:$Y,"")="Y", XLOOKUP(A184,INPUT_Rooms!$B:$B,INPUT_Rooms!$AG:$AG,""), 0),IF(C184="Window Casing", IF(XLOOKUP(A184,INPUT_Rooms!$B:$B,INPUT_Rooms!$Z:$Z,"")="Y", SUMPRODUCT((INPUT_Openings!$A:$A=$B$4)*(INPUT_Openings!$B:$B=A184)*(INPUT_Openings!$D:$D)*XLOOKUP(INPUT_Openings!$C:$C,Constants!$A$30:$A$200,Constants!$E$30:$E$200,"",0)*(INPUT_Openings!$E:$E="Window")), 0),IF(C184="Door Casing", IF(XLOOKUP(A184,INPUT_Rooms!$B:$B,INPUT_Rooms!$AA:$AA,"")="Y", SUMPRODUCT((INPUT_Openings!$A:$A=$B$4)*(INPUT_Openings!$B:$B=A184)*(INPUT_Openings!$D:$D)*XLOOKUP(INPUT_Openings!$C:$C,Constants!$A$30:$A$200,Constants!$E$30:$E$200,"",0)*(INPUT_Openings!$E:$E="Door")), 0),IF(C184="Doors (leaf)", IF(XLOOKUP(A184,INPUT_Rooms!$B:$B,INPUT_Rooms!$AB:$AB,"")="Y", SUMPRODUCT((INPUT_Doors!$A:$A=$B$4)*(INPUT_Doors!$B:$B=A184)*(INPUT_Doors!$D:$D)*(INPUT_Doors!$E:$E)), 0), 0))))))</f>
        <v/>
      </c>
      <c r="F184" s="6">
        <f>IF(A184="","", XLOOKUP(A184, INPUT_Rooms!$B:$B, INPUT_Rooms!$U:$U, ""))</f>
        <v/>
      </c>
      <c r="G184" s="6">
        <f>IF(A184="","", XLOOKUP(A184, INPUT_Rooms!$B:$B, INPUT_Rooms!$V:$V, ""))</f>
        <v/>
      </c>
      <c r="H184" s="6">
        <f>IF(A184="","", IF(XLOOKUP(A184, INPUT_Rooms!$B:$B, INPUT_Rooms!$W:$W, "")="", $B$5, XLOOKUP(A184, INPUT_Rooms!$B:$B, INPUT_Rooms!$W:$W, "")))</f>
        <v/>
      </c>
      <c r="I184" s="6">
        <f>IF(A184="","", IF(C184="Doors (leaf)", 0, E184*XLOOKUP(C184,Constants!$A$40:$A$200,Constants!$C$40:$C$200,0,0)*XLOOKUP(H184,Constants!$E$10:$E$30,Constants!$F$10:$F$30)))</f>
        <v/>
      </c>
      <c r="J184" s="6">
        <f>IF(A184="","", IF(C184="Doors (leaf)", 0, E184*XLOOKUP(C184,Constants!$A$40:$A$200,Constants!$D$40:$D$200,0,0)*G184))</f>
        <v/>
      </c>
      <c r="K184" s="6">
        <f>IF(A184="","", IF(C184="Doors (leaf)", 0, IF(F184="Full", E184*XLOOKUP(C184,Constants!$A$40:$A$200,Constants!$E$40:$E$200,0,0), IF(F184="Spot", E184*XLOOKUP(C184,Constants!$A$40:$A$200,Constants!$E$40:$E$200,0,0)*0.35, 0))))</f>
        <v/>
      </c>
      <c r="L184">
        <f>IF(A184="","",0)</f>
        <v/>
      </c>
      <c r="M184" s="6">
        <f>IF(A184="","", SUM(I184:K184))</f>
        <v/>
      </c>
      <c r="N184" s="6">
        <f>IF(A184="","", L184/60)</f>
        <v/>
      </c>
      <c r="O184" s="6">
        <f>IF(A184="","", N184*(IF(=IF('Job Control'!$B$3="","", XLOOKUP('Job Control'!$B$3, INPUT_JobSettings!$A:$A, INPUT_JobSettings!$F:$F, ""))&lt;&gt;"", =IF('Job Control'!$B$3="","", XLOOKUP('Job Control'!$B$3, INPUT_JobSettings!$A:$A, INPUT_JobSettings!$F:$F, "")), $B$6)))</f>
        <v/>
      </c>
      <c r="P184" s="6">
        <f>IF(A184="","", (O184+L184)*(IF(=IF('Job Control'!$B$3="","", XLOOKUP('Job Control'!$B$3, INPUT_JobSettings!$A:$A, INPUT_JobSettings!$G:$G, ""))&lt;&gt;"", =IF('Job Control'!$B$3="","", XLOOKUP('Job Control'!$B$3, INPUT_JobSettings!$A:$A, INPUT_JobSettings!$G:$G, "")), $B$7)))</f>
        <v/>
      </c>
    </row>
    <row r="185">
      <c r="A185" s="6">
        <f>IFERROR(INDEX(FILTER(INPUT_Rooms!$B$4:$B$83, INPUT_Rooms!$A$4:$A$83=$B$4, INPUT_Rooms!$T$4:$T$83="Y"), 35), "")</f>
        <v/>
      </c>
      <c r="B185" s="6">
        <f>IF(A185="","", XLOOKUP(A185, FILTER(INPUT_Rooms!$B$4:$B$83, INPUT_Rooms!$A$4:$A$83=$B$4), FILTER(INPUT_Rooms!$C$4:$C$83, INPUT_Rooms!$A$4:$A$83=$B$4), ""))</f>
        <v/>
      </c>
      <c r="C185" s="6">
        <f>IF(A185="","", CHOOSE(5,"Baseboard","Crown","Window Casing","Door Casing","Doors (leaf)"))</f>
        <v/>
      </c>
      <c r="D185" s="6">
        <f>IF(A185="","", XLOOKUP(C185,Constants!$A$40:$A$200,Constants!$B$40:$B$200,"",0))</f>
        <v/>
      </c>
      <c r="E185" s="6">
        <f>IF(A185="","", IF(C185="Baseboard", IF(XLOOKUP(A185,INPUT_Rooms!$B:$B,INPUT_Rooms!$X:$X,"")="Y", XLOOKUP(A185,INPUT_Rooms!$B:$B,INPUT_Rooms!$AF:$AF,""), 0),IF(C185="Crown", IF(XLOOKUP(A185,INPUT_Rooms!$B:$B,INPUT_Rooms!$Y:$Y,"")="Y", XLOOKUP(A185,INPUT_Rooms!$B:$B,INPUT_Rooms!$AG:$AG,""), 0),IF(C185="Window Casing", IF(XLOOKUP(A185,INPUT_Rooms!$B:$B,INPUT_Rooms!$Z:$Z,"")="Y", SUMPRODUCT((INPUT_Openings!$A:$A=$B$4)*(INPUT_Openings!$B:$B=A185)*(INPUT_Openings!$D:$D)*XLOOKUP(INPUT_Openings!$C:$C,Constants!$A$30:$A$200,Constants!$E$30:$E$200,"",0)*(INPUT_Openings!$E:$E="Window")), 0),IF(C185="Door Casing", IF(XLOOKUP(A185,INPUT_Rooms!$B:$B,INPUT_Rooms!$AA:$AA,"")="Y", SUMPRODUCT((INPUT_Openings!$A:$A=$B$4)*(INPUT_Openings!$B:$B=A185)*(INPUT_Openings!$D:$D)*XLOOKUP(INPUT_Openings!$C:$C,Constants!$A$30:$A$200,Constants!$E$30:$E$200,"",0)*(INPUT_Openings!$E:$E="Door")), 0),IF(C185="Doors (leaf)", IF(XLOOKUP(A185,INPUT_Rooms!$B:$B,INPUT_Rooms!$AB:$AB,"")="Y", SUMPRODUCT((INPUT_Doors!$A:$A=$B$4)*(INPUT_Doors!$B:$B=A185)*(INPUT_Doors!$D:$D)*(INPUT_Doors!$E:$E)), 0), 0))))))</f>
        <v/>
      </c>
      <c r="F185" s="6">
        <f>IF(A185="","", XLOOKUP(A185, INPUT_Rooms!$B:$B, INPUT_Rooms!$U:$U, ""))</f>
        <v/>
      </c>
      <c r="G185" s="6">
        <f>IF(A185="","", XLOOKUP(A185, INPUT_Rooms!$B:$B, INPUT_Rooms!$V:$V, ""))</f>
        <v/>
      </c>
      <c r="H185" s="6">
        <f>IF(A185="","", IF(XLOOKUP(A185, INPUT_Rooms!$B:$B, INPUT_Rooms!$W:$W, "")="", $B$5, XLOOKUP(A185, INPUT_Rooms!$B:$B, INPUT_Rooms!$W:$W, "")))</f>
        <v/>
      </c>
      <c r="I185" s="6">
        <f>IF(A185="","", IF(C185="Doors (leaf)", 0, E185*XLOOKUP(C185,Constants!$A$40:$A$200,Constants!$C$40:$C$200,0,0)*XLOOKUP(H185,Constants!$E$10:$E$30,Constants!$F$10:$F$30)))</f>
        <v/>
      </c>
      <c r="J185" s="6">
        <f>IF(A185="","", IF(C185="Doors (leaf)", 0, E185*XLOOKUP(C185,Constants!$A$40:$A$200,Constants!$D$40:$D$200,0,0)*G185))</f>
        <v/>
      </c>
      <c r="K185" s="6">
        <f>IF(A185="","", IF(C185="Doors (leaf)", 0, IF(F185="Full", E185*XLOOKUP(C185,Constants!$A$40:$A$200,Constants!$E$40:$E$200,0,0), IF(F185="Spot", E185*XLOOKUP(C185,Constants!$A$40:$A$200,Constants!$E$40:$E$200,0,0)*0.35, 0))))</f>
        <v/>
      </c>
      <c r="L185">
        <f>IF(A185="","",0)</f>
        <v/>
      </c>
      <c r="M185" s="6">
        <f>IF(A185="","", SUM(I185:K185))</f>
        <v/>
      </c>
      <c r="N185" s="6">
        <f>IF(A185="","", L185/60)</f>
        <v/>
      </c>
      <c r="O185" s="6">
        <f>IF(A185="","", N185*(IF(=IF('Job Control'!$B$3="","", XLOOKUP('Job Control'!$B$3, INPUT_JobSettings!$A:$A, INPUT_JobSettings!$F:$F, ""))&lt;&gt;"", =IF('Job Control'!$B$3="","", XLOOKUP('Job Control'!$B$3, INPUT_JobSettings!$A:$A, INPUT_JobSettings!$F:$F, "")), $B$6)))</f>
        <v/>
      </c>
      <c r="P185" s="6">
        <f>IF(A185="","", (O185+L185)*(IF(=IF('Job Control'!$B$3="","", XLOOKUP('Job Control'!$B$3, INPUT_JobSettings!$A:$A, INPUT_JobSettings!$G:$G, ""))&lt;&gt;"", =IF('Job Control'!$B$3="","", XLOOKUP('Job Control'!$B$3, INPUT_JobSettings!$A:$A, INPUT_JobSettings!$G:$G, "")), $B$7)))</f>
        <v/>
      </c>
    </row>
    <row r="186">
      <c r="A186" s="6">
        <f>IFERROR(INDEX(FILTER(INPUT_Rooms!$B$4:$B$83, INPUT_Rooms!$A$4:$A$83=$B$4, INPUT_Rooms!$T$4:$T$83="Y"), 36), "")</f>
        <v/>
      </c>
      <c r="B186" s="6">
        <f>IF(A186="","", XLOOKUP(A186, FILTER(INPUT_Rooms!$B$4:$B$83, INPUT_Rooms!$A$4:$A$83=$B$4), FILTER(INPUT_Rooms!$C$4:$C$83, INPUT_Rooms!$A$4:$A$83=$B$4), ""))</f>
        <v/>
      </c>
      <c r="C186" s="6">
        <f>IF(A186="","", CHOOSE(1,"Baseboard","Crown","Window Casing","Door Casing","Doors (leaf)"))</f>
        <v/>
      </c>
      <c r="D186" s="6">
        <f>IF(A186="","", XLOOKUP(C186,Constants!$A$40:$A$200,Constants!$B$40:$B$200,"",0))</f>
        <v/>
      </c>
      <c r="E186" s="6">
        <f>IF(A186="","", IF(C186="Baseboard", IF(XLOOKUP(A186,INPUT_Rooms!$B:$B,INPUT_Rooms!$X:$X,"")="Y", XLOOKUP(A186,INPUT_Rooms!$B:$B,INPUT_Rooms!$AF:$AF,""), 0),IF(C186="Crown", IF(XLOOKUP(A186,INPUT_Rooms!$B:$B,INPUT_Rooms!$Y:$Y,"")="Y", XLOOKUP(A186,INPUT_Rooms!$B:$B,INPUT_Rooms!$AG:$AG,""), 0),IF(C186="Window Casing", IF(XLOOKUP(A186,INPUT_Rooms!$B:$B,INPUT_Rooms!$Z:$Z,"")="Y", SUMPRODUCT((INPUT_Openings!$A:$A=$B$4)*(INPUT_Openings!$B:$B=A186)*(INPUT_Openings!$D:$D)*XLOOKUP(INPUT_Openings!$C:$C,Constants!$A$30:$A$200,Constants!$E$30:$E$200,"",0)*(INPUT_Openings!$E:$E="Window")), 0),IF(C186="Door Casing", IF(XLOOKUP(A186,INPUT_Rooms!$B:$B,INPUT_Rooms!$AA:$AA,"")="Y", SUMPRODUCT((INPUT_Openings!$A:$A=$B$4)*(INPUT_Openings!$B:$B=A186)*(INPUT_Openings!$D:$D)*XLOOKUP(INPUT_Openings!$C:$C,Constants!$A$30:$A$200,Constants!$E$30:$E$200,"",0)*(INPUT_Openings!$E:$E="Door")), 0),IF(C186="Doors (leaf)", IF(XLOOKUP(A186,INPUT_Rooms!$B:$B,INPUT_Rooms!$AB:$AB,"")="Y", SUMPRODUCT((INPUT_Doors!$A:$A=$B$4)*(INPUT_Doors!$B:$B=A186)*(INPUT_Doors!$D:$D)*(INPUT_Doors!$E:$E)), 0), 0))))))</f>
        <v/>
      </c>
      <c r="F186" s="6">
        <f>IF(A186="","", XLOOKUP(A186, INPUT_Rooms!$B:$B, INPUT_Rooms!$U:$U, ""))</f>
        <v/>
      </c>
      <c r="G186" s="6">
        <f>IF(A186="","", XLOOKUP(A186, INPUT_Rooms!$B:$B, INPUT_Rooms!$V:$V, ""))</f>
        <v/>
      </c>
      <c r="H186" s="6">
        <f>IF(A186="","", IF(XLOOKUP(A186, INPUT_Rooms!$B:$B, INPUT_Rooms!$W:$W, "")="", $B$5, XLOOKUP(A186, INPUT_Rooms!$B:$B, INPUT_Rooms!$W:$W, "")))</f>
        <v/>
      </c>
      <c r="I186" s="6">
        <f>IF(A186="","", IF(C186="Doors (leaf)", 0, E186*XLOOKUP(C186,Constants!$A$40:$A$200,Constants!$C$40:$C$200,0,0)*XLOOKUP(H186,Constants!$E$10:$E$30,Constants!$F$10:$F$30)))</f>
        <v/>
      </c>
      <c r="J186" s="6">
        <f>IF(A186="","", IF(C186="Doors (leaf)", 0, E186*XLOOKUP(C186,Constants!$A$40:$A$200,Constants!$D$40:$D$200,0,0)*G186))</f>
        <v/>
      </c>
      <c r="K186" s="6">
        <f>IF(A186="","", IF(C186="Doors (leaf)", 0, IF(F186="Full", E186*XLOOKUP(C186,Constants!$A$40:$A$200,Constants!$E$40:$E$200,0,0), IF(F186="Spot", E186*XLOOKUP(C186,Constants!$A$40:$A$200,Constants!$E$40:$E$200,0,0)*0.35, 0))))</f>
        <v/>
      </c>
      <c r="L186">
        <f>IF(A186="","",0)</f>
        <v/>
      </c>
      <c r="M186" s="6">
        <f>IF(A186="","", SUM(I186:K186))</f>
        <v/>
      </c>
      <c r="N186" s="6">
        <f>IF(A186="","", L186/60)</f>
        <v/>
      </c>
      <c r="O186" s="6">
        <f>IF(A186="","", N186*(IF(=IF('Job Control'!$B$3="","", XLOOKUP('Job Control'!$B$3, INPUT_JobSettings!$A:$A, INPUT_JobSettings!$F:$F, ""))&lt;&gt;"", =IF('Job Control'!$B$3="","", XLOOKUP('Job Control'!$B$3, INPUT_JobSettings!$A:$A, INPUT_JobSettings!$F:$F, "")), $B$6)))</f>
        <v/>
      </c>
      <c r="P186" s="6">
        <f>IF(A186="","", (O186+L186)*(IF(=IF('Job Control'!$B$3="","", XLOOKUP('Job Control'!$B$3, INPUT_JobSettings!$A:$A, INPUT_JobSettings!$G:$G, ""))&lt;&gt;"", =IF('Job Control'!$B$3="","", XLOOKUP('Job Control'!$B$3, INPUT_JobSettings!$A:$A, INPUT_JobSettings!$G:$G, "")), $B$7)))</f>
        <v/>
      </c>
    </row>
    <row r="187">
      <c r="A187" s="6">
        <f>IFERROR(INDEX(FILTER(INPUT_Rooms!$B$4:$B$83, INPUT_Rooms!$A$4:$A$83=$B$4, INPUT_Rooms!$T$4:$T$83="Y"), 36), "")</f>
        <v/>
      </c>
      <c r="B187" s="6">
        <f>IF(A187="","", XLOOKUP(A187, FILTER(INPUT_Rooms!$B$4:$B$83, INPUT_Rooms!$A$4:$A$83=$B$4), FILTER(INPUT_Rooms!$C$4:$C$83, INPUT_Rooms!$A$4:$A$83=$B$4), ""))</f>
        <v/>
      </c>
      <c r="C187" s="6">
        <f>IF(A187="","", CHOOSE(2,"Baseboard","Crown","Window Casing","Door Casing","Doors (leaf)"))</f>
        <v/>
      </c>
      <c r="D187" s="6">
        <f>IF(A187="","", XLOOKUP(C187,Constants!$A$40:$A$200,Constants!$B$40:$B$200,"",0))</f>
        <v/>
      </c>
      <c r="E187" s="6">
        <f>IF(A187="","", IF(C187="Baseboard", IF(XLOOKUP(A187,INPUT_Rooms!$B:$B,INPUT_Rooms!$X:$X,"")="Y", XLOOKUP(A187,INPUT_Rooms!$B:$B,INPUT_Rooms!$AF:$AF,""), 0),IF(C187="Crown", IF(XLOOKUP(A187,INPUT_Rooms!$B:$B,INPUT_Rooms!$Y:$Y,"")="Y", XLOOKUP(A187,INPUT_Rooms!$B:$B,INPUT_Rooms!$AG:$AG,""), 0),IF(C187="Window Casing", IF(XLOOKUP(A187,INPUT_Rooms!$B:$B,INPUT_Rooms!$Z:$Z,"")="Y", SUMPRODUCT((INPUT_Openings!$A:$A=$B$4)*(INPUT_Openings!$B:$B=A187)*(INPUT_Openings!$D:$D)*XLOOKUP(INPUT_Openings!$C:$C,Constants!$A$30:$A$200,Constants!$E$30:$E$200,"",0)*(INPUT_Openings!$E:$E="Window")), 0),IF(C187="Door Casing", IF(XLOOKUP(A187,INPUT_Rooms!$B:$B,INPUT_Rooms!$AA:$AA,"")="Y", SUMPRODUCT((INPUT_Openings!$A:$A=$B$4)*(INPUT_Openings!$B:$B=A187)*(INPUT_Openings!$D:$D)*XLOOKUP(INPUT_Openings!$C:$C,Constants!$A$30:$A$200,Constants!$E$30:$E$200,"",0)*(INPUT_Openings!$E:$E="Door")), 0),IF(C187="Doors (leaf)", IF(XLOOKUP(A187,INPUT_Rooms!$B:$B,INPUT_Rooms!$AB:$AB,"")="Y", SUMPRODUCT((INPUT_Doors!$A:$A=$B$4)*(INPUT_Doors!$B:$B=A187)*(INPUT_Doors!$D:$D)*(INPUT_Doors!$E:$E)), 0), 0))))))</f>
        <v/>
      </c>
      <c r="F187" s="6">
        <f>IF(A187="","", XLOOKUP(A187, INPUT_Rooms!$B:$B, INPUT_Rooms!$U:$U, ""))</f>
        <v/>
      </c>
      <c r="G187" s="6">
        <f>IF(A187="","", XLOOKUP(A187, INPUT_Rooms!$B:$B, INPUT_Rooms!$V:$V, ""))</f>
        <v/>
      </c>
      <c r="H187" s="6">
        <f>IF(A187="","", IF(XLOOKUP(A187, INPUT_Rooms!$B:$B, INPUT_Rooms!$W:$W, "")="", $B$5, XLOOKUP(A187, INPUT_Rooms!$B:$B, INPUT_Rooms!$W:$W, "")))</f>
        <v/>
      </c>
      <c r="I187" s="6">
        <f>IF(A187="","", IF(C187="Doors (leaf)", 0, E187*XLOOKUP(C187,Constants!$A$40:$A$200,Constants!$C$40:$C$200,0,0)*XLOOKUP(H187,Constants!$E$10:$E$30,Constants!$F$10:$F$30)))</f>
        <v/>
      </c>
      <c r="J187" s="6">
        <f>IF(A187="","", IF(C187="Doors (leaf)", 0, E187*XLOOKUP(C187,Constants!$A$40:$A$200,Constants!$D$40:$D$200,0,0)*G187))</f>
        <v/>
      </c>
      <c r="K187" s="6">
        <f>IF(A187="","", IF(C187="Doors (leaf)", 0, IF(F187="Full", E187*XLOOKUP(C187,Constants!$A$40:$A$200,Constants!$E$40:$E$200,0,0), IF(F187="Spot", E187*XLOOKUP(C187,Constants!$A$40:$A$200,Constants!$E$40:$E$200,0,0)*0.35, 0))))</f>
        <v/>
      </c>
      <c r="L187">
        <f>IF(A187="","",0)</f>
        <v/>
      </c>
      <c r="M187" s="6">
        <f>IF(A187="","", SUM(I187:K187))</f>
        <v/>
      </c>
      <c r="N187" s="6">
        <f>IF(A187="","", L187/60)</f>
        <v/>
      </c>
      <c r="O187" s="6">
        <f>IF(A187="","", N187*(IF(=IF('Job Control'!$B$3="","", XLOOKUP('Job Control'!$B$3, INPUT_JobSettings!$A:$A, INPUT_JobSettings!$F:$F, ""))&lt;&gt;"", =IF('Job Control'!$B$3="","", XLOOKUP('Job Control'!$B$3, INPUT_JobSettings!$A:$A, INPUT_JobSettings!$F:$F, "")), $B$6)))</f>
        <v/>
      </c>
      <c r="P187" s="6">
        <f>IF(A187="","", (O187+L187)*(IF(=IF('Job Control'!$B$3="","", XLOOKUP('Job Control'!$B$3, INPUT_JobSettings!$A:$A, INPUT_JobSettings!$G:$G, ""))&lt;&gt;"", =IF('Job Control'!$B$3="","", XLOOKUP('Job Control'!$B$3, INPUT_JobSettings!$A:$A, INPUT_JobSettings!$G:$G, "")), $B$7)))</f>
        <v/>
      </c>
    </row>
    <row r="188">
      <c r="A188" s="6">
        <f>IFERROR(INDEX(FILTER(INPUT_Rooms!$B$4:$B$83, INPUT_Rooms!$A$4:$A$83=$B$4, INPUT_Rooms!$T$4:$T$83="Y"), 36), "")</f>
        <v/>
      </c>
      <c r="B188" s="6">
        <f>IF(A188="","", XLOOKUP(A188, FILTER(INPUT_Rooms!$B$4:$B$83, INPUT_Rooms!$A$4:$A$83=$B$4), FILTER(INPUT_Rooms!$C$4:$C$83, INPUT_Rooms!$A$4:$A$83=$B$4), ""))</f>
        <v/>
      </c>
      <c r="C188" s="6">
        <f>IF(A188="","", CHOOSE(3,"Baseboard","Crown","Window Casing","Door Casing","Doors (leaf)"))</f>
        <v/>
      </c>
      <c r="D188" s="6">
        <f>IF(A188="","", XLOOKUP(C188,Constants!$A$40:$A$200,Constants!$B$40:$B$200,"",0))</f>
        <v/>
      </c>
      <c r="E188" s="6">
        <f>IF(A188="","", IF(C188="Baseboard", IF(XLOOKUP(A188,INPUT_Rooms!$B:$B,INPUT_Rooms!$X:$X,"")="Y", XLOOKUP(A188,INPUT_Rooms!$B:$B,INPUT_Rooms!$AF:$AF,""), 0),IF(C188="Crown", IF(XLOOKUP(A188,INPUT_Rooms!$B:$B,INPUT_Rooms!$Y:$Y,"")="Y", XLOOKUP(A188,INPUT_Rooms!$B:$B,INPUT_Rooms!$AG:$AG,""), 0),IF(C188="Window Casing", IF(XLOOKUP(A188,INPUT_Rooms!$B:$B,INPUT_Rooms!$Z:$Z,"")="Y", SUMPRODUCT((INPUT_Openings!$A:$A=$B$4)*(INPUT_Openings!$B:$B=A188)*(INPUT_Openings!$D:$D)*XLOOKUP(INPUT_Openings!$C:$C,Constants!$A$30:$A$200,Constants!$E$30:$E$200,"",0)*(INPUT_Openings!$E:$E="Window")), 0),IF(C188="Door Casing", IF(XLOOKUP(A188,INPUT_Rooms!$B:$B,INPUT_Rooms!$AA:$AA,"")="Y", SUMPRODUCT((INPUT_Openings!$A:$A=$B$4)*(INPUT_Openings!$B:$B=A188)*(INPUT_Openings!$D:$D)*XLOOKUP(INPUT_Openings!$C:$C,Constants!$A$30:$A$200,Constants!$E$30:$E$200,"",0)*(INPUT_Openings!$E:$E="Door")), 0),IF(C188="Doors (leaf)", IF(XLOOKUP(A188,INPUT_Rooms!$B:$B,INPUT_Rooms!$AB:$AB,"")="Y", SUMPRODUCT((INPUT_Doors!$A:$A=$B$4)*(INPUT_Doors!$B:$B=A188)*(INPUT_Doors!$D:$D)*(INPUT_Doors!$E:$E)), 0), 0))))))</f>
        <v/>
      </c>
      <c r="F188" s="6">
        <f>IF(A188="","", XLOOKUP(A188, INPUT_Rooms!$B:$B, INPUT_Rooms!$U:$U, ""))</f>
        <v/>
      </c>
      <c r="G188" s="6">
        <f>IF(A188="","", XLOOKUP(A188, INPUT_Rooms!$B:$B, INPUT_Rooms!$V:$V, ""))</f>
        <v/>
      </c>
      <c r="H188" s="6">
        <f>IF(A188="","", IF(XLOOKUP(A188, INPUT_Rooms!$B:$B, INPUT_Rooms!$W:$W, "")="", $B$5, XLOOKUP(A188, INPUT_Rooms!$B:$B, INPUT_Rooms!$W:$W, "")))</f>
        <v/>
      </c>
      <c r="I188" s="6">
        <f>IF(A188="","", IF(C188="Doors (leaf)", 0, E188*XLOOKUP(C188,Constants!$A$40:$A$200,Constants!$C$40:$C$200,0,0)*XLOOKUP(H188,Constants!$E$10:$E$30,Constants!$F$10:$F$30)))</f>
        <v/>
      </c>
      <c r="J188" s="6">
        <f>IF(A188="","", IF(C188="Doors (leaf)", 0, E188*XLOOKUP(C188,Constants!$A$40:$A$200,Constants!$D$40:$D$200,0,0)*G188))</f>
        <v/>
      </c>
      <c r="K188" s="6">
        <f>IF(A188="","", IF(C188="Doors (leaf)", 0, IF(F188="Full", E188*XLOOKUP(C188,Constants!$A$40:$A$200,Constants!$E$40:$E$200,0,0), IF(F188="Spot", E188*XLOOKUP(C188,Constants!$A$40:$A$200,Constants!$E$40:$E$200,0,0)*0.35, 0))))</f>
        <v/>
      </c>
      <c r="L188">
        <f>IF(A188="","",0)</f>
        <v/>
      </c>
      <c r="M188" s="6">
        <f>IF(A188="","", SUM(I188:K188))</f>
        <v/>
      </c>
      <c r="N188" s="6">
        <f>IF(A188="","", L188/60)</f>
        <v/>
      </c>
      <c r="O188" s="6">
        <f>IF(A188="","", N188*(IF(=IF('Job Control'!$B$3="","", XLOOKUP('Job Control'!$B$3, INPUT_JobSettings!$A:$A, INPUT_JobSettings!$F:$F, ""))&lt;&gt;"", =IF('Job Control'!$B$3="","", XLOOKUP('Job Control'!$B$3, INPUT_JobSettings!$A:$A, INPUT_JobSettings!$F:$F, "")), $B$6)))</f>
        <v/>
      </c>
      <c r="P188" s="6">
        <f>IF(A188="","", (O188+L188)*(IF(=IF('Job Control'!$B$3="","", XLOOKUP('Job Control'!$B$3, INPUT_JobSettings!$A:$A, INPUT_JobSettings!$G:$G, ""))&lt;&gt;"", =IF('Job Control'!$B$3="","", XLOOKUP('Job Control'!$B$3, INPUT_JobSettings!$A:$A, INPUT_JobSettings!$G:$G, "")), $B$7)))</f>
        <v/>
      </c>
    </row>
    <row r="189">
      <c r="A189" s="6">
        <f>IFERROR(INDEX(FILTER(INPUT_Rooms!$B$4:$B$83, INPUT_Rooms!$A$4:$A$83=$B$4, INPUT_Rooms!$T$4:$T$83="Y"), 36), "")</f>
        <v/>
      </c>
      <c r="B189" s="6">
        <f>IF(A189="","", XLOOKUP(A189, FILTER(INPUT_Rooms!$B$4:$B$83, INPUT_Rooms!$A$4:$A$83=$B$4), FILTER(INPUT_Rooms!$C$4:$C$83, INPUT_Rooms!$A$4:$A$83=$B$4), ""))</f>
        <v/>
      </c>
      <c r="C189" s="6">
        <f>IF(A189="","", CHOOSE(4,"Baseboard","Crown","Window Casing","Door Casing","Doors (leaf)"))</f>
        <v/>
      </c>
      <c r="D189" s="6">
        <f>IF(A189="","", XLOOKUP(C189,Constants!$A$40:$A$200,Constants!$B$40:$B$200,"",0))</f>
        <v/>
      </c>
      <c r="E189" s="6">
        <f>IF(A189="","", IF(C189="Baseboard", IF(XLOOKUP(A189,INPUT_Rooms!$B:$B,INPUT_Rooms!$X:$X,"")="Y", XLOOKUP(A189,INPUT_Rooms!$B:$B,INPUT_Rooms!$AF:$AF,""), 0),IF(C189="Crown", IF(XLOOKUP(A189,INPUT_Rooms!$B:$B,INPUT_Rooms!$Y:$Y,"")="Y", XLOOKUP(A189,INPUT_Rooms!$B:$B,INPUT_Rooms!$AG:$AG,""), 0),IF(C189="Window Casing", IF(XLOOKUP(A189,INPUT_Rooms!$B:$B,INPUT_Rooms!$Z:$Z,"")="Y", SUMPRODUCT((INPUT_Openings!$A:$A=$B$4)*(INPUT_Openings!$B:$B=A189)*(INPUT_Openings!$D:$D)*XLOOKUP(INPUT_Openings!$C:$C,Constants!$A$30:$A$200,Constants!$E$30:$E$200,"",0)*(INPUT_Openings!$E:$E="Window")), 0),IF(C189="Door Casing", IF(XLOOKUP(A189,INPUT_Rooms!$B:$B,INPUT_Rooms!$AA:$AA,"")="Y", SUMPRODUCT((INPUT_Openings!$A:$A=$B$4)*(INPUT_Openings!$B:$B=A189)*(INPUT_Openings!$D:$D)*XLOOKUP(INPUT_Openings!$C:$C,Constants!$A$30:$A$200,Constants!$E$30:$E$200,"",0)*(INPUT_Openings!$E:$E="Door")), 0),IF(C189="Doors (leaf)", IF(XLOOKUP(A189,INPUT_Rooms!$B:$B,INPUT_Rooms!$AB:$AB,"")="Y", SUMPRODUCT((INPUT_Doors!$A:$A=$B$4)*(INPUT_Doors!$B:$B=A189)*(INPUT_Doors!$D:$D)*(INPUT_Doors!$E:$E)), 0), 0))))))</f>
        <v/>
      </c>
      <c r="F189" s="6">
        <f>IF(A189="","", XLOOKUP(A189, INPUT_Rooms!$B:$B, INPUT_Rooms!$U:$U, ""))</f>
        <v/>
      </c>
      <c r="G189" s="6">
        <f>IF(A189="","", XLOOKUP(A189, INPUT_Rooms!$B:$B, INPUT_Rooms!$V:$V, ""))</f>
        <v/>
      </c>
      <c r="H189" s="6">
        <f>IF(A189="","", IF(XLOOKUP(A189, INPUT_Rooms!$B:$B, INPUT_Rooms!$W:$W, "")="", $B$5, XLOOKUP(A189, INPUT_Rooms!$B:$B, INPUT_Rooms!$W:$W, "")))</f>
        <v/>
      </c>
      <c r="I189" s="6">
        <f>IF(A189="","", IF(C189="Doors (leaf)", 0, E189*XLOOKUP(C189,Constants!$A$40:$A$200,Constants!$C$40:$C$200,0,0)*XLOOKUP(H189,Constants!$E$10:$E$30,Constants!$F$10:$F$30)))</f>
        <v/>
      </c>
      <c r="J189" s="6">
        <f>IF(A189="","", IF(C189="Doors (leaf)", 0, E189*XLOOKUP(C189,Constants!$A$40:$A$200,Constants!$D$40:$D$200,0,0)*G189))</f>
        <v/>
      </c>
      <c r="K189" s="6">
        <f>IF(A189="","", IF(C189="Doors (leaf)", 0, IF(F189="Full", E189*XLOOKUP(C189,Constants!$A$40:$A$200,Constants!$E$40:$E$200,0,0), IF(F189="Spot", E189*XLOOKUP(C189,Constants!$A$40:$A$200,Constants!$E$40:$E$200,0,0)*0.35, 0))))</f>
        <v/>
      </c>
      <c r="L189">
        <f>IF(A189="","",0)</f>
        <v/>
      </c>
      <c r="M189" s="6">
        <f>IF(A189="","", SUM(I189:K189))</f>
        <v/>
      </c>
      <c r="N189" s="6">
        <f>IF(A189="","", L189/60)</f>
        <v/>
      </c>
      <c r="O189" s="6">
        <f>IF(A189="","", N189*(IF(=IF('Job Control'!$B$3="","", XLOOKUP('Job Control'!$B$3, INPUT_JobSettings!$A:$A, INPUT_JobSettings!$F:$F, ""))&lt;&gt;"", =IF('Job Control'!$B$3="","", XLOOKUP('Job Control'!$B$3, INPUT_JobSettings!$A:$A, INPUT_JobSettings!$F:$F, "")), $B$6)))</f>
        <v/>
      </c>
      <c r="P189" s="6">
        <f>IF(A189="","", (O189+L189)*(IF(=IF('Job Control'!$B$3="","", XLOOKUP('Job Control'!$B$3, INPUT_JobSettings!$A:$A, INPUT_JobSettings!$G:$G, ""))&lt;&gt;"", =IF('Job Control'!$B$3="","", XLOOKUP('Job Control'!$B$3, INPUT_JobSettings!$A:$A, INPUT_JobSettings!$G:$G, "")), $B$7)))</f>
        <v/>
      </c>
    </row>
    <row r="190">
      <c r="A190" s="6">
        <f>IFERROR(INDEX(FILTER(INPUT_Rooms!$B$4:$B$83, INPUT_Rooms!$A$4:$A$83=$B$4, INPUT_Rooms!$T$4:$T$83="Y"), 36), "")</f>
        <v/>
      </c>
      <c r="B190" s="6">
        <f>IF(A190="","", XLOOKUP(A190, FILTER(INPUT_Rooms!$B$4:$B$83, INPUT_Rooms!$A$4:$A$83=$B$4), FILTER(INPUT_Rooms!$C$4:$C$83, INPUT_Rooms!$A$4:$A$83=$B$4), ""))</f>
        <v/>
      </c>
      <c r="C190" s="6">
        <f>IF(A190="","", CHOOSE(5,"Baseboard","Crown","Window Casing","Door Casing","Doors (leaf)"))</f>
        <v/>
      </c>
      <c r="D190" s="6">
        <f>IF(A190="","", XLOOKUP(C190,Constants!$A$40:$A$200,Constants!$B$40:$B$200,"",0))</f>
        <v/>
      </c>
      <c r="E190" s="6">
        <f>IF(A190="","", IF(C190="Baseboard", IF(XLOOKUP(A190,INPUT_Rooms!$B:$B,INPUT_Rooms!$X:$X,"")="Y", XLOOKUP(A190,INPUT_Rooms!$B:$B,INPUT_Rooms!$AF:$AF,""), 0),IF(C190="Crown", IF(XLOOKUP(A190,INPUT_Rooms!$B:$B,INPUT_Rooms!$Y:$Y,"")="Y", XLOOKUP(A190,INPUT_Rooms!$B:$B,INPUT_Rooms!$AG:$AG,""), 0),IF(C190="Window Casing", IF(XLOOKUP(A190,INPUT_Rooms!$B:$B,INPUT_Rooms!$Z:$Z,"")="Y", SUMPRODUCT((INPUT_Openings!$A:$A=$B$4)*(INPUT_Openings!$B:$B=A190)*(INPUT_Openings!$D:$D)*XLOOKUP(INPUT_Openings!$C:$C,Constants!$A$30:$A$200,Constants!$E$30:$E$200,"",0)*(INPUT_Openings!$E:$E="Window")), 0),IF(C190="Door Casing", IF(XLOOKUP(A190,INPUT_Rooms!$B:$B,INPUT_Rooms!$AA:$AA,"")="Y", SUMPRODUCT((INPUT_Openings!$A:$A=$B$4)*(INPUT_Openings!$B:$B=A190)*(INPUT_Openings!$D:$D)*XLOOKUP(INPUT_Openings!$C:$C,Constants!$A$30:$A$200,Constants!$E$30:$E$200,"",0)*(INPUT_Openings!$E:$E="Door")), 0),IF(C190="Doors (leaf)", IF(XLOOKUP(A190,INPUT_Rooms!$B:$B,INPUT_Rooms!$AB:$AB,"")="Y", SUMPRODUCT((INPUT_Doors!$A:$A=$B$4)*(INPUT_Doors!$B:$B=A190)*(INPUT_Doors!$D:$D)*(INPUT_Doors!$E:$E)), 0), 0))))))</f>
        <v/>
      </c>
      <c r="F190" s="6">
        <f>IF(A190="","", XLOOKUP(A190, INPUT_Rooms!$B:$B, INPUT_Rooms!$U:$U, ""))</f>
        <v/>
      </c>
      <c r="G190" s="6">
        <f>IF(A190="","", XLOOKUP(A190, INPUT_Rooms!$B:$B, INPUT_Rooms!$V:$V, ""))</f>
        <v/>
      </c>
      <c r="H190" s="6">
        <f>IF(A190="","", IF(XLOOKUP(A190, INPUT_Rooms!$B:$B, INPUT_Rooms!$W:$W, "")="", $B$5, XLOOKUP(A190, INPUT_Rooms!$B:$B, INPUT_Rooms!$W:$W, "")))</f>
        <v/>
      </c>
      <c r="I190" s="6">
        <f>IF(A190="","", IF(C190="Doors (leaf)", 0, E190*XLOOKUP(C190,Constants!$A$40:$A$200,Constants!$C$40:$C$200,0,0)*XLOOKUP(H190,Constants!$E$10:$E$30,Constants!$F$10:$F$30)))</f>
        <v/>
      </c>
      <c r="J190" s="6">
        <f>IF(A190="","", IF(C190="Doors (leaf)", 0, E190*XLOOKUP(C190,Constants!$A$40:$A$200,Constants!$D$40:$D$200,0,0)*G190))</f>
        <v/>
      </c>
      <c r="K190" s="6">
        <f>IF(A190="","", IF(C190="Doors (leaf)", 0, IF(F190="Full", E190*XLOOKUP(C190,Constants!$A$40:$A$200,Constants!$E$40:$E$200,0,0), IF(F190="Spot", E190*XLOOKUP(C190,Constants!$A$40:$A$200,Constants!$E$40:$E$200,0,0)*0.35, 0))))</f>
        <v/>
      </c>
      <c r="L190">
        <f>IF(A190="","",0)</f>
        <v/>
      </c>
      <c r="M190" s="6">
        <f>IF(A190="","", SUM(I190:K190))</f>
        <v/>
      </c>
      <c r="N190" s="6">
        <f>IF(A190="","", L190/60)</f>
        <v/>
      </c>
      <c r="O190" s="6">
        <f>IF(A190="","", N190*(IF(=IF('Job Control'!$B$3="","", XLOOKUP('Job Control'!$B$3, INPUT_JobSettings!$A:$A, INPUT_JobSettings!$F:$F, ""))&lt;&gt;"", =IF('Job Control'!$B$3="","", XLOOKUP('Job Control'!$B$3, INPUT_JobSettings!$A:$A, INPUT_JobSettings!$F:$F, "")), $B$6)))</f>
        <v/>
      </c>
      <c r="P190" s="6">
        <f>IF(A190="","", (O190+L190)*(IF(=IF('Job Control'!$B$3="","", XLOOKUP('Job Control'!$B$3, INPUT_JobSettings!$A:$A, INPUT_JobSettings!$G:$G, ""))&lt;&gt;"", =IF('Job Control'!$B$3="","", XLOOKUP('Job Control'!$B$3, INPUT_JobSettings!$A:$A, INPUT_JobSettings!$G:$G, "")), $B$7)))</f>
        <v/>
      </c>
    </row>
    <row r="191">
      <c r="A191" s="6">
        <f>IFERROR(INDEX(FILTER(INPUT_Rooms!$B$4:$B$83, INPUT_Rooms!$A$4:$A$83=$B$4, INPUT_Rooms!$T$4:$T$83="Y"), 37), "")</f>
        <v/>
      </c>
      <c r="B191" s="6">
        <f>IF(A191="","", XLOOKUP(A191, FILTER(INPUT_Rooms!$B$4:$B$83, INPUT_Rooms!$A$4:$A$83=$B$4), FILTER(INPUT_Rooms!$C$4:$C$83, INPUT_Rooms!$A$4:$A$83=$B$4), ""))</f>
        <v/>
      </c>
      <c r="C191" s="6">
        <f>IF(A191="","", CHOOSE(1,"Baseboard","Crown","Window Casing","Door Casing","Doors (leaf)"))</f>
        <v/>
      </c>
      <c r="D191" s="6">
        <f>IF(A191="","", XLOOKUP(C191,Constants!$A$40:$A$200,Constants!$B$40:$B$200,"",0))</f>
        <v/>
      </c>
      <c r="E191" s="6">
        <f>IF(A191="","", IF(C191="Baseboard", IF(XLOOKUP(A191,INPUT_Rooms!$B:$B,INPUT_Rooms!$X:$X,"")="Y", XLOOKUP(A191,INPUT_Rooms!$B:$B,INPUT_Rooms!$AF:$AF,""), 0),IF(C191="Crown", IF(XLOOKUP(A191,INPUT_Rooms!$B:$B,INPUT_Rooms!$Y:$Y,"")="Y", XLOOKUP(A191,INPUT_Rooms!$B:$B,INPUT_Rooms!$AG:$AG,""), 0),IF(C191="Window Casing", IF(XLOOKUP(A191,INPUT_Rooms!$B:$B,INPUT_Rooms!$Z:$Z,"")="Y", SUMPRODUCT((INPUT_Openings!$A:$A=$B$4)*(INPUT_Openings!$B:$B=A191)*(INPUT_Openings!$D:$D)*XLOOKUP(INPUT_Openings!$C:$C,Constants!$A$30:$A$200,Constants!$E$30:$E$200,"",0)*(INPUT_Openings!$E:$E="Window")), 0),IF(C191="Door Casing", IF(XLOOKUP(A191,INPUT_Rooms!$B:$B,INPUT_Rooms!$AA:$AA,"")="Y", SUMPRODUCT((INPUT_Openings!$A:$A=$B$4)*(INPUT_Openings!$B:$B=A191)*(INPUT_Openings!$D:$D)*XLOOKUP(INPUT_Openings!$C:$C,Constants!$A$30:$A$200,Constants!$E$30:$E$200,"",0)*(INPUT_Openings!$E:$E="Door")), 0),IF(C191="Doors (leaf)", IF(XLOOKUP(A191,INPUT_Rooms!$B:$B,INPUT_Rooms!$AB:$AB,"")="Y", SUMPRODUCT((INPUT_Doors!$A:$A=$B$4)*(INPUT_Doors!$B:$B=A191)*(INPUT_Doors!$D:$D)*(INPUT_Doors!$E:$E)), 0), 0))))))</f>
        <v/>
      </c>
      <c r="F191" s="6">
        <f>IF(A191="","", XLOOKUP(A191, INPUT_Rooms!$B:$B, INPUT_Rooms!$U:$U, ""))</f>
        <v/>
      </c>
      <c r="G191" s="6">
        <f>IF(A191="","", XLOOKUP(A191, INPUT_Rooms!$B:$B, INPUT_Rooms!$V:$V, ""))</f>
        <v/>
      </c>
      <c r="H191" s="6">
        <f>IF(A191="","", IF(XLOOKUP(A191, INPUT_Rooms!$B:$B, INPUT_Rooms!$W:$W, "")="", $B$5, XLOOKUP(A191, INPUT_Rooms!$B:$B, INPUT_Rooms!$W:$W, "")))</f>
        <v/>
      </c>
      <c r="I191" s="6">
        <f>IF(A191="","", IF(C191="Doors (leaf)", 0, E191*XLOOKUP(C191,Constants!$A$40:$A$200,Constants!$C$40:$C$200,0,0)*XLOOKUP(H191,Constants!$E$10:$E$30,Constants!$F$10:$F$30)))</f>
        <v/>
      </c>
      <c r="J191" s="6">
        <f>IF(A191="","", IF(C191="Doors (leaf)", 0, E191*XLOOKUP(C191,Constants!$A$40:$A$200,Constants!$D$40:$D$200,0,0)*G191))</f>
        <v/>
      </c>
      <c r="K191" s="6">
        <f>IF(A191="","", IF(C191="Doors (leaf)", 0, IF(F191="Full", E191*XLOOKUP(C191,Constants!$A$40:$A$200,Constants!$E$40:$E$200,0,0), IF(F191="Spot", E191*XLOOKUP(C191,Constants!$A$40:$A$200,Constants!$E$40:$E$200,0,0)*0.35, 0))))</f>
        <v/>
      </c>
      <c r="L191">
        <f>IF(A191="","",0)</f>
        <v/>
      </c>
      <c r="M191" s="6">
        <f>IF(A191="","", SUM(I191:K191))</f>
        <v/>
      </c>
      <c r="N191" s="6">
        <f>IF(A191="","", L191/60)</f>
        <v/>
      </c>
      <c r="O191" s="6">
        <f>IF(A191="","", N191*(IF(=IF('Job Control'!$B$3="","", XLOOKUP('Job Control'!$B$3, INPUT_JobSettings!$A:$A, INPUT_JobSettings!$F:$F, ""))&lt;&gt;"", =IF('Job Control'!$B$3="","", XLOOKUP('Job Control'!$B$3, INPUT_JobSettings!$A:$A, INPUT_JobSettings!$F:$F, "")), $B$6)))</f>
        <v/>
      </c>
      <c r="P191" s="6">
        <f>IF(A191="","", (O191+L191)*(IF(=IF('Job Control'!$B$3="","", XLOOKUP('Job Control'!$B$3, INPUT_JobSettings!$A:$A, INPUT_JobSettings!$G:$G, ""))&lt;&gt;"", =IF('Job Control'!$B$3="","", XLOOKUP('Job Control'!$B$3, INPUT_JobSettings!$A:$A, INPUT_JobSettings!$G:$G, "")), $B$7)))</f>
        <v/>
      </c>
    </row>
    <row r="192">
      <c r="A192" s="6">
        <f>IFERROR(INDEX(FILTER(INPUT_Rooms!$B$4:$B$83, INPUT_Rooms!$A$4:$A$83=$B$4, INPUT_Rooms!$T$4:$T$83="Y"), 37), "")</f>
        <v/>
      </c>
      <c r="B192" s="6">
        <f>IF(A192="","", XLOOKUP(A192, FILTER(INPUT_Rooms!$B$4:$B$83, INPUT_Rooms!$A$4:$A$83=$B$4), FILTER(INPUT_Rooms!$C$4:$C$83, INPUT_Rooms!$A$4:$A$83=$B$4), ""))</f>
        <v/>
      </c>
      <c r="C192" s="6">
        <f>IF(A192="","", CHOOSE(2,"Baseboard","Crown","Window Casing","Door Casing","Doors (leaf)"))</f>
        <v/>
      </c>
      <c r="D192" s="6">
        <f>IF(A192="","", XLOOKUP(C192,Constants!$A$40:$A$200,Constants!$B$40:$B$200,"",0))</f>
        <v/>
      </c>
      <c r="E192" s="6">
        <f>IF(A192="","", IF(C192="Baseboard", IF(XLOOKUP(A192,INPUT_Rooms!$B:$B,INPUT_Rooms!$X:$X,"")="Y", XLOOKUP(A192,INPUT_Rooms!$B:$B,INPUT_Rooms!$AF:$AF,""), 0),IF(C192="Crown", IF(XLOOKUP(A192,INPUT_Rooms!$B:$B,INPUT_Rooms!$Y:$Y,"")="Y", XLOOKUP(A192,INPUT_Rooms!$B:$B,INPUT_Rooms!$AG:$AG,""), 0),IF(C192="Window Casing", IF(XLOOKUP(A192,INPUT_Rooms!$B:$B,INPUT_Rooms!$Z:$Z,"")="Y", SUMPRODUCT((INPUT_Openings!$A:$A=$B$4)*(INPUT_Openings!$B:$B=A192)*(INPUT_Openings!$D:$D)*XLOOKUP(INPUT_Openings!$C:$C,Constants!$A$30:$A$200,Constants!$E$30:$E$200,"",0)*(INPUT_Openings!$E:$E="Window")), 0),IF(C192="Door Casing", IF(XLOOKUP(A192,INPUT_Rooms!$B:$B,INPUT_Rooms!$AA:$AA,"")="Y", SUMPRODUCT((INPUT_Openings!$A:$A=$B$4)*(INPUT_Openings!$B:$B=A192)*(INPUT_Openings!$D:$D)*XLOOKUP(INPUT_Openings!$C:$C,Constants!$A$30:$A$200,Constants!$E$30:$E$200,"",0)*(INPUT_Openings!$E:$E="Door")), 0),IF(C192="Doors (leaf)", IF(XLOOKUP(A192,INPUT_Rooms!$B:$B,INPUT_Rooms!$AB:$AB,"")="Y", SUMPRODUCT((INPUT_Doors!$A:$A=$B$4)*(INPUT_Doors!$B:$B=A192)*(INPUT_Doors!$D:$D)*(INPUT_Doors!$E:$E)), 0), 0))))))</f>
        <v/>
      </c>
      <c r="F192" s="6">
        <f>IF(A192="","", XLOOKUP(A192, INPUT_Rooms!$B:$B, INPUT_Rooms!$U:$U, ""))</f>
        <v/>
      </c>
      <c r="G192" s="6">
        <f>IF(A192="","", XLOOKUP(A192, INPUT_Rooms!$B:$B, INPUT_Rooms!$V:$V, ""))</f>
        <v/>
      </c>
      <c r="H192" s="6">
        <f>IF(A192="","", IF(XLOOKUP(A192, INPUT_Rooms!$B:$B, INPUT_Rooms!$W:$W, "")="", $B$5, XLOOKUP(A192, INPUT_Rooms!$B:$B, INPUT_Rooms!$W:$W, "")))</f>
        <v/>
      </c>
      <c r="I192" s="6">
        <f>IF(A192="","", IF(C192="Doors (leaf)", 0, E192*XLOOKUP(C192,Constants!$A$40:$A$200,Constants!$C$40:$C$200,0,0)*XLOOKUP(H192,Constants!$E$10:$E$30,Constants!$F$10:$F$30)))</f>
        <v/>
      </c>
      <c r="J192" s="6">
        <f>IF(A192="","", IF(C192="Doors (leaf)", 0, E192*XLOOKUP(C192,Constants!$A$40:$A$200,Constants!$D$40:$D$200,0,0)*G192))</f>
        <v/>
      </c>
      <c r="K192" s="6">
        <f>IF(A192="","", IF(C192="Doors (leaf)", 0, IF(F192="Full", E192*XLOOKUP(C192,Constants!$A$40:$A$200,Constants!$E$40:$E$200,0,0), IF(F192="Spot", E192*XLOOKUP(C192,Constants!$A$40:$A$200,Constants!$E$40:$E$200,0,0)*0.35, 0))))</f>
        <v/>
      </c>
      <c r="L192">
        <f>IF(A192="","",0)</f>
        <v/>
      </c>
      <c r="M192" s="6">
        <f>IF(A192="","", SUM(I192:K192))</f>
        <v/>
      </c>
      <c r="N192" s="6">
        <f>IF(A192="","", L192/60)</f>
        <v/>
      </c>
      <c r="O192" s="6">
        <f>IF(A192="","", N192*(IF(=IF('Job Control'!$B$3="","", XLOOKUP('Job Control'!$B$3, INPUT_JobSettings!$A:$A, INPUT_JobSettings!$F:$F, ""))&lt;&gt;"", =IF('Job Control'!$B$3="","", XLOOKUP('Job Control'!$B$3, INPUT_JobSettings!$A:$A, INPUT_JobSettings!$F:$F, "")), $B$6)))</f>
        <v/>
      </c>
      <c r="P192" s="6">
        <f>IF(A192="","", (O192+L192)*(IF(=IF('Job Control'!$B$3="","", XLOOKUP('Job Control'!$B$3, INPUT_JobSettings!$A:$A, INPUT_JobSettings!$G:$G, ""))&lt;&gt;"", =IF('Job Control'!$B$3="","", XLOOKUP('Job Control'!$B$3, INPUT_JobSettings!$A:$A, INPUT_JobSettings!$G:$G, "")), $B$7)))</f>
        <v/>
      </c>
    </row>
    <row r="193">
      <c r="A193" s="6">
        <f>IFERROR(INDEX(FILTER(INPUT_Rooms!$B$4:$B$83, INPUT_Rooms!$A$4:$A$83=$B$4, INPUT_Rooms!$T$4:$T$83="Y"), 37), "")</f>
        <v/>
      </c>
      <c r="B193" s="6">
        <f>IF(A193="","", XLOOKUP(A193, FILTER(INPUT_Rooms!$B$4:$B$83, INPUT_Rooms!$A$4:$A$83=$B$4), FILTER(INPUT_Rooms!$C$4:$C$83, INPUT_Rooms!$A$4:$A$83=$B$4), ""))</f>
        <v/>
      </c>
      <c r="C193" s="6">
        <f>IF(A193="","", CHOOSE(3,"Baseboard","Crown","Window Casing","Door Casing","Doors (leaf)"))</f>
        <v/>
      </c>
      <c r="D193" s="6">
        <f>IF(A193="","", XLOOKUP(C193,Constants!$A$40:$A$200,Constants!$B$40:$B$200,"",0))</f>
        <v/>
      </c>
      <c r="E193" s="6">
        <f>IF(A193="","", IF(C193="Baseboard", IF(XLOOKUP(A193,INPUT_Rooms!$B:$B,INPUT_Rooms!$X:$X,"")="Y", XLOOKUP(A193,INPUT_Rooms!$B:$B,INPUT_Rooms!$AF:$AF,""), 0),IF(C193="Crown", IF(XLOOKUP(A193,INPUT_Rooms!$B:$B,INPUT_Rooms!$Y:$Y,"")="Y", XLOOKUP(A193,INPUT_Rooms!$B:$B,INPUT_Rooms!$AG:$AG,""), 0),IF(C193="Window Casing", IF(XLOOKUP(A193,INPUT_Rooms!$B:$B,INPUT_Rooms!$Z:$Z,"")="Y", SUMPRODUCT((INPUT_Openings!$A:$A=$B$4)*(INPUT_Openings!$B:$B=A193)*(INPUT_Openings!$D:$D)*XLOOKUP(INPUT_Openings!$C:$C,Constants!$A$30:$A$200,Constants!$E$30:$E$200,"",0)*(INPUT_Openings!$E:$E="Window")), 0),IF(C193="Door Casing", IF(XLOOKUP(A193,INPUT_Rooms!$B:$B,INPUT_Rooms!$AA:$AA,"")="Y", SUMPRODUCT((INPUT_Openings!$A:$A=$B$4)*(INPUT_Openings!$B:$B=A193)*(INPUT_Openings!$D:$D)*XLOOKUP(INPUT_Openings!$C:$C,Constants!$A$30:$A$200,Constants!$E$30:$E$200,"",0)*(INPUT_Openings!$E:$E="Door")), 0),IF(C193="Doors (leaf)", IF(XLOOKUP(A193,INPUT_Rooms!$B:$B,INPUT_Rooms!$AB:$AB,"")="Y", SUMPRODUCT((INPUT_Doors!$A:$A=$B$4)*(INPUT_Doors!$B:$B=A193)*(INPUT_Doors!$D:$D)*(INPUT_Doors!$E:$E)), 0), 0))))))</f>
        <v/>
      </c>
      <c r="F193" s="6">
        <f>IF(A193="","", XLOOKUP(A193, INPUT_Rooms!$B:$B, INPUT_Rooms!$U:$U, ""))</f>
        <v/>
      </c>
      <c r="G193" s="6">
        <f>IF(A193="","", XLOOKUP(A193, INPUT_Rooms!$B:$B, INPUT_Rooms!$V:$V, ""))</f>
        <v/>
      </c>
      <c r="H193" s="6">
        <f>IF(A193="","", IF(XLOOKUP(A193, INPUT_Rooms!$B:$B, INPUT_Rooms!$W:$W, "")="", $B$5, XLOOKUP(A193, INPUT_Rooms!$B:$B, INPUT_Rooms!$W:$W, "")))</f>
        <v/>
      </c>
      <c r="I193" s="6">
        <f>IF(A193="","", IF(C193="Doors (leaf)", 0, E193*XLOOKUP(C193,Constants!$A$40:$A$200,Constants!$C$40:$C$200,0,0)*XLOOKUP(H193,Constants!$E$10:$E$30,Constants!$F$10:$F$30)))</f>
        <v/>
      </c>
      <c r="J193" s="6">
        <f>IF(A193="","", IF(C193="Doors (leaf)", 0, E193*XLOOKUP(C193,Constants!$A$40:$A$200,Constants!$D$40:$D$200,0,0)*G193))</f>
        <v/>
      </c>
      <c r="K193" s="6">
        <f>IF(A193="","", IF(C193="Doors (leaf)", 0, IF(F193="Full", E193*XLOOKUP(C193,Constants!$A$40:$A$200,Constants!$E$40:$E$200,0,0), IF(F193="Spot", E193*XLOOKUP(C193,Constants!$A$40:$A$200,Constants!$E$40:$E$200,0,0)*0.35, 0))))</f>
        <v/>
      </c>
      <c r="L193">
        <f>IF(A193="","",0)</f>
        <v/>
      </c>
      <c r="M193" s="6">
        <f>IF(A193="","", SUM(I193:K193))</f>
        <v/>
      </c>
      <c r="N193" s="6">
        <f>IF(A193="","", L193/60)</f>
        <v/>
      </c>
      <c r="O193" s="6">
        <f>IF(A193="","", N193*(IF(=IF('Job Control'!$B$3="","", XLOOKUP('Job Control'!$B$3, INPUT_JobSettings!$A:$A, INPUT_JobSettings!$F:$F, ""))&lt;&gt;"", =IF('Job Control'!$B$3="","", XLOOKUP('Job Control'!$B$3, INPUT_JobSettings!$A:$A, INPUT_JobSettings!$F:$F, "")), $B$6)))</f>
        <v/>
      </c>
      <c r="P193" s="6">
        <f>IF(A193="","", (O193+L193)*(IF(=IF('Job Control'!$B$3="","", XLOOKUP('Job Control'!$B$3, INPUT_JobSettings!$A:$A, INPUT_JobSettings!$G:$G, ""))&lt;&gt;"", =IF('Job Control'!$B$3="","", XLOOKUP('Job Control'!$B$3, INPUT_JobSettings!$A:$A, INPUT_JobSettings!$G:$G, "")), $B$7)))</f>
        <v/>
      </c>
    </row>
    <row r="194">
      <c r="A194" s="6">
        <f>IFERROR(INDEX(FILTER(INPUT_Rooms!$B$4:$B$83, INPUT_Rooms!$A$4:$A$83=$B$4, INPUT_Rooms!$T$4:$T$83="Y"), 37), "")</f>
        <v/>
      </c>
      <c r="B194" s="6">
        <f>IF(A194="","", XLOOKUP(A194, FILTER(INPUT_Rooms!$B$4:$B$83, INPUT_Rooms!$A$4:$A$83=$B$4), FILTER(INPUT_Rooms!$C$4:$C$83, INPUT_Rooms!$A$4:$A$83=$B$4), ""))</f>
        <v/>
      </c>
      <c r="C194" s="6">
        <f>IF(A194="","", CHOOSE(4,"Baseboard","Crown","Window Casing","Door Casing","Doors (leaf)"))</f>
        <v/>
      </c>
      <c r="D194" s="6">
        <f>IF(A194="","", XLOOKUP(C194,Constants!$A$40:$A$200,Constants!$B$40:$B$200,"",0))</f>
        <v/>
      </c>
      <c r="E194" s="6">
        <f>IF(A194="","", IF(C194="Baseboard", IF(XLOOKUP(A194,INPUT_Rooms!$B:$B,INPUT_Rooms!$X:$X,"")="Y", XLOOKUP(A194,INPUT_Rooms!$B:$B,INPUT_Rooms!$AF:$AF,""), 0),IF(C194="Crown", IF(XLOOKUP(A194,INPUT_Rooms!$B:$B,INPUT_Rooms!$Y:$Y,"")="Y", XLOOKUP(A194,INPUT_Rooms!$B:$B,INPUT_Rooms!$AG:$AG,""), 0),IF(C194="Window Casing", IF(XLOOKUP(A194,INPUT_Rooms!$B:$B,INPUT_Rooms!$Z:$Z,"")="Y", SUMPRODUCT((INPUT_Openings!$A:$A=$B$4)*(INPUT_Openings!$B:$B=A194)*(INPUT_Openings!$D:$D)*XLOOKUP(INPUT_Openings!$C:$C,Constants!$A$30:$A$200,Constants!$E$30:$E$200,"",0)*(INPUT_Openings!$E:$E="Window")), 0),IF(C194="Door Casing", IF(XLOOKUP(A194,INPUT_Rooms!$B:$B,INPUT_Rooms!$AA:$AA,"")="Y", SUMPRODUCT((INPUT_Openings!$A:$A=$B$4)*(INPUT_Openings!$B:$B=A194)*(INPUT_Openings!$D:$D)*XLOOKUP(INPUT_Openings!$C:$C,Constants!$A$30:$A$200,Constants!$E$30:$E$200,"",0)*(INPUT_Openings!$E:$E="Door")), 0),IF(C194="Doors (leaf)", IF(XLOOKUP(A194,INPUT_Rooms!$B:$B,INPUT_Rooms!$AB:$AB,"")="Y", SUMPRODUCT((INPUT_Doors!$A:$A=$B$4)*(INPUT_Doors!$B:$B=A194)*(INPUT_Doors!$D:$D)*(INPUT_Doors!$E:$E)), 0), 0))))))</f>
        <v/>
      </c>
      <c r="F194" s="6">
        <f>IF(A194="","", XLOOKUP(A194, INPUT_Rooms!$B:$B, INPUT_Rooms!$U:$U, ""))</f>
        <v/>
      </c>
      <c r="G194" s="6">
        <f>IF(A194="","", XLOOKUP(A194, INPUT_Rooms!$B:$B, INPUT_Rooms!$V:$V, ""))</f>
        <v/>
      </c>
      <c r="H194" s="6">
        <f>IF(A194="","", IF(XLOOKUP(A194, INPUT_Rooms!$B:$B, INPUT_Rooms!$W:$W, "")="", $B$5, XLOOKUP(A194, INPUT_Rooms!$B:$B, INPUT_Rooms!$W:$W, "")))</f>
        <v/>
      </c>
      <c r="I194" s="6">
        <f>IF(A194="","", IF(C194="Doors (leaf)", 0, E194*XLOOKUP(C194,Constants!$A$40:$A$200,Constants!$C$40:$C$200,0,0)*XLOOKUP(H194,Constants!$E$10:$E$30,Constants!$F$10:$F$30)))</f>
        <v/>
      </c>
      <c r="J194" s="6">
        <f>IF(A194="","", IF(C194="Doors (leaf)", 0, E194*XLOOKUP(C194,Constants!$A$40:$A$200,Constants!$D$40:$D$200,0,0)*G194))</f>
        <v/>
      </c>
      <c r="K194" s="6">
        <f>IF(A194="","", IF(C194="Doors (leaf)", 0, IF(F194="Full", E194*XLOOKUP(C194,Constants!$A$40:$A$200,Constants!$E$40:$E$200,0,0), IF(F194="Spot", E194*XLOOKUP(C194,Constants!$A$40:$A$200,Constants!$E$40:$E$200,0,0)*0.35, 0))))</f>
        <v/>
      </c>
      <c r="L194">
        <f>IF(A194="","",0)</f>
        <v/>
      </c>
      <c r="M194" s="6">
        <f>IF(A194="","", SUM(I194:K194))</f>
        <v/>
      </c>
      <c r="N194" s="6">
        <f>IF(A194="","", L194/60)</f>
        <v/>
      </c>
      <c r="O194" s="6">
        <f>IF(A194="","", N194*(IF(=IF('Job Control'!$B$3="","", XLOOKUP('Job Control'!$B$3, INPUT_JobSettings!$A:$A, INPUT_JobSettings!$F:$F, ""))&lt;&gt;"", =IF('Job Control'!$B$3="","", XLOOKUP('Job Control'!$B$3, INPUT_JobSettings!$A:$A, INPUT_JobSettings!$F:$F, "")), $B$6)))</f>
        <v/>
      </c>
      <c r="P194" s="6">
        <f>IF(A194="","", (O194+L194)*(IF(=IF('Job Control'!$B$3="","", XLOOKUP('Job Control'!$B$3, INPUT_JobSettings!$A:$A, INPUT_JobSettings!$G:$G, ""))&lt;&gt;"", =IF('Job Control'!$B$3="","", XLOOKUP('Job Control'!$B$3, INPUT_JobSettings!$A:$A, INPUT_JobSettings!$G:$G, "")), $B$7)))</f>
        <v/>
      </c>
    </row>
    <row r="195">
      <c r="A195" s="6">
        <f>IFERROR(INDEX(FILTER(INPUT_Rooms!$B$4:$B$83, INPUT_Rooms!$A$4:$A$83=$B$4, INPUT_Rooms!$T$4:$T$83="Y"), 37), "")</f>
        <v/>
      </c>
      <c r="B195" s="6">
        <f>IF(A195="","", XLOOKUP(A195, FILTER(INPUT_Rooms!$B$4:$B$83, INPUT_Rooms!$A$4:$A$83=$B$4), FILTER(INPUT_Rooms!$C$4:$C$83, INPUT_Rooms!$A$4:$A$83=$B$4), ""))</f>
        <v/>
      </c>
      <c r="C195" s="6">
        <f>IF(A195="","", CHOOSE(5,"Baseboard","Crown","Window Casing","Door Casing","Doors (leaf)"))</f>
        <v/>
      </c>
      <c r="D195" s="6">
        <f>IF(A195="","", XLOOKUP(C195,Constants!$A$40:$A$200,Constants!$B$40:$B$200,"",0))</f>
        <v/>
      </c>
      <c r="E195" s="6">
        <f>IF(A195="","", IF(C195="Baseboard", IF(XLOOKUP(A195,INPUT_Rooms!$B:$B,INPUT_Rooms!$X:$X,"")="Y", XLOOKUP(A195,INPUT_Rooms!$B:$B,INPUT_Rooms!$AF:$AF,""), 0),IF(C195="Crown", IF(XLOOKUP(A195,INPUT_Rooms!$B:$B,INPUT_Rooms!$Y:$Y,"")="Y", XLOOKUP(A195,INPUT_Rooms!$B:$B,INPUT_Rooms!$AG:$AG,""), 0),IF(C195="Window Casing", IF(XLOOKUP(A195,INPUT_Rooms!$B:$B,INPUT_Rooms!$Z:$Z,"")="Y", SUMPRODUCT((INPUT_Openings!$A:$A=$B$4)*(INPUT_Openings!$B:$B=A195)*(INPUT_Openings!$D:$D)*XLOOKUP(INPUT_Openings!$C:$C,Constants!$A$30:$A$200,Constants!$E$30:$E$200,"",0)*(INPUT_Openings!$E:$E="Window")), 0),IF(C195="Door Casing", IF(XLOOKUP(A195,INPUT_Rooms!$B:$B,INPUT_Rooms!$AA:$AA,"")="Y", SUMPRODUCT((INPUT_Openings!$A:$A=$B$4)*(INPUT_Openings!$B:$B=A195)*(INPUT_Openings!$D:$D)*XLOOKUP(INPUT_Openings!$C:$C,Constants!$A$30:$A$200,Constants!$E$30:$E$200,"",0)*(INPUT_Openings!$E:$E="Door")), 0),IF(C195="Doors (leaf)", IF(XLOOKUP(A195,INPUT_Rooms!$B:$B,INPUT_Rooms!$AB:$AB,"")="Y", SUMPRODUCT((INPUT_Doors!$A:$A=$B$4)*(INPUT_Doors!$B:$B=A195)*(INPUT_Doors!$D:$D)*(INPUT_Doors!$E:$E)), 0), 0))))))</f>
        <v/>
      </c>
      <c r="F195" s="6">
        <f>IF(A195="","", XLOOKUP(A195, INPUT_Rooms!$B:$B, INPUT_Rooms!$U:$U, ""))</f>
        <v/>
      </c>
      <c r="G195" s="6">
        <f>IF(A195="","", XLOOKUP(A195, INPUT_Rooms!$B:$B, INPUT_Rooms!$V:$V, ""))</f>
        <v/>
      </c>
      <c r="H195" s="6">
        <f>IF(A195="","", IF(XLOOKUP(A195, INPUT_Rooms!$B:$B, INPUT_Rooms!$W:$W, "")="", $B$5, XLOOKUP(A195, INPUT_Rooms!$B:$B, INPUT_Rooms!$W:$W, "")))</f>
        <v/>
      </c>
      <c r="I195" s="6">
        <f>IF(A195="","", IF(C195="Doors (leaf)", 0, E195*XLOOKUP(C195,Constants!$A$40:$A$200,Constants!$C$40:$C$200,0,0)*XLOOKUP(H195,Constants!$E$10:$E$30,Constants!$F$10:$F$30)))</f>
        <v/>
      </c>
      <c r="J195" s="6">
        <f>IF(A195="","", IF(C195="Doors (leaf)", 0, E195*XLOOKUP(C195,Constants!$A$40:$A$200,Constants!$D$40:$D$200,0,0)*G195))</f>
        <v/>
      </c>
      <c r="K195" s="6">
        <f>IF(A195="","", IF(C195="Doors (leaf)", 0, IF(F195="Full", E195*XLOOKUP(C195,Constants!$A$40:$A$200,Constants!$E$40:$E$200,0,0), IF(F195="Spot", E195*XLOOKUP(C195,Constants!$A$40:$A$200,Constants!$E$40:$E$200,0,0)*0.35, 0))))</f>
        <v/>
      </c>
      <c r="L195">
        <f>IF(A195="","",0)</f>
        <v/>
      </c>
      <c r="M195" s="6">
        <f>IF(A195="","", SUM(I195:K195))</f>
        <v/>
      </c>
      <c r="N195" s="6">
        <f>IF(A195="","", L195/60)</f>
        <v/>
      </c>
      <c r="O195" s="6">
        <f>IF(A195="","", N195*(IF(=IF('Job Control'!$B$3="","", XLOOKUP('Job Control'!$B$3, INPUT_JobSettings!$A:$A, INPUT_JobSettings!$F:$F, ""))&lt;&gt;"", =IF('Job Control'!$B$3="","", XLOOKUP('Job Control'!$B$3, INPUT_JobSettings!$A:$A, INPUT_JobSettings!$F:$F, "")), $B$6)))</f>
        <v/>
      </c>
      <c r="P195" s="6">
        <f>IF(A195="","", (O195+L195)*(IF(=IF('Job Control'!$B$3="","", XLOOKUP('Job Control'!$B$3, INPUT_JobSettings!$A:$A, INPUT_JobSettings!$G:$G, ""))&lt;&gt;"", =IF('Job Control'!$B$3="","", XLOOKUP('Job Control'!$B$3, INPUT_JobSettings!$A:$A, INPUT_JobSettings!$G:$G, "")), $B$7)))</f>
        <v/>
      </c>
    </row>
    <row r="196">
      <c r="A196" s="6">
        <f>IFERROR(INDEX(FILTER(INPUT_Rooms!$B$4:$B$83, INPUT_Rooms!$A$4:$A$83=$B$4, INPUT_Rooms!$T$4:$T$83="Y"), 38), "")</f>
        <v/>
      </c>
      <c r="B196" s="6">
        <f>IF(A196="","", XLOOKUP(A196, FILTER(INPUT_Rooms!$B$4:$B$83, INPUT_Rooms!$A$4:$A$83=$B$4), FILTER(INPUT_Rooms!$C$4:$C$83, INPUT_Rooms!$A$4:$A$83=$B$4), ""))</f>
        <v/>
      </c>
      <c r="C196" s="6">
        <f>IF(A196="","", CHOOSE(1,"Baseboard","Crown","Window Casing","Door Casing","Doors (leaf)"))</f>
        <v/>
      </c>
      <c r="D196" s="6">
        <f>IF(A196="","", XLOOKUP(C196,Constants!$A$40:$A$200,Constants!$B$40:$B$200,"",0))</f>
        <v/>
      </c>
      <c r="E196" s="6">
        <f>IF(A196="","", IF(C196="Baseboard", IF(XLOOKUP(A196,INPUT_Rooms!$B:$B,INPUT_Rooms!$X:$X,"")="Y", XLOOKUP(A196,INPUT_Rooms!$B:$B,INPUT_Rooms!$AF:$AF,""), 0),IF(C196="Crown", IF(XLOOKUP(A196,INPUT_Rooms!$B:$B,INPUT_Rooms!$Y:$Y,"")="Y", XLOOKUP(A196,INPUT_Rooms!$B:$B,INPUT_Rooms!$AG:$AG,""), 0),IF(C196="Window Casing", IF(XLOOKUP(A196,INPUT_Rooms!$B:$B,INPUT_Rooms!$Z:$Z,"")="Y", SUMPRODUCT((INPUT_Openings!$A:$A=$B$4)*(INPUT_Openings!$B:$B=A196)*(INPUT_Openings!$D:$D)*XLOOKUP(INPUT_Openings!$C:$C,Constants!$A$30:$A$200,Constants!$E$30:$E$200,"",0)*(INPUT_Openings!$E:$E="Window")), 0),IF(C196="Door Casing", IF(XLOOKUP(A196,INPUT_Rooms!$B:$B,INPUT_Rooms!$AA:$AA,"")="Y", SUMPRODUCT((INPUT_Openings!$A:$A=$B$4)*(INPUT_Openings!$B:$B=A196)*(INPUT_Openings!$D:$D)*XLOOKUP(INPUT_Openings!$C:$C,Constants!$A$30:$A$200,Constants!$E$30:$E$200,"",0)*(INPUT_Openings!$E:$E="Door")), 0),IF(C196="Doors (leaf)", IF(XLOOKUP(A196,INPUT_Rooms!$B:$B,INPUT_Rooms!$AB:$AB,"")="Y", SUMPRODUCT((INPUT_Doors!$A:$A=$B$4)*(INPUT_Doors!$B:$B=A196)*(INPUT_Doors!$D:$D)*(INPUT_Doors!$E:$E)), 0), 0))))))</f>
        <v/>
      </c>
      <c r="F196" s="6">
        <f>IF(A196="","", XLOOKUP(A196, INPUT_Rooms!$B:$B, INPUT_Rooms!$U:$U, ""))</f>
        <v/>
      </c>
      <c r="G196" s="6">
        <f>IF(A196="","", XLOOKUP(A196, INPUT_Rooms!$B:$B, INPUT_Rooms!$V:$V, ""))</f>
        <v/>
      </c>
      <c r="H196" s="6">
        <f>IF(A196="","", IF(XLOOKUP(A196, INPUT_Rooms!$B:$B, INPUT_Rooms!$W:$W, "")="", $B$5, XLOOKUP(A196, INPUT_Rooms!$B:$B, INPUT_Rooms!$W:$W, "")))</f>
        <v/>
      </c>
      <c r="I196" s="6">
        <f>IF(A196="","", IF(C196="Doors (leaf)", 0, E196*XLOOKUP(C196,Constants!$A$40:$A$200,Constants!$C$40:$C$200,0,0)*XLOOKUP(H196,Constants!$E$10:$E$30,Constants!$F$10:$F$30)))</f>
        <v/>
      </c>
      <c r="J196" s="6">
        <f>IF(A196="","", IF(C196="Doors (leaf)", 0, E196*XLOOKUP(C196,Constants!$A$40:$A$200,Constants!$D$40:$D$200,0,0)*G196))</f>
        <v/>
      </c>
      <c r="K196" s="6">
        <f>IF(A196="","", IF(C196="Doors (leaf)", 0, IF(F196="Full", E196*XLOOKUP(C196,Constants!$A$40:$A$200,Constants!$E$40:$E$200,0,0), IF(F196="Spot", E196*XLOOKUP(C196,Constants!$A$40:$A$200,Constants!$E$40:$E$200,0,0)*0.35, 0))))</f>
        <v/>
      </c>
      <c r="L196">
        <f>IF(A196="","",0)</f>
        <v/>
      </c>
      <c r="M196" s="6">
        <f>IF(A196="","", SUM(I196:K196))</f>
        <v/>
      </c>
      <c r="N196" s="6">
        <f>IF(A196="","", L196/60)</f>
        <v/>
      </c>
      <c r="O196" s="6">
        <f>IF(A196="","", N196*(IF(=IF('Job Control'!$B$3="","", XLOOKUP('Job Control'!$B$3, INPUT_JobSettings!$A:$A, INPUT_JobSettings!$F:$F, ""))&lt;&gt;"", =IF('Job Control'!$B$3="","", XLOOKUP('Job Control'!$B$3, INPUT_JobSettings!$A:$A, INPUT_JobSettings!$F:$F, "")), $B$6)))</f>
        <v/>
      </c>
      <c r="P196" s="6">
        <f>IF(A196="","", (O196+L196)*(IF(=IF('Job Control'!$B$3="","", XLOOKUP('Job Control'!$B$3, INPUT_JobSettings!$A:$A, INPUT_JobSettings!$G:$G, ""))&lt;&gt;"", =IF('Job Control'!$B$3="","", XLOOKUP('Job Control'!$B$3, INPUT_JobSettings!$A:$A, INPUT_JobSettings!$G:$G, "")), $B$7)))</f>
        <v/>
      </c>
    </row>
    <row r="197">
      <c r="A197" s="6">
        <f>IFERROR(INDEX(FILTER(INPUT_Rooms!$B$4:$B$83, INPUT_Rooms!$A$4:$A$83=$B$4, INPUT_Rooms!$T$4:$T$83="Y"), 38), "")</f>
        <v/>
      </c>
      <c r="B197" s="6">
        <f>IF(A197="","", XLOOKUP(A197, FILTER(INPUT_Rooms!$B$4:$B$83, INPUT_Rooms!$A$4:$A$83=$B$4), FILTER(INPUT_Rooms!$C$4:$C$83, INPUT_Rooms!$A$4:$A$83=$B$4), ""))</f>
        <v/>
      </c>
      <c r="C197" s="6">
        <f>IF(A197="","", CHOOSE(2,"Baseboard","Crown","Window Casing","Door Casing","Doors (leaf)"))</f>
        <v/>
      </c>
      <c r="D197" s="6">
        <f>IF(A197="","", XLOOKUP(C197,Constants!$A$40:$A$200,Constants!$B$40:$B$200,"",0))</f>
        <v/>
      </c>
      <c r="E197" s="6">
        <f>IF(A197="","", IF(C197="Baseboard", IF(XLOOKUP(A197,INPUT_Rooms!$B:$B,INPUT_Rooms!$X:$X,"")="Y", XLOOKUP(A197,INPUT_Rooms!$B:$B,INPUT_Rooms!$AF:$AF,""), 0),IF(C197="Crown", IF(XLOOKUP(A197,INPUT_Rooms!$B:$B,INPUT_Rooms!$Y:$Y,"")="Y", XLOOKUP(A197,INPUT_Rooms!$B:$B,INPUT_Rooms!$AG:$AG,""), 0),IF(C197="Window Casing", IF(XLOOKUP(A197,INPUT_Rooms!$B:$B,INPUT_Rooms!$Z:$Z,"")="Y", SUMPRODUCT((INPUT_Openings!$A:$A=$B$4)*(INPUT_Openings!$B:$B=A197)*(INPUT_Openings!$D:$D)*XLOOKUP(INPUT_Openings!$C:$C,Constants!$A$30:$A$200,Constants!$E$30:$E$200,"",0)*(INPUT_Openings!$E:$E="Window")), 0),IF(C197="Door Casing", IF(XLOOKUP(A197,INPUT_Rooms!$B:$B,INPUT_Rooms!$AA:$AA,"")="Y", SUMPRODUCT((INPUT_Openings!$A:$A=$B$4)*(INPUT_Openings!$B:$B=A197)*(INPUT_Openings!$D:$D)*XLOOKUP(INPUT_Openings!$C:$C,Constants!$A$30:$A$200,Constants!$E$30:$E$200,"",0)*(INPUT_Openings!$E:$E="Door")), 0),IF(C197="Doors (leaf)", IF(XLOOKUP(A197,INPUT_Rooms!$B:$B,INPUT_Rooms!$AB:$AB,"")="Y", SUMPRODUCT((INPUT_Doors!$A:$A=$B$4)*(INPUT_Doors!$B:$B=A197)*(INPUT_Doors!$D:$D)*(INPUT_Doors!$E:$E)), 0), 0))))))</f>
        <v/>
      </c>
      <c r="F197" s="6">
        <f>IF(A197="","", XLOOKUP(A197, INPUT_Rooms!$B:$B, INPUT_Rooms!$U:$U, ""))</f>
        <v/>
      </c>
      <c r="G197" s="6">
        <f>IF(A197="","", XLOOKUP(A197, INPUT_Rooms!$B:$B, INPUT_Rooms!$V:$V, ""))</f>
        <v/>
      </c>
      <c r="H197" s="6">
        <f>IF(A197="","", IF(XLOOKUP(A197, INPUT_Rooms!$B:$B, INPUT_Rooms!$W:$W, "")="", $B$5, XLOOKUP(A197, INPUT_Rooms!$B:$B, INPUT_Rooms!$W:$W, "")))</f>
        <v/>
      </c>
      <c r="I197" s="6">
        <f>IF(A197="","", IF(C197="Doors (leaf)", 0, E197*XLOOKUP(C197,Constants!$A$40:$A$200,Constants!$C$40:$C$200,0,0)*XLOOKUP(H197,Constants!$E$10:$E$30,Constants!$F$10:$F$30)))</f>
        <v/>
      </c>
      <c r="J197" s="6">
        <f>IF(A197="","", IF(C197="Doors (leaf)", 0, E197*XLOOKUP(C197,Constants!$A$40:$A$200,Constants!$D$40:$D$200,0,0)*G197))</f>
        <v/>
      </c>
      <c r="K197" s="6">
        <f>IF(A197="","", IF(C197="Doors (leaf)", 0, IF(F197="Full", E197*XLOOKUP(C197,Constants!$A$40:$A$200,Constants!$E$40:$E$200,0,0), IF(F197="Spot", E197*XLOOKUP(C197,Constants!$A$40:$A$200,Constants!$E$40:$E$200,0,0)*0.35, 0))))</f>
        <v/>
      </c>
      <c r="L197">
        <f>IF(A197="","",0)</f>
        <v/>
      </c>
      <c r="M197" s="6">
        <f>IF(A197="","", SUM(I197:K197))</f>
        <v/>
      </c>
      <c r="N197" s="6">
        <f>IF(A197="","", L197/60)</f>
        <v/>
      </c>
      <c r="O197" s="6">
        <f>IF(A197="","", N197*(IF(=IF('Job Control'!$B$3="","", XLOOKUP('Job Control'!$B$3, INPUT_JobSettings!$A:$A, INPUT_JobSettings!$F:$F, ""))&lt;&gt;"", =IF('Job Control'!$B$3="","", XLOOKUP('Job Control'!$B$3, INPUT_JobSettings!$A:$A, INPUT_JobSettings!$F:$F, "")), $B$6)))</f>
        <v/>
      </c>
      <c r="P197" s="6">
        <f>IF(A197="","", (O197+L197)*(IF(=IF('Job Control'!$B$3="","", XLOOKUP('Job Control'!$B$3, INPUT_JobSettings!$A:$A, INPUT_JobSettings!$G:$G, ""))&lt;&gt;"", =IF('Job Control'!$B$3="","", XLOOKUP('Job Control'!$B$3, INPUT_JobSettings!$A:$A, INPUT_JobSettings!$G:$G, "")), $B$7)))</f>
        <v/>
      </c>
    </row>
    <row r="198">
      <c r="A198" s="6">
        <f>IFERROR(INDEX(FILTER(INPUT_Rooms!$B$4:$B$83, INPUT_Rooms!$A$4:$A$83=$B$4, INPUT_Rooms!$T$4:$T$83="Y"), 38), "")</f>
        <v/>
      </c>
      <c r="B198" s="6">
        <f>IF(A198="","", XLOOKUP(A198, FILTER(INPUT_Rooms!$B$4:$B$83, INPUT_Rooms!$A$4:$A$83=$B$4), FILTER(INPUT_Rooms!$C$4:$C$83, INPUT_Rooms!$A$4:$A$83=$B$4), ""))</f>
        <v/>
      </c>
      <c r="C198" s="6">
        <f>IF(A198="","", CHOOSE(3,"Baseboard","Crown","Window Casing","Door Casing","Doors (leaf)"))</f>
        <v/>
      </c>
      <c r="D198" s="6">
        <f>IF(A198="","", XLOOKUP(C198,Constants!$A$40:$A$200,Constants!$B$40:$B$200,"",0))</f>
        <v/>
      </c>
      <c r="E198" s="6">
        <f>IF(A198="","", IF(C198="Baseboard", IF(XLOOKUP(A198,INPUT_Rooms!$B:$B,INPUT_Rooms!$X:$X,"")="Y", XLOOKUP(A198,INPUT_Rooms!$B:$B,INPUT_Rooms!$AF:$AF,""), 0),IF(C198="Crown", IF(XLOOKUP(A198,INPUT_Rooms!$B:$B,INPUT_Rooms!$Y:$Y,"")="Y", XLOOKUP(A198,INPUT_Rooms!$B:$B,INPUT_Rooms!$AG:$AG,""), 0),IF(C198="Window Casing", IF(XLOOKUP(A198,INPUT_Rooms!$B:$B,INPUT_Rooms!$Z:$Z,"")="Y", SUMPRODUCT((INPUT_Openings!$A:$A=$B$4)*(INPUT_Openings!$B:$B=A198)*(INPUT_Openings!$D:$D)*XLOOKUP(INPUT_Openings!$C:$C,Constants!$A$30:$A$200,Constants!$E$30:$E$200,"",0)*(INPUT_Openings!$E:$E="Window")), 0),IF(C198="Door Casing", IF(XLOOKUP(A198,INPUT_Rooms!$B:$B,INPUT_Rooms!$AA:$AA,"")="Y", SUMPRODUCT((INPUT_Openings!$A:$A=$B$4)*(INPUT_Openings!$B:$B=A198)*(INPUT_Openings!$D:$D)*XLOOKUP(INPUT_Openings!$C:$C,Constants!$A$30:$A$200,Constants!$E$30:$E$200,"",0)*(INPUT_Openings!$E:$E="Door")), 0),IF(C198="Doors (leaf)", IF(XLOOKUP(A198,INPUT_Rooms!$B:$B,INPUT_Rooms!$AB:$AB,"")="Y", SUMPRODUCT((INPUT_Doors!$A:$A=$B$4)*(INPUT_Doors!$B:$B=A198)*(INPUT_Doors!$D:$D)*(INPUT_Doors!$E:$E)), 0), 0))))))</f>
        <v/>
      </c>
      <c r="F198" s="6">
        <f>IF(A198="","", XLOOKUP(A198, INPUT_Rooms!$B:$B, INPUT_Rooms!$U:$U, ""))</f>
        <v/>
      </c>
      <c r="G198" s="6">
        <f>IF(A198="","", XLOOKUP(A198, INPUT_Rooms!$B:$B, INPUT_Rooms!$V:$V, ""))</f>
        <v/>
      </c>
      <c r="H198" s="6">
        <f>IF(A198="","", IF(XLOOKUP(A198, INPUT_Rooms!$B:$B, INPUT_Rooms!$W:$W, "")="", $B$5, XLOOKUP(A198, INPUT_Rooms!$B:$B, INPUT_Rooms!$W:$W, "")))</f>
        <v/>
      </c>
      <c r="I198" s="6">
        <f>IF(A198="","", IF(C198="Doors (leaf)", 0, E198*XLOOKUP(C198,Constants!$A$40:$A$200,Constants!$C$40:$C$200,0,0)*XLOOKUP(H198,Constants!$E$10:$E$30,Constants!$F$10:$F$30)))</f>
        <v/>
      </c>
      <c r="J198" s="6">
        <f>IF(A198="","", IF(C198="Doors (leaf)", 0, E198*XLOOKUP(C198,Constants!$A$40:$A$200,Constants!$D$40:$D$200,0,0)*G198))</f>
        <v/>
      </c>
      <c r="K198" s="6">
        <f>IF(A198="","", IF(C198="Doors (leaf)", 0, IF(F198="Full", E198*XLOOKUP(C198,Constants!$A$40:$A$200,Constants!$E$40:$E$200,0,0), IF(F198="Spot", E198*XLOOKUP(C198,Constants!$A$40:$A$200,Constants!$E$40:$E$200,0,0)*0.35, 0))))</f>
        <v/>
      </c>
      <c r="L198">
        <f>IF(A198="","",0)</f>
        <v/>
      </c>
      <c r="M198" s="6">
        <f>IF(A198="","", SUM(I198:K198))</f>
        <v/>
      </c>
      <c r="N198" s="6">
        <f>IF(A198="","", L198/60)</f>
        <v/>
      </c>
      <c r="O198" s="6">
        <f>IF(A198="","", N198*(IF(=IF('Job Control'!$B$3="","", XLOOKUP('Job Control'!$B$3, INPUT_JobSettings!$A:$A, INPUT_JobSettings!$F:$F, ""))&lt;&gt;"", =IF('Job Control'!$B$3="","", XLOOKUP('Job Control'!$B$3, INPUT_JobSettings!$A:$A, INPUT_JobSettings!$F:$F, "")), $B$6)))</f>
        <v/>
      </c>
      <c r="P198" s="6">
        <f>IF(A198="","", (O198+L198)*(IF(=IF('Job Control'!$B$3="","", XLOOKUP('Job Control'!$B$3, INPUT_JobSettings!$A:$A, INPUT_JobSettings!$G:$G, ""))&lt;&gt;"", =IF('Job Control'!$B$3="","", XLOOKUP('Job Control'!$B$3, INPUT_JobSettings!$A:$A, INPUT_JobSettings!$G:$G, "")), $B$7)))</f>
        <v/>
      </c>
    </row>
    <row r="199">
      <c r="A199" s="6">
        <f>IFERROR(INDEX(FILTER(INPUT_Rooms!$B$4:$B$83, INPUT_Rooms!$A$4:$A$83=$B$4, INPUT_Rooms!$T$4:$T$83="Y"), 38), "")</f>
        <v/>
      </c>
      <c r="B199" s="6">
        <f>IF(A199="","", XLOOKUP(A199, FILTER(INPUT_Rooms!$B$4:$B$83, INPUT_Rooms!$A$4:$A$83=$B$4), FILTER(INPUT_Rooms!$C$4:$C$83, INPUT_Rooms!$A$4:$A$83=$B$4), ""))</f>
        <v/>
      </c>
      <c r="C199" s="6">
        <f>IF(A199="","", CHOOSE(4,"Baseboard","Crown","Window Casing","Door Casing","Doors (leaf)"))</f>
        <v/>
      </c>
      <c r="D199" s="6">
        <f>IF(A199="","", XLOOKUP(C199,Constants!$A$40:$A$200,Constants!$B$40:$B$200,"",0))</f>
        <v/>
      </c>
      <c r="E199" s="6">
        <f>IF(A199="","", IF(C199="Baseboard", IF(XLOOKUP(A199,INPUT_Rooms!$B:$B,INPUT_Rooms!$X:$X,"")="Y", XLOOKUP(A199,INPUT_Rooms!$B:$B,INPUT_Rooms!$AF:$AF,""), 0),IF(C199="Crown", IF(XLOOKUP(A199,INPUT_Rooms!$B:$B,INPUT_Rooms!$Y:$Y,"")="Y", XLOOKUP(A199,INPUT_Rooms!$B:$B,INPUT_Rooms!$AG:$AG,""), 0),IF(C199="Window Casing", IF(XLOOKUP(A199,INPUT_Rooms!$B:$B,INPUT_Rooms!$Z:$Z,"")="Y", SUMPRODUCT((INPUT_Openings!$A:$A=$B$4)*(INPUT_Openings!$B:$B=A199)*(INPUT_Openings!$D:$D)*XLOOKUP(INPUT_Openings!$C:$C,Constants!$A$30:$A$200,Constants!$E$30:$E$200,"",0)*(INPUT_Openings!$E:$E="Window")), 0),IF(C199="Door Casing", IF(XLOOKUP(A199,INPUT_Rooms!$B:$B,INPUT_Rooms!$AA:$AA,"")="Y", SUMPRODUCT((INPUT_Openings!$A:$A=$B$4)*(INPUT_Openings!$B:$B=A199)*(INPUT_Openings!$D:$D)*XLOOKUP(INPUT_Openings!$C:$C,Constants!$A$30:$A$200,Constants!$E$30:$E$200,"",0)*(INPUT_Openings!$E:$E="Door")), 0),IF(C199="Doors (leaf)", IF(XLOOKUP(A199,INPUT_Rooms!$B:$B,INPUT_Rooms!$AB:$AB,"")="Y", SUMPRODUCT((INPUT_Doors!$A:$A=$B$4)*(INPUT_Doors!$B:$B=A199)*(INPUT_Doors!$D:$D)*(INPUT_Doors!$E:$E)), 0), 0))))))</f>
        <v/>
      </c>
      <c r="F199" s="6">
        <f>IF(A199="","", XLOOKUP(A199, INPUT_Rooms!$B:$B, INPUT_Rooms!$U:$U, ""))</f>
        <v/>
      </c>
      <c r="G199" s="6">
        <f>IF(A199="","", XLOOKUP(A199, INPUT_Rooms!$B:$B, INPUT_Rooms!$V:$V, ""))</f>
        <v/>
      </c>
      <c r="H199" s="6">
        <f>IF(A199="","", IF(XLOOKUP(A199, INPUT_Rooms!$B:$B, INPUT_Rooms!$W:$W, "")="", $B$5, XLOOKUP(A199, INPUT_Rooms!$B:$B, INPUT_Rooms!$W:$W, "")))</f>
        <v/>
      </c>
      <c r="I199" s="6">
        <f>IF(A199="","", IF(C199="Doors (leaf)", 0, E199*XLOOKUP(C199,Constants!$A$40:$A$200,Constants!$C$40:$C$200,0,0)*XLOOKUP(H199,Constants!$E$10:$E$30,Constants!$F$10:$F$30)))</f>
        <v/>
      </c>
      <c r="J199" s="6">
        <f>IF(A199="","", IF(C199="Doors (leaf)", 0, E199*XLOOKUP(C199,Constants!$A$40:$A$200,Constants!$D$40:$D$200,0,0)*G199))</f>
        <v/>
      </c>
      <c r="K199" s="6">
        <f>IF(A199="","", IF(C199="Doors (leaf)", 0, IF(F199="Full", E199*XLOOKUP(C199,Constants!$A$40:$A$200,Constants!$E$40:$E$200,0,0), IF(F199="Spot", E199*XLOOKUP(C199,Constants!$A$40:$A$200,Constants!$E$40:$E$200,0,0)*0.35, 0))))</f>
        <v/>
      </c>
      <c r="L199">
        <f>IF(A199="","",0)</f>
        <v/>
      </c>
      <c r="M199" s="6">
        <f>IF(A199="","", SUM(I199:K199))</f>
        <v/>
      </c>
      <c r="N199" s="6">
        <f>IF(A199="","", L199/60)</f>
        <v/>
      </c>
      <c r="O199" s="6">
        <f>IF(A199="","", N199*(IF(=IF('Job Control'!$B$3="","", XLOOKUP('Job Control'!$B$3, INPUT_JobSettings!$A:$A, INPUT_JobSettings!$F:$F, ""))&lt;&gt;"", =IF('Job Control'!$B$3="","", XLOOKUP('Job Control'!$B$3, INPUT_JobSettings!$A:$A, INPUT_JobSettings!$F:$F, "")), $B$6)))</f>
        <v/>
      </c>
      <c r="P199" s="6">
        <f>IF(A199="","", (O199+L199)*(IF(=IF('Job Control'!$B$3="","", XLOOKUP('Job Control'!$B$3, INPUT_JobSettings!$A:$A, INPUT_JobSettings!$G:$G, ""))&lt;&gt;"", =IF('Job Control'!$B$3="","", XLOOKUP('Job Control'!$B$3, INPUT_JobSettings!$A:$A, INPUT_JobSettings!$G:$G, "")), $B$7)))</f>
        <v/>
      </c>
    </row>
    <row r="200">
      <c r="A200" s="6">
        <f>IFERROR(INDEX(FILTER(INPUT_Rooms!$B$4:$B$83, INPUT_Rooms!$A$4:$A$83=$B$4, INPUT_Rooms!$T$4:$T$83="Y"), 38), "")</f>
        <v/>
      </c>
      <c r="B200" s="6">
        <f>IF(A200="","", XLOOKUP(A200, FILTER(INPUT_Rooms!$B$4:$B$83, INPUT_Rooms!$A$4:$A$83=$B$4), FILTER(INPUT_Rooms!$C$4:$C$83, INPUT_Rooms!$A$4:$A$83=$B$4), ""))</f>
        <v/>
      </c>
      <c r="C200" s="6">
        <f>IF(A200="","", CHOOSE(5,"Baseboard","Crown","Window Casing","Door Casing","Doors (leaf)"))</f>
        <v/>
      </c>
      <c r="D200" s="6">
        <f>IF(A200="","", XLOOKUP(C200,Constants!$A$40:$A$200,Constants!$B$40:$B$200,"",0))</f>
        <v/>
      </c>
      <c r="E200" s="6">
        <f>IF(A200="","", IF(C200="Baseboard", IF(XLOOKUP(A200,INPUT_Rooms!$B:$B,INPUT_Rooms!$X:$X,"")="Y", XLOOKUP(A200,INPUT_Rooms!$B:$B,INPUT_Rooms!$AF:$AF,""), 0),IF(C200="Crown", IF(XLOOKUP(A200,INPUT_Rooms!$B:$B,INPUT_Rooms!$Y:$Y,"")="Y", XLOOKUP(A200,INPUT_Rooms!$B:$B,INPUT_Rooms!$AG:$AG,""), 0),IF(C200="Window Casing", IF(XLOOKUP(A200,INPUT_Rooms!$B:$B,INPUT_Rooms!$Z:$Z,"")="Y", SUMPRODUCT((INPUT_Openings!$A:$A=$B$4)*(INPUT_Openings!$B:$B=A200)*(INPUT_Openings!$D:$D)*XLOOKUP(INPUT_Openings!$C:$C,Constants!$A$30:$A$200,Constants!$E$30:$E$200,"",0)*(INPUT_Openings!$E:$E="Window")), 0),IF(C200="Door Casing", IF(XLOOKUP(A200,INPUT_Rooms!$B:$B,INPUT_Rooms!$AA:$AA,"")="Y", SUMPRODUCT((INPUT_Openings!$A:$A=$B$4)*(INPUT_Openings!$B:$B=A200)*(INPUT_Openings!$D:$D)*XLOOKUP(INPUT_Openings!$C:$C,Constants!$A$30:$A$200,Constants!$E$30:$E$200,"",0)*(INPUT_Openings!$E:$E="Door")), 0),IF(C200="Doors (leaf)", IF(XLOOKUP(A200,INPUT_Rooms!$B:$B,INPUT_Rooms!$AB:$AB,"")="Y", SUMPRODUCT((INPUT_Doors!$A:$A=$B$4)*(INPUT_Doors!$B:$B=A200)*(INPUT_Doors!$D:$D)*(INPUT_Doors!$E:$E)), 0), 0))))))</f>
        <v/>
      </c>
      <c r="F200" s="6">
        <f>IF(A200="","", XLOOKUP(A200, INPUT_Rooms!$B:$B, INPUT_Rooms!$U:$U, ""))</f>
        <v/>
      </c>
      <c r="G200" s="6">
        <f>IF(A200="","", XLOOKUP(A200, INPUT_Rooms!$B:$B, INPUT_Rooms!$V:$V, ""))</f>
        <v/>
      </c>
      <c r="H200" s="6">
        <f>IF(A200="","", IF(XLOOKUP(A200, INPUT_Rooms!$B:$B, INPUT_Rooms!$W:$W, "")="", $B$5, XLOOKUP(A200, INPUT_Rooms!$B:$B, INPUT_Rooms!$W:$W, "")))</f>
        <v/>
      </c>
      <c r="I200" s="6">
        <f>IF(A200="","", IF(C200="Doors (leaf)", 0, E200*XLOOKUP(C200,Constants!$A$40:$A$200,Constants!$C$40:$C$200,0,0)*XLOOKUP(H200,Constants!$E$10:$E$30,Constants!$F$10:$F$30)))</f>
        <v/>
      </c>
      <c r="J200" s="6">
        <f>IF(A200="","", IF(C200="Doors (leaf)", 0, E200*XLOOKUP(C200,Constants!$A$40:$A$200,Constants!$D$40:$D$200,0,0)*G200))</f>
        <v/>
      </c>
      <c r="K200" s="6">
        <f>IF(A200="","", IF(C200="Doors (leaf)", 0, IF(F200="Full", E200*XLOOKUP(C200,Constants!$A$40:$A$200,Constants!$E$40:$E$200,0,0), IF(F200="Spot", E200*XLOOKUP(C200,Constants!$A$40:$A$200,Constants!$E$40:$E$200,0,0)*0.35, 0))))</f>
        <v/>
      </c>
      <c r="L200">
        <f>IF(A200="","",0)</f>
        <v/>
      </c>
      <c r="M200" s="6">
        <f>IF(A200="","", SUM(I200:K200))</f>
        <v/>
      </c>
      <c r="N200" s="6">
        <f>IF(A200="","", L200/60)</f>
        <v/>
      </c>
      <c r="O200" s="6">
        <f>IF(A200="","", N200*(IF(=IF('Job Control'!$B$3="","", XLOOKUP('Job Control'!$B$3, INPUT_JobSettings!$A:$A, INPUT_JobSettings!$F:$F, ""))&lt;&gt;"", =IF('Job Control'!$B$3="","", XLOOKUP('Job Control'!$B$3, INPUT_JobSettings!$A:$A, INPUT_JobSettings!$F:$F, "")), $B$6)))</f>
        <v/>
      </c>
      <c r="P200" s="6">
        <f>IF(A200="","", (O200+L200)*(IF(=IF('Job Control'!$B$3="","", XLOOKUP('Job Control'!$B$3, INPUT_JobSettings!$A:$A, INPUT_JobSettings!$G:$G, ""))&lt;&gt;"", =IF('Job Control'!$B$3="","", XLOOKUP('Job Control'!$B$3, INPUT_JobSettings!$A:$A, INPUT_JobSettings!$G:$G, "")), $B$7)))</f>
        <v/>
      </c>
    </row>
    <row r="201">
      <c r="A201" s="6">
        <f>IFERROR(INDEX(FILTER(INPUT_Rooms!$B$4:$B$83, INPUT_Rooms!$A$4:$A$83=$B$4, INPUT_Rooms!$T$4:$T$83="Y"), 39), "")</f>
        <v/>
      </c>
      <c r="B201" s="6">
        <f>IF(A201="","", XLOOKUP(A201, FILTER(INPUT_Rooms!$B$4:$B$83, INPUT_Rooms!$A$4:$A$83=$B$4), FILTER(INPUT_Rooms!$C$4:$C$83, INPUT_Rooms!$A$4:$A$83=$B$4), ""))</f>
        <v/>
      </c>
      <c r="C201" s="6">
        <f>IF(A201="","", CHOOSE(1,"Baseboard","Crown","Window Casing","Door Casing","Doors (leaf)"))</f>
        <v/>
      </c>
      <c r="D201" s="6">
        <f>IF(A201="","", XLOOKUP(C201,Constants!$A$40:$A$200,Constants!$B$40:$B$200,"",0))</f>
        <v/>
      </c>
      <c r="E201" s="6">
        <f>IF(A201="","", IF(C201="Baseboard", IF(XLOOKUP(A201,INPUT_Rooms!$B:$B,INPUT_Rooms!$X:$X,"")="Y", XLOOKUP(A201,INPUT_Rooms!$B:$B,INPUT_Rooms!$AF:$AF,""), 0),IF(C201="Crown", IF(XLOOKUP(A201,INPUT_Rooms!$B:$B,INPUT_Rooms!$Y:$Y,"")="Y", XLOOKUP(A201,INPUT_Rooms!$B:$B,INPUT_Rooms!$AG:$AG,""), 0),IF(C201="Window Casing", IF(XLOOKUP(A201,INPUT_Rooms!$B:$B,INPUT_Rooms!$Z:$Z,"")="Y", SUMPRODUCT((INPUT_Openings!$A:$A=$B$4)*(INPUT_Openings!$B:$B=A201)*(INPUT_Openings!$D:$D)*XLOOKUP(INPUT_Openings!$C:$C,Constants!$A$30:$A$200,Constants!$E$30:$E$200,"",0)*(INPUT_Openings!$E:$E="Window")), 0),IF(C201="Door Casing", IF(XLOOKUP(A201,INPUT_Rooms!$B:$B,INPUT_Rooms!$AA:$AA,"")="Y", SUMPRODUCT((INPUT_Openings!$A:$A=$B$4)*(INPUT_Openings!$B:$B=A201)*(INPUT_Openings!$D:$D)*XLOOKUP(INPUT_Openings!$C:$C,Constants!$A$30:$A$200,Constants!$E$30:$E$200,"",0)*(INPUT_Openings!$E:$E="Door")), 0),IF(C201="Doors (leaf)", IF(XLOOKUP(A201,INPUT_Rooms!$B:$B,INPUT_Rooms!$AB:$AB,"")="Y", SUMPRODUCT((INPUT_Doors!$A:$A=$B$4)*(INPUT_Doors!$B:$B=A201)*(INPUT_Doors!$D:$D)*(INPUT_Doors!$E:$E)), 0), 0))))))</f>
        <v/>
      </c>
      <c r="F201" s="6">
        <f>IF(A201="","", XLOOKUP(A201, INPUT_Rooms!$B:$B, INPUT_Rooms!$U:$U, ""))</f>
        <v/>
      </c>
      <c r="G201" s="6">
        <f>IF(A201="","", XLOOKUP(A201, INPUT_Rooms!$B:$B, INPUT_Rooms!$V:$V, ""))</f>
        <v/>
      </c>
      <c r="H201" s="6">
        <f>IF(A201="","", IF(XLOOKUP(A201, INPUT_Rooms!$B:$B, INPUT_Rooms!$W:$W, "")="", $B$5, XLOOKUP(A201, INPUT_Rooms!$B:$B, INPUT_Rooms!$W:$W, "")))</f>
        <v/>
      </c>
      <c r="I201" s="6">
        <f>IF(A201="","", IF(C201="Doors (leaf)", 0, E201*XLOOKUP(C201,Constants!$A$40:$A$200,Constants!$C$40:$C$200,0,0)*XLOOKUP(H201,Constants!$E$10:$E$30,Constants!$F$10:$F$30)))</f>
        <v/>
      </c>
      <c r="J201" s="6">
        <f>IF(A201="","", IF(C201="Doors (leaf)", 0, E201*XLOOKUP(C201,Constants!$A$40:$A$200,Constants!$D$40:$D$200,0,0)*G201))</f>
        <v/>
      </c>
      <c r="K201" s="6">
        <f>IF(A201="","", IF(C201="Doors (leaf)", 0, IF(F201="Full", E201*XLOOKUP(C201,Constants!$A$40:$A$200,Constants!$E$40:$E$200,0,0), IF(F201="Spot", E201*XLOOKUP(C201,Constants!$A$40:$A$200,Constants!$E$40:$E$200,0,0)*0.35, 0))))</f>
        <v/>
      </c>
      <c r="L201">
        <f>IF(A201="","",0)</f>
        <v/>
      </c>
      <c r="M201" s="6">
        <f>IF(A201="","", SUM(I201:K201))</f>
        <v/>
      </c>
      <c r="N201" s="6">
        <f>IF(A201="","", L201/60)</f>
        <v/>
      </c>
      <c r="O201" s="6">
        <f>IF(A201="","", N201*(IF(=IF('Job Control'!$B$3="","", XLOOKUP('Job Control'!$B$3, INPUT_JobSettings!$A:$A, INPUT_JobSettings!$F:$F, ""))&lt;&gt;"", =IF('Job Control'!$B$3="","", XLOOKUP('Job Control'!$B$3, INPUT_JobSettings!$A:$A, INPUT_JobSettings!$F:$F, "")), $B$6)))</f>
        <v/>
      </c>
      <c r="P201" s="6">
        <f>IF(A201="","", (O201+L201)*(IF(=IF('Job Control'!$B$3="","", XLOOKUP('Job Control'!$B$3, INPUT_JobSettings!$A:$A, INPUT_JobSettings!$G:$G, ""))&lt;&gt;"", =IF('Job Control'!$B$3="","", XLOOKUP('Job Control'!$B$3, INPUT_JobSettings!$A:$A, INPUT_JobSettings!$G:$G, "")), $B$7)))</f>
        <v/>
      </c>
    </row>
    <row r="202">
      <c r="A202" s="6">
        <f>IFERROR(INDEX(FILTER(INPUT_Rooms!$B$4:$B$83, INPUT_Rooms!$A$4:$A$83=$B$4, INPUT_Rooms!$T$4:$T$83="Y"), 39), "")</f>
        <v/>
      </c>
      <c r="B202" s="6">
        <f>IF(A202="","", XLOOKUP(A202, FILTER(INPUT_Rooms!$B$4:$B$83, INPUT_Rooms!$A$4:$A$83=$B$4), FILTER(INPUT_Rooms!$C$4:$C$83, INPUT_Rooms!$A$4:$A$83=$B$4), ""))</f>
        <v/>
      </c>
      <c r="C202" s="6">
        <f>IF(A202="","", CHOOSE(2,"Baseboard","Crown","Window Casing","Door Casing","Doors (leaf)"))</f>
        <v/>
      </c>
      <c r="D202" s="6">
        <f>IF(A202="","", XLOOKUP(C202,Constants!$A$40:$A$200,Constants!$B$40:$B$200,"",0))</f>
        <v/>
      </c>
      <c r="E202" s="6">
        <f>IF(A202="","", IF(C202="Baseboard", IF(XLOOKUP(A202,INPUT_Rooms!$B:$B,INPUT_Rooms!$X:$X,"")="Y", XLOOKUP(A202,INPUT_Rooms!$B:$B,INPUT_Rooms!$AF:$AF,""), 0),IF(C202="Crown", IF(XLOOKUP(A202,INPUT_Rooms!$B:$B,INPUT_Rooms!$Y:$Y,"")="Y", XLOOKUP(A202,INPUT_Rooms!$B:$B,INPUT_Rooms!$AG:$AG,""), 0),IF(C202="Window Casing", IF(XLOOKUP(A202,INPUT_Rooms!$B:$B,INPUT_Rooms!$Z:$Z,"")="Y", SUMPRODUCT((INPUT_Openings!$A:$A=$B$4)*(INPUT_Openings!$B:$B=A202)*(INPUT_Openings!$D:$D)*XLOOKUP(INPUT_Openings!$C:$C,Constants!$A$30:$A$200,Constants!$E$30:$E$200,"",0)*(INPUT_Openings!$E:$E="Window")), 0),IF(C202="Door Casing", IF(XLOOKUP(A202,INPUT_Rooms!$B:$B,INPUT_Rooms!$AA:$AA,"")="Y", SUMPRODUCT((INPUT_Openings!$A:$A=$B$4)*(INPUT_Openings!$B:$B=A202)*(INPUT_Openings!$D:$D)*XLOOKUP(INPUT_Openings!$C:$C,Constants!$A$30:$A$200,Constants!$E$30:$E$200,"",0)*(INPUT_Openings!$E:$E="Door")), 0),IF(C202="Doors (leaf)", IF(XLOOKUP(A202,INPUT_Rooms!$B:$B,INPUT_Rooms!$AB:$AB,"")="Y", SUMPRODUCT((INPUT_Doors!$A:$A=$B$4)*(INPUT_Doors!$B:$B=A202)*(INPUT_Doors!$D:$D)*(INPUT_Doors!$E:$E)), 0), 0))))))</f>
        <v/>
      </c>
      <c r="F202" s="6">
        <f>IF(A202="","", XLOOKUP(A202, INPUT_Rooms!$B:$B, INPUT_Rooms!$U:$U, ""))</f>
        <v/>
      </c>
      <c r="G202" s="6">
        <f>IF(A202="","", XLOOKUP(A202, INPUT_Rooms!$B:$B, INPUT_Rooms!$V:$V, ""))</f>
        <v/>
      </c>
      <c r="H202" s="6">
        <f>IF(A202="","", IF(XLOOKUP(A202, INPUT_Rooms!$B:$B, INPUT_Rooms!$W:$W, "")="", $B$5, XLOOKUP(A202, INPUT_Rooms!$B:$B, INPUT_Rooms!$W:$W, "")))</f>
        <v/>
      </c>
      <c r="I202" s="6">
        <f>IF(A202="","", IF(C202="Doors (leaf)", 0, E202*XLOOKUP(C202,Constants!$A$40:$A$200,Constants!$C$40:$C$200,0,0)*XLOOKUP(H202,Constants!$E$10:$E$30,Constants!$F$10:$F$30)))</f>
        <v/>
      </c>
      <c r="J202" s="6">
        <f>IF(A202="","", IF(C202="Doors (leaf)", 0, E202*XLOOKUP(C202,Constants!$A$40:$A$200,Constants!$D$40:$D$200,0,0)*G202))</f>
        <v/>
      </c>
      <c r="K202" s="6">
        <f>IF(A202="","", IF(C202="Doors (leaf)", 0, IF(F202="Full", E202*XLOOKUP(C202,Constants!$A$40:$A$200,Constants!$E$40:$E$200,0,0), IF(F202="Spot", E202*XLOOKUP(C202,Constants!$A$40:$A$200,Constants!$E$40:$E$200,0,0)*0.35, 0))))</f>
        <v/>
      </c>
      <c r="L202">
        <f>IF(A202="","",0)</f>
        <v/>
      </c>
      <c r="M202" s="6">
        <f>IF(A202="","", SUM(I202:K202))</f>
        <v/>
      </c>
      <c r="N202" s="6">
        <f>IF(A202="","", L202/60)</f>
        <v/>
      </c>
      <c r="O202" s="6">
        <f>IF(A202="","", N202*(IF(=IF('Job Control'!$B$3="","", XLOOKUP('Job Control'!$B$3, INPUT_JobSettings!$A:$A, INPUT_JobSettings!$F:$F, ""))&lt;&gt;"", =IF('Job Control'!$B$3="","", XLOOKUP('Job Control'!$B$3, INPUT_JobSettings!$A:$A, INPUT_JobSettings!$F:$F, "")), $B$6)))</f>
        <v/>
      </c>
      <c r="P202" s="6">
        <f>IF(A202="","", (O202+L202)*(IF(=IF('Job Control'!$B$3="","", XLOOKUP('Job Control'!$B$3, INPUT_JobSettings!$A:$A, INPUT_JobSettings!$G:$G, ""))&lt;&gt;"", =IF('Job Control'!$B$3="","", XLOOKUP('Job Control'!$B$3, INPUT_JobSettings!$A:$A, INPUT_JobSettings!$G:$G, "")), $B$7)))</f>
        <v/>
      </c>
    </row>
    <row r="203">
      <c r="A203" s="6">
        <f>IFERROR(INDEX(FILTER(INPUT_Rooms!$B$4:$B$83, INPUT_Rooms!$A$4:$A$83=$B$4, INPUT_Rooms!$T$4:$T$83="Y"), 39), "")</f>
        <v/>
      </c>
      <c r="B203" s="6">
        <f>IF(A203="","", XLOOKUP(A203, FILTER(INPUT_Rooms!$B$4:$B$83, INPUT_Rooms!$A$4:$A$83=$B$4), FILTER(INPUT_Rooms!$C$4:$C$83, INPUT_Rooms!$A$4:$A$83=$B$4), ""))</f>
        <v/>
      </c>
      <c r="C203" s="6">
        <f>IF(A203="","", CHOOSE(3,"Baseboard","Crown","Window Casing","Door Casing","Doors (leaf)"))</f>
        <v/>
      </c>
      <c r="D203" s="6">
        <f>IF(A203="","", XLOOKUP(C203,Constants!$A$40:$A$200,Constants!$B$40:$B$200,"",0))</f>
        <v/>
      </c>
      <c r="E203" s="6">
        <f>IF(A203="","", IF(C203="Baseboard", IF(XLOOKUP(A203,INPUT_Rooms!$B:$B,INPUT_Rooms!$X:$X,"")="Y", XLOOKUP(A203,INPUT_Rooms!$B:$B,INPUT_Rooms!$AF:$AF,""), 0),IF(C203="Crown", IF(XLOOKUP(A203,INPUT_Rooms!$B:$B,INPUT_Rooms!$Y:$Y,"")="Y", XLOOKUP(A203,INPUT_Rooms!$B:$B,INPUT_Rooms!$AG:$AG,""), 0),IF(C203="Window Casing", IF(XLOOKUP(A203,INPUT_Rooms!$B:$B,INPUT_Rooms!$Z:$Z,"")="Y", SUMPRODUCT((INPUT_Openings!$A:$A=$B$4)*(INPUT_Openings!$B:$B=A203)*(INPUT_Openings!$D:$D)*XLOOKUP(INPUT_Openings!$C:$C,Constants!$A$30:$A$200,Constants!$E$30:$E$200,"",0)*(INPUT_Openings!$E:$E="Window")), 0),IF(C203="Door Casing", IF(XLOOKUP(A203,INPUT_Rooms!$B:$B,INPUT_Rooms!$AA:$AA,"")="Y", SUMPRODUCT((INPUT_Openings!$A:$A=$B$4)*(INPUT_Openings!$B:$B=A203)*(INPUT_Openings!$D:$D)*XLOOKUP(INPUT_Openings!$C:$C,Constants!$A$30:$A$200,Constants!$E$30:$E$200,"",0)*(INPUT_Openings!$E:$E="Door")), 0),IF(C203="Doors (leaf)", IF(XLOOKUP(A203,INPUT_Rooms!$B:$B,INPUT_Rooms!$AB:$AB,"")="Y", SUMPRODUCT((INPUT_Doors!$A:$A=$B$4)*(INPUT_Doors!$B:$B=A203)*(INPUT_Doors!$D:$D)*(INPUT_Doors!$E:$E)), 0), 0))))))</f>
        <v/>
      </c>
      <c r="F203" s="6">
        <f>IF(A203="","", XLOOKUP(A203, INPUT_Rooms!$B:$B, INPUT_Rooms!$U:$U, ""))</f>
        <v/>
      </c>
      <c r="G203" s="6">
        <f>IF(A203="","", XLOOKUP(A203, INPUT_Rooms!$B:$B, INPUT_Rooms!$V:$V, ""))</f>
        <v/>
      </c>
      <c r="H203" s="6">
        <f>IF(A203="","", IF(XLOOKUP(A203, INPUT_Rooms!$B:$B, INPUT_Rooms!$W:$W, "")="", $B$5, XLOOKUP(A203, INPUT_Rooms!$B:$B, INPUT_Rooms!$W:$W, "")))</f>
        <v/>
      </c>
      <c r="I203" s="6">
        <f>IF(A203="","", IF(C203="Doors (leaf)", 0, E203*XLOOKUP(C203,Constants!$A$40:$A$200,Constants!$C$40:$C$200,0,0)*XLOOKUP(H203,Constants!$E$10:$E$30,Constants!$F$10:$F$30)))</f>
        <v/>
      </c>
      <c r="J203" s="6">
        <f>IF(A203="","", IF(C203="Doors (leaf)", 0, E203*XLOOKUP(C203,Constants!$A$40:$A$200,Constants!$D$40:$D$200,0,0)*G203))</f>
        <v/>
      </c>
      <c r="K203" s="6">
        <f>IF(A203="","", IF(C203="Doors (leaf)", 0, IF(F203="Full", E203*XLOOKUP(C203,Constants!$A$40:$A$200,Constants!$E$40:$E$200,0,0), IF(F203="Spot", E203*XLOOKUP(C203,Constants!$A$40:$A$200,Constants!$E$40:$E$200,0,0)*0.35, 0))))</f>
        <v/>
      </c>
      <c r="L203">
        <f>IF(A203="","",0)</f>
        <v/>
      </c>
      <c r="M203" s="6">
        <f>IF(A203="","", SUM(I203:K203))</f>
        <v/>
      </c>
      <c r="N203" s="6">
        <f>IF(A203="","", L203/60)</f>
        <v/>
      </c>
      <c r="O203" s="6">
        <f>IF(A203="","", N203*(IF(=IF('Job Control'!$B$3="","", XLOOKUP('Job Control'!$B$3, INPUT_JobSettings!$A:$A, INPUT_JobSettings!$F:$F, ""))&lt;&gt;"", =IF('Job Control'!$B$3="","", XLOOKUP('Job Control'!$B$3, INPUT_JobSettings!$A:$A, INPUT_JobSettings!$F:$F, "")), $B$6)))</f>
        <v/>
      </c>
      <c r="P203" s="6">
        <f>IF(A203="","", (O203+L203)*(IF(=IF('Job Control'!$B$3="","", XLOOKUP('Job Control'!$B$3, INPUT_JobSettings!$A:$A, INPUT_JobSettings!$G:$G, ""))&lt;&gt;"", =IF('Job Control'!$B$3="","", XLOOKUP('Job Control'!$B$3, INPUT_JobSettings!$A:$A, INPUT_JobSettings!$G:$G, "")), $B$7)))</f>
        <v/>
      </c>
    </row>
    <row r="204">
      <c r="A204" s="6">
        <f>IFERROR(INDEX(FILTER(INPUT_Rooms!$B$4:$B$83, INPUT_Rooms!$A$4:$A$83=$B$4, INPUT_Rooms!$T$4:$T$83="Y"), 39), "")</f>
        <v/>
      </c>
      <c r="B204" s="6">
        <f>IF(A204="","", XLOOKUP(A204, FILTER(INPUT_Rooms!$B$4:$B$83, INPUT_Rooms!$A$4:$A$83=$B$4), FILTER(INPUT_Rooms!$C$4:$C$83, INPUT_Rooms!$A$4:$A$83=$B$4), ""))</f>
        <v/>
      </c>
      <c r="C204" s="6">
        <f>IF(A204="","", CHOOSE(4,"Baseboard","Crown","Window Casing","Door Casing","Doors (leaf)"))</f>
        <v/>
      </c>
      <c r="D204" s="6">
        <f>IF(A204="","", XLOOKUP(C204,Constants!$A$40:$A$200,Constants!$B$40:$B$200,"",0))</f>
        <v/>
      </c>
      <c r="E204" s="6">
        <f>IF(A204="","", IF(C204="Baseboard", IF(XLOOKUP(A204,INPUT_Rooms!$B:$B,INPUT_Rooms!$X:$X,"")="Y", XLOOKUP(A204,INPUT_Rooms!$B:$B,INPUT_Rooms!$AF:$AF,""), 0),IF(C204="Crown", IF(XLOOKUP(A204,INPUT_Rooms!$B:$B,INPUT_Rooms!$Y:$Y,"")="Y", XLOOKUP(A204,INPUT_Rooms!$B:$B,INPUT_Rooms!$AG:$AG,""), 0),IF(C204="Window Casing", IF(XLOOKUP(A204,INPUT_Rooms!$B:$B,INPUT_Rooms!$Z:$Z,"")="Y", SUMPRODUCT((INPUT_Openings!$A:$A=$B$4)*(INPUT_Openings!$B:$B=A204)*(INPUT_Openings!$D:$D)*XLOOKUP(INPUT_Openings!$C:$C,Constants!$A$30:$A$200,Constants!$E$30:$E$200,"",0)*(INPUT_Openings!$E:$E="Window")), 0),IF(C204="Door Casing", IF(XLOOKUP(A204,INPUT_Rooms!$B:$B,INPUT_Rooms!$AA:$AA,"")="Y", SUMPRODUCT((INPUT_Openings!$A:$A=$B$4)*(INPUT_Openings!$B:$B=A204)*(INPUT_Openings!$D:$D)*XLOOKUP(INPUT_Openings!$C:$C,Constants!$A$30:$A$200,Constants!$E$30:$E$200,"",0)*(INPUT_Openings!$E:$E="Door")), 0),IF(C204="Doors (leaf)", IF(XLOOKUP(A204,INPUT_Rooms!$B:$B,INPUT_Rooms!$AB:$AB,"")="Y", SUMPRODUCT((INPUT_Doors!$A:$A=$B$4)*(INPUT_Doors!$B:$B=A204)*(INPUT_Doors!$D:$D)*(INPUT_Doors!$E:$E)), 0), 0))))))</f>
        <v/>
      </c>
      <c r="F204" s="6">
        <f>IF(A204="","", XLOOKUP(A204, INPUT_Rooms!$B:$B, INPUT_Rooms!$U:$U, ""))</f>
        <v/>
      </c>
      <c r="G204" s="6">
        <f>IF(A204="","", XLOOKUP(A204, INPUT_Rooms!$B:$B, INPUT_Rooms!$V:$V, ""))</f>
        <v/>
      </c>
      <c r="H204" s="6">
        <f>IF(A204="","", IF(XLOOKUP(A204, INPUT_Rooms!$B:$B, INPUT_Rooms!$W:$W, "")="", $B$5, XLOOKUP(A204, INPUT_Rooms!$B:$B, INPUT_Rooms!$W:$W, "")))</f>
        <v/>
      </c>
      <c r="I204" s="6">
        <f>IF(A204="","", IF(C204="Doors (leaf)", 0, E204*XLOOKUP(C204,Constants!$A$40:$A$200,Constants!$C$40:$C$200,0,0)*XLOOKUP(H204,Constants!$E$10:$E$30,Constants!$F$10:$F$30)))</f>
        <v/>
      </c>
      <c r="J204" s="6">
        <f>IF(A204="","", IF(C204="Doors (leaf)", 0, E204*XLOOKUP(C204,Constants!$A$40:$A$200,Constants!$D$40:$D$200,0,0)*G204))</f>
        <v/>
      </c>
      <c r="K204" s="6">
        <f>IF(A204="","", IF(C204="Doors (leaf)", 0, IF(F204="Full", E204*XLOOKUP(C204,Constants!$A$40:$A$200,Constants!$E$40:$E$200,0,0), IF(F204="Spot", E204*XLOOKUP(C204,Constants!$A$40:$A$200,Constants!$E$40:$E$200,0,0)*0.35, 0))))</f>
        <v/>
      </c>
      <c r="L204">
        <f>IF(A204="","",0)</f>
        <v/>
      </c>
      <c r="M204" s="6">
        <f>IF(A204="","", SUM(I204:K204))</f>
        <v/>
      </c>
      <c r="N204" s="6">
        <f>IF(A204="","", L204/60)</f>
        <v/>
      </c>
      <c r="O204" s="6">
        <f>IF(A204="","", N204*(IF(=IF('Job Control'!$B$3="","", XLOOKUP('Job Control'!$B$3, INPUT_JobSettings!$A:$A, INPUT_JobSettings!$F:$F, ""))&lt;&gt;"", =IF('Job Control'!$B$3="","", XLOOKUP('Job Control'!$B$3, INPUT_JobSettings!$A:$A, INPUT_JobSettings!$F:$F, "")), $B$6)))</f>
        <v/>
      </c>
      <c r="P204" s="6">
        <f>IF(A204="","", (O204+L204)*(IF(=IF('Job Control'!$B$3="","", XLOOKUP('Job Control'!$B$3, INPUT_JobSettings!$A:$A, INPUT_JobSettings!$G:$G, ""))&lt;&gt;"", =IF('Job Control'!$B$3="","", XLOOKUP('Job Control'!$B$3, INPUT_JobSettings!$A:$A, INPUT_JobSettings!$G:$G, "")), $B$7)))</f>
        <v/>
      </c>
    </row>
    <row r="205">
      <c r="A205" s="6">
        <f>IFERROR(INDEX(FILTER(INPUT_Rooms!$B$4:$B$83, INPUT_Rooms!$A$4:$A$83=$B$4, INPUT_Rooms!$T$4:$T$83="Y"), 39), "")</f>
        <v/>
      </c>
      <c r="B205" s="6">
        <f>IF(A205="","", XLOOKUP(A205, FILTER(INPUT_Rooms!$B$4:$B$83, INPUT_Rooms!$A$4:$A$83=$B$4), FILTER(INPUT_Rooms!$C$4:$C$83, INPUT_Rooms!$A$4:$A$83=$B$4), ""))</f>
        <v/>
      </c>
      <c r="C205" s="6">
        <f>IF(A205="","", CHOOSE(5,"Baseboard","Crown","Window Casing","Door Casing","Doors (leaf)"))</f>
        <v/>
      </c>
      <c r="D205" s="6">
        <f>IF(A205="","", XLOOKUP(C205,Constants!$A$40:$A$200,Constants!$B$40:$B$200,"",0))</f>
        <v/>
      </c>
      <c r="E205" s="6">
        <f>IF(A205="","", IF(C205="Baseboard", IF(XLOOKUP(A205,INPUT_Rooms!$B:$B,INPUT_Rooms!$X:$X,"")="Y", XLOOKUP(A205,INPUT_Rooms!$B:$B,INPUT_Rooms!$AF:$AF,""), 0),IF(C205="Crown", IF(XLOOKUP(A205,INPUT_Rooms!$B:$B,INPUT_Rooms!$Y:$Y,"")="Y", XLOOKUP(A205,INPUT_Rooms!$B:$B,INPUT_Rooms!$AG:$AG,""), 0),IF(C205="Window Casing", IF(XLOOKUP(A205,INPUT_Rooms!$B:$B,INPUT_Rooms!$Z:$Z,"")="Y", SUMPRODUCT((INPUT_Openings!$A:$A=$B$4)*(INPUT_Openings!$B:$B=A205)*(INPUT_Openings!$D:$D)*XLOOKUP(INPUT_Openings!$C:$C,Constants!$A$30:$A$200,Constants!$E$30:$E$200,"",0)*(INPUT_Openings!$E:$E="Window")), 0),IF(C205="Door Casing", IF(XLOOKUP(A205,INPUT_Rooms!$B:$B,INPUT_Rooms!$AA:$AA,"")="Y", SUMPRODUCT((INPUT_Openings!$A:$A=$B$4)*(INPUT_Openings!$B:$B=A205)*(INPUT_Openings!$D:$D)*XLOOKUP(INPUT_Openings!$C:$C,Constants!$A$30:$A$200,Constants!$E$30:$E$200,"",0)*(INPUT_Openings!$E:$E="Door")), 0),IF(C205="Doors (leaf)", IF(XLOOKUP(A205,INPUT_Rooms!$B:$B,INPUT_Rooms!$AB:$AB,"")="Y", SUMPRODUCT((INPUT_Doors!$A:$A=$B$4)*(INPUT_Doors!$B:$B=A205)*(INPUT_Doors!$D:$D)*(INPUT_Doors!$E:$E)), 0), 0))))))</f>
        <v/>
      </c>
      <c r="F205" s="6">
        <f>IF(A205="","", XLOOKUP(A205, INPUT_Rooms!$B:$B, INPUT_Rooms!$U:$U, ""))</f>
        <v/>
      </c>
      <c r="G205" s="6">
        <f>IF(A205="","", XLOOKUP(A205, INPUT_Rooms!$B:$B, INPUT_Rooms!$V:$V, ""))</f>
        <v/>
      </c>
      <c r="H205" s="6">
        <f>IF(A205="","", IF(XLOOKUP(A205, INPUT_Rooms!$B:$B, INPUT_Rooms!$W:$W, "")="", $B$5, XLOOKUP(A205, INPUT_Rooms!$B:$B, INPUT_Rooms!$W:$W, "")))</f>
        <v/>
      </c>
      <c r="I205" s="6">
        <f>IF(A205="","", IF(C205="Doors (leaf)", 0, E205*XLOOKUP(C205,Constants!$A$40:$A$200,Constants!$C$40:$C$200,0,0)*XLOOKUP(H205,Constants!$E$10:$E$30,Constants!$F$10:$F$30)))</f>
        <v/>
      </c>
      <c r="J205" s="6">
        <f>IF(A205="","", IF(C205="Doors (leaf)", 0, E205*XLOOKUP(C205,Constants!$A$40:$A$200,Constants!$D$40:$D$200,0,0)*G205))</f>
        <v/>
      </c>
      <c r="K205" s="6">
        <f>IF(A205="","", IF(C205="Doors (leaf)", 0, IF(F205="Full", E205*XLOOKUP(C205,Constants!$A$40:$A$200,Constants!$E$40:$E$200,0,0), IF(F205="Spot", E205*XLOOKUP(C205,Constants!$A$40:$A$200,Constants!$E$40:$E$200,0,0)*0.35, 0))))</f>
        <v/>
      </c>
      <c r="L205">
        <f>IF(A205="","",0)</f>
        <v/>
      </c>
      <c r="M205" s="6">
        <f>IF(A205="","", SUM(I205:K205))</f>
        <v/>
      </c>
      <c r="N205" s="6">
        <f>IF(A205="","", L205/60)</f>
        <v/>
      </c>
      <c r="O205" s="6">
        <f>IF(A205="","", N205*(IF(=IF('Job Control'!$B$3="","", XLOOKUP('Job Control'!$B$3, INPUT_JobSettings!$A:$A, INPUT_JobSettings!$F:$F, ""))&lt;&gt;"", =IF('Job Control'!$B$3="","", XLOOKUP('Job Control'!$B$3, INPUT_JobSettings!$A:$A, INPUT_JobSettings!$F:$F, "")), $B$6)))</f>
        <v/>
      </c>
      <c r="P205" s="6">
        <f>IF(A205="","", (O205+L205)*(IF(=IF('Job Control'!$B$3="","", XLOOKUP('Job Control'!$B$3, INPUT_JobSettings!$A:$A, INPUT_JobSettings!$G:$G, ""))&lt;&gt;"", =IF('Job Control'!$B$3="","", XLOOKUP('Job Control'!$B$3, INPUT_JobSettings!$A:$A, INPUT_JobSettings!$G:$G, "")), $B$7)))</f>
        <v/>
      </c>
    </row>
    <row r="206">
      <c r="A206" s="6">
        <f>IFERROR(INDEX(FILTER(INPUT_Rooms!$B$4:$B$83, INPUT_Rooms!$A$4:$A$83=$B$4, INPUT_Rooms!$T$4:$T$83="Y"), 40), "")</f>
        <v/>
      </c>
      <c r="B206" s="6">
        <f>IF(A206="","", XLOOKUP(A206, FILTER(INPUT_Rooms!$B$4:$B$83, INPUT_Rooms!$A$4:$A$83=$B$4), FILTER(INPUT_Rooms!$C$4:$C$83, INPUT_Rooms!$A$4:$A$83=$B$4), ""))</f>
        <v/>
      </c>
      <c r="C206" s="6">
        <f>IF(A206="","", CHOOSE(1,"Baseboard","Crown","Window Casing","Door Casing","Doors (leaf)"))</f>
        <v/>
      </c>
      <c r="D206" s="6">
        <f>IF(A206="","", XLOOKUP(C206,Constants!$A$40:$A$200,Constants!$B$40:$B$200,"",0))</f>
        <v/>
      </c>
      <c r="E206" s="6">
        <f>IF(A206="","", IF(C206="Baseboard", IF(XLOOKUP(A206,INPUT_Rooms!$B:$B,INPUT_Rooms!$X:$X,"")="Y", XLOOKUP(A206,INPUT_Rooms!$B:$B,INPUT_Rooms!$AF:$AF,""), 0),IF(C206="Crown", IF(XLOOKUP(A206,INPUT_Rooms!$B:$B,INPUT_Rooms!$Y:$Y,"")="Y", XLOOKUP(A206,INPUT_Rooms!$B:$B,INPUT_Rooms!$AG:$AG,""), 0),IF(C206="Window Casing", IF(XLOOKUP(A206,INPUT_Rooms!$B:$B,INPUT_Rooms!$Z:$Z,"")="Y", SUMPRODUCT((INPUT_Openings!$A:$A=$B$4)*(INPUT_Openings!$B:$B=A206)*(INPUT_Openings!$D:$D)*XLOOKUP(INPUT_Openings!$C:$C,Constants!$A$30:$A$200,Constants!$E$30:$E$200,"",0)*(INPUT_Openings!$E:$E="Window")), 0),IF(C206="Door Casing", IF(XLOOKUP(A206,INPUT_Rooms!$B:$B,INPUT_Rooms!$AA:$AA,"")="Y", SUMPRODUCT((INPUT_Openings!$A:$A=$B$4)*(INPUT_Openings!$B:$B=A206)*(INPUT_Openings!$D:$D)*XLOOKUP(INPUT_Openings!$C:$C,Constants!$A$30:$A$200,Constants!$E$30:$E$200,"",0)*(INPUT_Openings!$E:$E="Door")), 0),IF(C206="Doors (leaf)", IF(XLOOKUP(A206,INPUT_Rooms!$B:$B,INPUT_Rooms!$AB:$AB,"")="Y", SUMPRODUCT((INPUT_Doors!$A:$A=$B$4)*(INPUT_Doors!$B:$B=A206)*(INPUT_Doors!$D:$D)*(INPUT_Doors!$E:$E)), 0), 0))))))</f>
        <v/>
      </c>
      <c r="F206" s="6">
        <f>IF(A206="","", XLOOKUP(A206, INPUT_Rooms!$B:$B, INPUT_Rooms!$U:$U, ""))</f>
        <v/>
      </c>
      <c r="G206" s="6">
        <f>IF(A206="","", XLOOKUP(A206, INPUT_Rooms!$B:$B, INPUT_Rooms!$V:$V, ""))</f>
        <v/>
      </c>
      <c r="H206" s="6">
        <f>IF(A206="","", IF(XLOOKUP(A206, INPUT_Rooms!$B:$B, INPUT_Rooms!$W:$W, "")="", $B$5, XLOOKUP(A206, INPUT_Rooms!$B:$B, INPUT_Rooms!$W:$W, "")))</f>
        <v/>
      </c>
      <c r="I206" s="6">
        <f>IF(A206="","", IF(C206="Doors (leaf)", 0, E206*XLOOKUP(C206,Constants!$A$40:$A$200,Constants!$C$40:$C$200,0,0)*XLOOKUP(H206,Constants!$E$10:$E$30,Constants!$F$10:$F$30)))</f>
        <v/>
      </c>
      <c r="J206" s="6">
        <f>IF(A206="","", IF(C206="Doors (leaf)", 0, E206*XLOOKUP(C206,Constants!$A$40:$A$200,Constants!$D$40:$D$200,0,0)*G206))</f>
        <v/>
      </c>
      <c r="K206" s="6">
        <f>IF(A206="","", IF(C206="Doors (leaf)", 0, IF(F206="Full", E206*XLOOKUP(C206,Constants!$A$40:$A$200,Constants!$E$40:$E$200,0,0), IF(F206="Spot", E206*XLOOKUP(C206,Constants!$A$40:$A$200,Constants!$E$40:$E$200,0,0)*0.35, 0))))</f>
        <v/>
      </c>
      <c r="L206">
        <f>IF(A206="","",0)</f>
        <v/>
      </c>
      <c r="M206" s="6">
        <f>IF(A206="","", SUM(I206:K206))</f>
        <v/>
      </c>
      <c r="N206" s="6">
        <f>IF(A206="","", L206/60)</f>
        <v/>
      </c>
      <c r="O206" s="6">
        <f>IF(A206="","", N206*(IF(=IF('Job Control'!$B$3="","", XLOOKUP('Job Control'!$B$3, INPUT_JobSettings!$A:$A, INPUT_JobSettings!$F:$F, ""))&lt;&gt;"", =IF('Job Control'!$B$3="","", XLOOKUP('Job Control'!$B$3, INPUT_JobSettings!$A:$A, INPUT_JobSettings!$F:$F, "")), $B$6)))</f>
        <v/>
      </c>
      <c r="P206" s="6">
        <f>IF(A206="","", (O206+L206)*(IF(=IF('Job Control'!$B$3="","", XLOOKUP('Job Control'!$B$3, INPUT_JobSettings!$A:$A, INPUT_JobSettings!$G:$G, ""))&lt;&gt;"", =IF('Job Control'!$B$3="","", XLOOKUP('Job Control'!$B$3, INPUT_JobSettings!$A:$A, INPUT_JobSettings!$G:$G, "")), $B$7)))</f>
        <v/>
      </c>
    </row>
    <row r="207">
      <c r="A207" s="6">
        <f>IFERROR(INDEX(FILTER(INPUT_Rooms!$B$4:$B$83, INPUT_Rooms!$A$4:$A$83=$B$4, INPUT_Rooms!$T$4:$T$83="Y"), 40), "")</f>
        <v/>
      </c>
      <c r="B207" s="6">
        <f>IF(A207="","", XLOOKUP(A207, FILTER(INPUT_Rooms!$B$4:$B$83, INPUT_Rooms!$A$4:$A$83=$B$4), FILTER(INPUT_Rooms!$C$4:$C$83, INPUT_Rooms!$A$4:$A$83=$B$4), ""))</f>
        <v/>
      </c>
      <c r="C207" s="6">
        <f>IF(A207="","", CHOOSE(2,"Baseboard","Crown","Window Casing","Door Casing","Doors (leaf)"))</f>
        <v/>
      </c>
      <c r="D207" s="6">
        <f>IF(A207="","", XLOOKUP(C207,Constants!$A$40:$A$200,Constants!$B$40:$B$200,"",0))</f>
        <v/>
      </c>
      <c r="E207" s="6">
        <f>IF(A207="","", IF(C207="Baseboard", IF(XLOOKUP(A207,INPUT_Rooms!$B:$B,INPUT_Rooms!$X:$X,"")="Y", XLOOKUP(A207,INPUT_Rooms!$B:$B,INPUT_Rooms!$AF:$AF,""), 0),IF(C207="Crown", IF(XLOOKUP(A207,INPUT_Rooms!$B:$B,INPUT_Rooms!$Y:$Y,"")="Y", XLOOKUP(A207,INPUT_Rooms!$B:$B,INPUT_Rooms!$AG:$AG,""), 0),IF(C207="Window Casing", IF(XLOOKUP(A207,INPUT_Rooms!$B:$B,INPUT_Rooms!$Z:$Z,"")="Y", SUMPRODUCT((INPUT_Openings!$A:$A=$B$4)*(INPUT_Openings!$B:$B=A207)*(INPUT_Openings!$D:$D)*XLOOKUP(INPUT_Openings!$C:$C,Constants!$A$30:$A$200,Constants!$E$30:$E$200,"",0)*(INPUT_Openings!$E:$E="Window")), 0),IF(C207="Door Casing", IF(XLOOKUP(A207,INPUT_Rooms!$B:$B,INPUT_Rooms!$AA:$AA,"")="Y", SUMPRODUCT((INPUT_Openings!$A:$A=$B$4)*(INPUT_Openings!$B:$B=A207)*(INPUT_Openings!$D:$D)*XLOOKUP(INPUT_Openings!$C:$C,Constants!$A$30:$A$200,Constants!$E$30:$E$200,"",0)*(INPUT_Openings!$E:$E="Door")), 0),IF(C207="Doors (leaf)", IF(XLOOKUP(A207,INPUT_Rooms!$B:$B,INPUT_Rooms!$AB:$AB,"")="Y", SUMPRODUCT((INPUT_Doors!$A:$A=$B$4)*(INPUT_Doors!$B:$B=A207)*(INPUT_Doors!$D:$D)*(INPUT_Doors!$E:$E)), 0), 0))))))</f>
        <v/>
      </c>
      <c r="F207" s="6">
        <f>IF(A207="","", XLOOKUP(A207, INPUT_Rooms!$B:$B, INPUT_Rooms!$U:$U, ""))</f>
        <v/>
      </c>
      <c r="G207" s="6">
        <f>IF(A207="","", XLOOKUP(A207, INPUT_Rooms!$B:$B, INPUT_Rooms!$V:$V, ""))</f>
        <v/>
      </c>
      <c r="H207" s="6">
        <f>IF(A207="","", IF(XLOOKUP(A207, INPUT_Rooms!$B:$B, INPUT_Rooms!$W:$W, "")="", $B$5, XLOOKUP(A207, INPUT_Rooms!$B:$B, INPUT_Rooms!$W:$W, "")))</f>
        <v/>
      </c>
      <c r="I207" s="6">
        <f>IF(A207="","", IF(C207="Doors (leaf)", 0, E207*XLOOKUP(C207,Constants!$A$40:$A$200,Constants!$C$40:$C$200,0,0)*XLOOKUP(H207,Constants!$E$10:$E$30,Constants!$F$10:$F$30)))</f>
        <v/>
      </c>
      <c r="J207" s="6">
        <f>IF(A207="","", IF(C207="Doors (leaf)", 0, E207*XLOOKUP(C207,Constants!$A$40:$A$200,Constants!$D$40:$D$200,0,0)*G207))</f>
        <v/>
      </c>
      <c r="K207" s="6">
        <f>IF(A207="","", IF(C207="Doors (leaf)", 0, IF(F207="Full", E207*XLOOKUP(C207,Constants!$A$40:$A$200,Constants!$E$40:$E$200,0,0), IF(F207="Spot", E207*XLOOKUP(C207,Constants!$A$40:$A$200,Constants!$E$40:$E$200,0,0)*0.35, 0))))</f>
        <v/>
      </c>
      <c r="L207">
        <f>IF(A207="","",0)</f>
        <v/>
      </c>
      <c r="M207" s="6">
        <f>IF(A207="","", SUM(I207:K207))</f>
        <v/>
      </c>
      <c r="N207" s="6">
        <f>IF(A207="","", L207/60)</f>
        <v/>
      </c>
      <c r="O207" s="6">
        <f>IF(A207="","", N207*(IF(=IF('Job Control'!$B$3="","", XLOOKUP('Job Control'!$B$3, INPUT_JobSettings!$A:$A, INPUT_JobSettings!$F:$F, ""))&lt;&gt;"", =IF('Job Control'!$B$3="","", XLOOKUP('Job Control'!$B$3, INPUT_JobSettings!$A:$A, INPUT_JobSettings!$F:$F, "")), $B$6)))</f>
        <v/>
      </c>
      <c r="P207" s="6">
        <f>IF(A207="","", (O207+L207)*(IF(=IF('Job Control'!$B$3="","", XLOOKUP('Job Control'!$B$3, INPUT_JobSettings!$A:$A, INPUT_JobSettings!$G:$G, ""))&lt;&gt;"", =IF('Job Control'!$B$3="","", XLOOKUP('Job Control'!$B$3, INPUT_JobSettings!$A:$A, INPUT_JobSettings!$G:$G, "")), $B$7)))</f>
        <v/>
      </c>
    </row>
    <row r="208">
      <c r="A208" s="6">
        <f>IFERROR(INDEX(FILTER(INPUT_Rooms!$B$4:$B$83, INPUT_Rooms!$A$4:$A$83=$B$4, INPUT_Rooms!$T$4:$T$83="Y"), 40), "")</f>
        <v/>
      </c>
      <c r="B208" s="6">
        <f>IF(A208="","", XLOOKUP(A208, FILTER(INPUT_Rooms!$B$4:$B$83, INPUT_Rooms!$A$4:$A$83=$B$4), FILTER(INPUT_Rooms!$C$4:$C$83, INPUT_Rooms!$A$4:$A$83=$B$4), ""))</f>
        <v/>
      </c>
      <c r="C208" s="6">
        <f>IF(A208="","", CHOOSE(3,"Baseboard","Crown","Window Casing","Door Casing","Doors (leaf)"))</f>
        <v/>
      </c>
      <c r="D208" s="6">
        <f>IF(A208="","", XLOOKUP(C208,Constants!$A$40:$A$200,Constants!$B$40:$B$200,"",0))</f>
        <v/>
      </c>
      <c r="E208" s="6">
        <f>IF(A208="","", IF(C208="Baseboard", IF(XLOOKUP(A208,INPUT_Rooms!$B:$B,INPUT_Rooms!$X:$X,"")="Y", XLOOKUP(A208,INPUT_Rooms!$B:$B,INPUT_Rooms!$AF:$AF,""), 0),IF(C208="Crown", IF(XLOOKUP(A208,INPUT_Rooms!$B:$B,INPUT_Rooms!$Y:$Y,"")="Y", XLOOKUP(A208,INPUT_Rooms!$B:$B,INPUT_Rooms!$AG:$AG,""), 0),IF(C208="Window Casing", IF(XLOOKUP(A208,INPUT_Rooms!$B:$B,INPUT_Rooms!$Z:$Z,"")="Y", SUMPRODUCT((INPUT_Openings!$A:$A=$B$4)*(INPUT_Openings!$B:$B=A208)*(INPUT_Openings!$D:$D)*XLOOKUP(INPUT_Openings!$C:$C,Constants!$A$30:$A$200,Constants!$E$30:$E$200,"",0)*(INPUT_Openings!$E:$E="Window")), 0),IF(C208="Door Casing", IF(XLOOKUP(A208,INPUT_Rooms!$B:$B,INPUT_Rooms!$AA:$AA,"")="Y", SUMPRODUCT((INPUT_Openings!$A:$A=$B$4)*(INPUT_Openings!$B:$B=A208)*(INPUT_Openings!$D:$D)*XLOOKUP(INPUT_Openings!$C:$C,Constants!$A$30:$A$200,Constants!$E$30:$E$200,"",0)*(INPUT_Openings!$E:$E="Door")), 0),IF(C208="Doors (leaf)", IF(XLOOKUP(A208,INPUT_Rooms!$B:$B,INPUT_Rooms!$AB:$AB,"")="Y", SUMPRODUCT((INPUT_Doors!$A:$A=$B$4)*(INPUT_Doors!$B:$B=A208)*(INPUT_Doors!$D:$D)*(INPUT_Doors!$E:$E)), 0), 0))))))</f>
        <v/>
      </c>
      <c r="F208" s="6">
        <f>IF(A208="","", XLOOKUP(A208, INPUT_Rooms!$B:$B, INPUT_Rooms!$U:$U, ""))</f>
        <v/>
      </c>
      <c r="G208" s="6">
        <f>IF(A208="","", XLOOKUP(A208, INPUT_Rooms!$B:$B, INPUT_Rooms!$V:$V, ""))</f>
        <v/>
      </c>
      <c r="H208" s="6">
        <f>IF(A208="","", IF(XLOOKUP(A208, INPUT_Rooms!$B:$B, INPUT_Rooms!$W:$W, "")="", $B$5, XLOOKUP(A208, INPUT_Rooms!$B:$B, INPUT_Rooms!$W:$W, "")))</f>
        <v/>
      </c>
      <c r="I208" s="6">
        <f>IF(A208="","", IF(C208="Doors (leaf)", 0, E208*XLOOKUP(C208,Constants!$A$40:$A$200,Constants!$C$40:$C$200,0,0)*XLOOKUP(H208,Constants!$E$10:$E$30,Constants!$F$10:$F$30)))</f>
        <v/>
      </c>
      <c r="J208" s="6">
        <f>IF(A208="","", IF(C208="Doors (leaf)", 0, E208*XLOOKUP(C208,Constants!$A$40:$A$200,Constants!$D$40:$D$200,0,0)*G208))</f>
        <v/>
      </c>
      <c r="K208" s="6">
        <f>IF(A208="","", IF(C208="Doors (leaf)", 0, IF(F208="Full", E208*XLOOKUP(C208,Constants!$A$40:$A$200,Constants!$E$40:$E$200,0,0), IF(F208="Spot", E208*XLOOKUP(C208,Constants!$A$40:$A$200,Constants!$E$40:$E$200,0,0)*0.35, 0))))</f>
        <v/>
      </c>
      <c r="L208">
        <f>IF(A208="","",0)</f>
        <v/>
      </c>
      <c r="M208" s="6">
        <f>IF(A208="","", SUM(I208:K208))</f>
        <v/>
      </c>
      <c r="N208" s="6">
        <f>IF(A208="","", L208/60)</f>
        <v/>
      </c>
      <c r="O208" s="6">
        <f>IF(A208="","", N208*(IF(=IF('Job Control'!$B$3="","", XLOOKUP('Job Control'!$B$3, INPUT_JobSettings!$A:$A, INPUT_JobSettings!$F:$F, ""))&lt;&gt;"", =IF('Job Control'!$B$3="","", XLOOKUP('Job Control'!$B$3, INPUT_JobSettings!$A:$A, INPUT_JobSettings!$F:$F, "")), $B$6)))</f>
        <v/>
      </c>
      <c r="P208" s="6">
        <f>IF(A208="","", (O208+L208)*(IF(=IF('Job Control'!$B$3="","", XLOOKUP('Job Control'!$B$3, INPUT_JobSettings!$A:$A, INPUT_JobSettings!$G:$G, ""))&lt;&gt;"", =IF('Job Control'!$B$3="","", XLOOKUP('Job Control'!$B$3, INPUT_JobSettings!$A:$A, INPUT_JobSettings!$G:$G, "")), $B$7)))</f>
        <v/>
      </c>
    </row>
    <row r="209">
      <c r="A209" s="6">
        <f>IFERROR(INDEX(FILTER(INPUT_Rooms!$B$4:$B$83, INPUT_Rooms!$A$4:$A$83=$B$4, INPUT_Rooms!$T$4:$T$83="Y"), 40), "")</f>
        <v/>
      </c>
      <c r="B209" s="6">
        <f>IF(A209="","", XLOOKUP(A209, FILTER(INPUT_Rooms!$B$4:$B$83, INPUT_Rooms!$A$4:$A$83=$B$4), FILTER(INPUT_Rooms!$C$4:$C$83, INPUT_Rooms!$A$4:$A$83=$B$4), ""))</f>
        <v/>
      </c>
      <c r="C209" s="6">
        <f>IF(A209="","", CHOOSE(4,"Baseboard","Crown","Window Casing","Door Casing","Doors (leaf)"))</f>
        <v/>
      </c>
      <c r="D209" s="6">
        <f>IF(A209="","", XLOOKUP(C209,Constants!$A$40:$A$200,Constants!$B$40:$B$200,"",0))</f>
        <v/>
      </c>
      <c r="E209" s="6">
        <f>IF(A209="","", IF(C209="Baseboard", IF(XLOOKUP(A209,INPUT_Rooms!$B:$B,INPUT_Rooms!$X:$X,"")="Y", XLOOKUP(A209,INPUT_Rooms!$B:$B,INPUT_Rooms!$AF:$AF,""), 0),IF(C209="Crown", IF(XLOOKUP(A209,INPUT_Rooms!$B:$B,INPUT_Rooms!$Y:$Y,"")="Y", XLOOKUP(A209,INPUT_Rooms!$B:$B,INPUT_Rooms!$AG:$AG,""), 0),IF(C209="Window Casing", IF(XLOOKUP(A209,INPUT_Rooms!$B:$B,INPUT_Rooms!$Z:$Z,"")="Y", SUMPRODUCT((INPUT_Openings!$A:$A=$B$4)*(INPUT_Openings!$B:$B=A209)*(INPUT_Openings!$D:$D)*XLOOKUP(INPUT_Openings!$C:$C,Constants!$A$30:$A$200,Constants!$E$30:$E$200,"",0)*(INPUT_Openings!$E:$E="Window")), 0),IF(C209="Door Casing", IF(XLOOKUP(A209,INPUT_Rooms!$B:$B,INPUT_Rooms!$AA:$AA,"")="Y", SUMPRODUCT((INPUT_Openings!$A:$A=$B$4)*(INPUT_Openings!$B:$B=A209)*(INPUT_Openings!$D:$D)*XLOOKUP(INPUT_Openings!$C:$C,Constants!$A$30:$A$200,Constants!$E$30:$E$200,"",0)*(INPUT_Openings!$E:$E="Door")), 0),IF(C209="Doors (leaf)", IF(XLOOKUP(A209,INPUT_Rooms!$B:$B,INPUT_Rooms!$AB:$AB,"")="Y", SUMPRODUCT((INPUT_Doors!$A:$A=$B$4)*(INPUT_Doors!$B:$B=A209)*(INPUT_Doors!$D:$D)*(INPUT_Doors!$E:$E)), 0), 0))))))</f>
        <v/>
      </c>
      <c r="F209" s="6">
        <f>IF(A209="","", XLOOKUP(A209, INPUT_Rooms!$B:$B, INPUT_Rooms!$U:$U, ""))</f>
        <v/>
      </c>
      <c r="G209" s="6">
        <f>IF(A209="","", XLOOKUP(A209, INPUT_Rooms!$B:$B, INPUT_Rooms!$V:$V, ""))</f>
        <v/>
      </c>
      <c r="H209" s="6">
        <f>IF(A209="","", IF(XLOOKUP(A209, INPUT_Rooms!$B:$B, INPUT_Rooms!$W:$W, "")="", $B$5, XLOOKUP(A209, INPUT_Rooms!$B:$B, INPUT_Rooms!$W:$W, "")))</f>
        <v/>
      </c>
      <c r="I209" s="6">
        <f>IF(A209="","", IF(C209="Doors (leaf)", 0, E209*XLOOKUP(C209,Constants!$A$40:$A$200,Constants!$C$40:$C$200,0,0)*XLOOKUP(H209,Constants!$E$10:$E$30,Constants!$F$10:$F$30)))</f>
        <v/>
      </c>
      <c r="J209" s="6">
        <f>IF(A209="","", IF(C209="Doors (leaf)", 0, E209*XLOOKUP(C209,Constants!$A$40:$A$200,Constants!$D$40:$D$200,0,0)*G209))</f>
        <v/>
      </c>
      <c r="K209" s="6">
        <f>IF(A209="","", IF(C209="Doors (leaf)", 0, IF(F209="Full", E209*XLOOKUP(C209,Constants!$A$40:$A$200,Constants!$E$40:$E$200,0,0), IF(F209="Spot", E209*XLOOKUP(C209,Constants!$A$40:$A$200,Constants!$E$40:$E$200,0,0)*0.35, 0))))</f>
        <v/>
      </c>
      <c r="L209">
        <f>IF(A209="","",0)</f>
        <v/>
      </c>
      <c r="M209" s="6">
        <f>IF(A209="","", SUM(I209:K209))</f>
        <v/>
      </c>
      <c r="N209" s="6">
        <f>IF(A209="","", L209/60)</f>
        <v/>
      </c>
      <c r="O209" s="6">
        <f>IF(A209="","", N209*(IF(=IF('Job Control'!$B$3="","", XLOOKUP('Job Control'!$B$3, INPUT_JobSettings!$A:$A, INPUT_JobSettings!$F:$F, ""))&lt;&gt;"", =IF('Job Control'!$B$3="","", XLOOKUP('Job Control'!$B$3, INPUT_JobSettings!$A:$A, INPUT_JobSettings!$F:$F, "")), $B$6)))</f>
        <v/>
      </c>
      <c r="P209" s="6">
        <f>IF(A209="","", (O209+L209)*(IF(=IF('Job Control'!$B$3="","", XLOOKUP('Job Control'!$B$3, INPUT_JobSettings!$A:$A, INPUT_JobSettings!$G:$G, ""))&lt;&gt;"", =IF('Job Control'!$B$3="","", XLOOKUP('Job Control'!$B$3, INPUT_JobSettings!$A:$A, INPUT_JobSettings!$G:$G, "")), $B$7)))</f>
        <v/>
      </c>
    </row>
    <row r="210">
      <c r="A210" s="6">
        <f>IFERROR(INDEX(FILTER(INPUT_Rooms!$B$4:$B$83, INPUT_Rooms!$A$4:$A$83=$B$4, INPUT_Rooms!$T$4:$T$83="Y"), 40), "")</f>
        <v/>
      </c>
      <c r="B210" s="6">
        <f>IF(A210="","", XLOOKUP(A210, FILTER(INPUT_Rooms!$B$4:$B$83, INPUT_Rooms!$A$4:$A$83=$B$4), FILTER(INPUT_Rooms!$C$4:$C$83, INPUT_Rooms!$A$4:$A$83=$B$4), ""))</f>
        <v/>
      </c>
      <c r="C210" s="6">
        <f>IF(A210="","", CHOOSE(5,"Baseboard","Crown","Window Casing","Door Casing","Doors (leaf)"))</f>
        <v/>
      </c>
      <c r="D210" s="6">
        <f>IF(A210="","", XLOOKUP(C210,Constants!$A$40:$A$200,Constants!$B$40:$B$200,"",0))</f>
        <v/>
      </c>
      <c r="E210" s="6">
        <f>IF(A210="","", IF(C210="Baseboard", IF(XLOOKUP(A210,INPUT_Rooms!$B:$B,INPUT_Rooms!$X:$X,"")="Y", XLOOKUP(A210,INPUT_Rooms!$B:$B,INPUT_Rooms!$AF:$AF,""), 0),IF(C210="Crown", IF(XLOOKUP(A210,INPUT_Rooms!$B:$B,INPUT_Rooms!$Y:$Y,"")="Y", XLOOKUP(A210,INPUT_Rooms!$B:$B,INPUT_Rooms!$AG:$AG,""), 0),IF(C210="Window Casing", IF(XLOOKUP(A210,INPUT_Rooms!$B:$B,INPUT_Rooms!$Z:$Z,"")="Y", SUMPRODUCT((INPUT_Openings!$A:$A=$B$4)*(INPUT_Openings!$B:$B=A210)*(INPUT_Openings!$D:$D)*XLOOKUP(INPUT_Openings!$C:$C,Constants!$A$30:$A$200,Constants!$E$30:$E$200,"",0)*(INPUT_Openings!$E:$E="Window")), 0),IF(C210="Door Casing", IF(XLOOKUP(A210,INPUT_Rooms!$B:$B,INPUT_Rooms!$AA:$AA,"")="Y", SUMPRODUCT((INPUT_Openings!$A:$A=$B$4)*(INPUT_Openings!$B:$B=A210)*(INPUT_Openings!$D:$D)*XLOOKUP(INPUT_Openings!$C:$C,Constants!$A$30:$A$200,Constants!$E$30:$E$200,"",0)*(INPUT_Openings!$E:$E="Door")), 0),IF(C210="Doors (leaf)", IF(XLOOKUP(A210,INPUT_Rooms!$B:$B,INPUT_Rooms!$AB:$AB,"")="Y", SUMPRODUCT((INPUT_Doors!$A:$A=$B$4)*(INPUT_Doors!$B:$B=A210)*(INPUT_Doors!$D:$D)*(INPUT_Doors!$E:$E)), 0), 0))))))</f>
        <v/>
      </c>
      <c r="F210" s="6">
        <f>IF(A210="","", XLOOKUP(A210, INPUT_Rooms!$B:$B, INPUT_Rooms!$U:$U, ""))</f>
        <v/>
      </c>
      <c r="G210" s="6">
        <f>IF(A210="","", XLOOKUP(A210, INPUT_Rooms!$B:$B, INPUT_Rooms!$V:$V, ""))</f>
        <v/>
      </c>
      <c r="H210" s="6">
        <f>IF(A210="","", IF(XLOOKUP(A210, INPUT_Rooms!$B:$B, INPUT_Rooms!$W:$W, "")="", $B$5, XLOOKUP(A210, INPUT_Rooms!$B:$B, INPUT_Rooms!$W:$W, "")))</f>
        <v/>
      </c>
      <c r="I210" s="6">
        <f>IF(A210="","", IF(C210="Doors (leaf)", 0, E210*XLOOKUP(C210,Constants!$A$40:$A$200,Constants!$C$40:$C$200,0,0)*XLOOKUP(H210,Constants!$E$10:$E$30,Constants!$F$10:$F$30)))</f>
        <v/>
      </c>
      <c r="J210" s="6">
        <f>IF(A210="","", IF(C210="Doors (leaf)", 0, E210*XLOOKUP(C210,Constants!$A$40:$A$200,Constants!$D$40:$D$200,0,0)*G210))</f>
        <v/>
      </c>
      <c r="K210" s="6">
        <f>IF(A210="","", IF(C210="Doors (leaf)", 0, IF(F210="Full", E210*XLOOKUP(C210,Constants!$A$40:$A$200,Constants!$E$40:$E$200,0,0), IF(F210="Spot", E210*XLOOKUP(C210,Constants!$A$40:$A$200,Constants!$E$40:$E$200,0,0)*0.35, 0))))</f>
        <v/>
      </c>
      <c r="L210">
        <f>IF(A210="","",0)</f>
        <v/>
      </c>
      <c r="M210" s="6">
        <f>IF(A210="","", SUM(I210:K210))</f>
        <v/>
      </c>
      <c r="N210" s="6">
        <f>IF(A210="","", L210/60)</f>
        <v/>
      </c>
      <c r="O210" s="6">
        <f>IF(A210="","", N210*(IF(=IF('Job Control'!$B$3="","", XLOOKUP('Job Control'!$B$3, INPUT_JobSettings!$A:$A, INPUT_JobSettings!$F:$F, ""))&lt;&gt;"", =IF('Job Control'!$B$3="","", XLOOKUP('Job Control'!$B$3, INPUT_JobSettings!$A:$A, INPUT_JobSettings!$F:$F, "")), $B$6)))</f>
        <v/>
      </c>
      <c r="P210" s="6">
        <f>IF(A210="","", (O210+L210)*(IF(=IF('Job Control'!$B$3="","", XLOOKUP('Job Control'!$B$3, INPUT_JobSettings!$A:$A, INPUT_JobSettings!$G:$G, ""))&lt;&gt;"", =IF('Job Control'!$B$3="","", XLOOKUP('Job Control'!$B$3, INPUT_JobSettings!$A:$A, INPUT_JobSettings!$G:$G, "")), $B$7)))</f>
        <v/>
      </c>
    </row>
  </sheetData>
  <mergeCells count="1">
    <mergeCell ref="A1:P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cols>
    <col width="28" customWidth="1" min="1" max="1"/>
    <col width="18"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SUMMARY (Estimator-only)</t>
        </is>
      </c>
    </row>
    <row r="2"/>
    <row r="3">
      <c r="A3" s="9" t="inlineStr">
        <is>
          <t>JobID</t>
        </is>
      </c>
      <c r="B3" s="8">
        <f>'Job Control'!$B$3</f>
        <v/>
      </c>
    </row>
    <row r="4">
      <c r="A4" s="9" t="inlineStr">
        <is>
          <t>Labor Rate ($/hr)</t>
        </is>
      </c>
      <c r="B4" s="6">
        <f>XLOOKUP("LaborRate",Constants!$A$10:$A$60,Constants!$B$10:$B$60)</f>
        <v/>
      </c>
    </row>
    <row r="5">
      <c r="A5" s="9" t="inlineStr">
        <is>
          <t>Markup</t>
        </is>
      </c>
      <c r="B5" s="6">
        <f>XLOOKUP("Markup",Constants!$A$10:$A$60,Constants!$B$10:$B$60)</f>
        <v/>
      </c>
    </row>
    <row r="6">
      <c r="A6" s="9" t="inlineStr">
        <is>
          <t>Round Increment (hrs)</t>
        </is>
      </c>
      <c r="B6" s="6">
        <f>XLOOKUP("RoundIncrementHours",Constants!$A$10:$A$60,Constants!$B$10:$B$60)</f>
        <v/>
      </c>
    </row>
    <row r="7"/>
    <row r="8">
      <c r="A8" s="4" t="inlineStr">
        <is>
          <t>MAIN JOB (rounded)</t>
        </is>
      </c>
    </row>
    <row r="9">
      <c r="A9" s="6" t="inlineStr">
        <is>
          <t>Walls Labor Hours (calc)</t>
        </is>
      </c>
      <c r="B9" s="6">
        <f>IFERROR(SUM(FILTER(ENGINE_Walls!$P$11:$P$90, ENGINE_Walls!$A$11:$A$90&lt;&gt;"")),0)</f>
        <v/>
      </c>
    </row>
    <row r="10">
      <c r="A10" s="6" t="inlineStr">
        <is>
          <t>Walls Materials $ (calc)</t>
        </is>
      </c>
      <c r="B10" s="6">
        <f>IFERROR(SUM(FILTER(ENGINE_Walls!$N$11:$N$90, ENGINE_Walls!$A$11:$A$90&lt;&gt;"")),0)</f>
        <v/>
      </c>
    </row>
    <row r="11">
      <c r="A11" s="6" t="inlineStr">
        <is>
          <t>Ceilings Labor Hours (calc)</t>
        </is>
      </c>
      <c r="B11" s="6">
        <f>IFERROR(SUM(FILTER(ENGINE_Ceilings!$R$11:$R$90, ENGINE_Ceilings!$A$11:$A$90&lt;&gt;"")),0)</f>
        <v/>
      </c>
    </row>
    <row r="12">
      <c r="A12" s="6" t="inlineStr">
        <is>
          <t>Ceilings Materials $ (calc)</t>
        </is>
      </c>
      <c r="B12" s="6">
        <f>IFERROR(SUM(FILTER(ENGINE_Ceilings!$P$11:$P$90, ENGINE_Ceilings!$A$11:$A$90&lt;&gt;"")),0)</f>
        <v/>
      </c>
    </row>
    <row r="13">
      <c r="A13" s="6" t="inlineStr">
        <is>
          <t>Trim Labor Hours (calc)</t>
        </is>
      </c>
      <c r="B13" s="6">
        <f>IFERROR(SUM(FILTER(INPUT_TrimLines!$N$6:$N$305, INPUT_TrimLines!$A$6:$A$305=$B$3)),0)</f>
        <v/>
      </c>
    </row>
    <row r="14">
      <c r="A14" s="6" t="inlineStr">
        <is>
          <t>Trim Materials $ (calc)</t>
        </is>
      </c>
      <c r="B14" s="6">
        <f>IFERROR(SUM(FILTER(INPUT_TrimLines!$P$6:$P$305, INPUT_TrimLines!$A$6:$A$305=$B$3)),0)</f>
        <v/>
      </c>
    </row>
    <row r="15">
      <c r="A15" t="inlineStr">
        <is>
          <t>Main Labor Hours Total</t>
        </is>
      </c>
      <c r="B15">
        <f>B9+B11+B13</f>
        <v/>
      </c>
    </row>
    <row r="16">
      <c r="A16" s="4" t="inlineStr">
        <is>
          <t>Rounded Main Labor Hours</t>
        </is>
      </c>
      <c r="B16">
        <f>MROUND(B15, B6)</f>
        <v/>
      </c>
    </row>
    <row r="17">
      <c r="A17" s="6" t="inlineStr">
        <is>
          <t>Main Materials Total $</t>
        </is>
      </c>
      <c r="B17" s="14">
        <f>B10+B12+B14+B20</f>
        <v/>
      </c>
    </row>
    <row r="18">
      <c r="A18" t="inlineStr">
        <is>
          <t>Rounded Main Labor $</t>
        </is>
      </c>
      <c r="B18">
        <f>B16*B4*B5</f>
        <v/>
      </c>
    </row>
    <row r="19">
      <c r="A19" s="6" t="inlineStr">
        <is>
          <t>MAIN TOTAL $ (Labor+Materials)</t>
        </is>
      </c>
      <c r="B19" s="10">
        <f>B18+B17</f>
        <v/>
      </c>
    </row>
    <row r="20">
      <c r="A20" s="6" t="inlineStr">
        <is>
          <t>Roller Covers $ (calc)</t>
        </is>
      </c>
      <c r="B20" s="14">
        <f>IFERROR(SUM(FILTER(INPUT_Rollers!$G$4:$G$303, INPUT_Rollers!$A$4:$A$303=$B$3, INPUT_Rollers!$I$4:$I$303&lt;&gt;"N")),0)</f>
        <v/>
      </c>
    </row>
    <row r="21">
      <c r="A21" t="inlineStr">
        <is>
          <t>PER-SCOPE TOTALS (allocated; sums to MAIN TOTAL)</t>
        </is>
      </c>
    </row>
    <row r="22">
      <c r="A22" t="inlineStr">
        <is>
          <t>Walls Unrounded Labor $</t>
        </is>
      </c>
      <c r="B22">
        <f>B9*B4*B5</f>
        <v/>
      </c>
    </row>
    <row r="23">
      <c r="A23" t="inlineStr">
        <is>
          <t>Ceilings Unrounded Labor $</t>
        </is>
      </c>
      <c r="B23">
        <f>B11*B4*B5</f>
        <v/>
      </c>
    </row>
    <row r="24">
      <c r="A24" t="inlineStr">
        <is>
          <t>Trim Unrounded Labor $</t>
        </is>
      </c>
      <c r="B24">
        <f>B13*B4*B5</f>
        <v/>
      </c>
    </row>
    <row r="25">
      <c r="A25" t="inlineStr">
        <is>
          <t>Sum Unrounded Labor $</t>
        </is>
      </c>
      <c r="B25">
        <f>SUM(B22:B24)</f>
        <v/>
      </c>
    </row>
    <row r="26">
      <c r="A26" t="inlineStr">
        <is>
          <t>Walls Sqft (calc)</t>
        </is>
      </c>
      <c r="B26">
        <f>IFERROR(SUM(FILTER(ENGINE_Walls!$D$11:$D$90, ENGINE_Walls!$A$11:$A$90&lt;&gt;"")),0)</f>
        <v/>
      </c>
    </row>
    <row r="27">
      <c r="A27" t="inlineStr">
        <is>
          <t>Ceilings Sqft (calc)</t>
        </is>
      </c>
      <c r="B27">
        <f>IFERROR(SUM(FILTER(ENGINE_Ceilings!$D$11:$D$90, ENGINE_Ceilings!$A$11:$A$90&lt;&gt;"")),0)</f>
        <v/>
      </c>
    </row>
    <row r="28">
      <c r="A28" t="inlineStr">
        <is>
          <t>Trim LF (calc)</t>
        </is>
      </c>
      <c r="B28">
        <f>IFERROR(SUM(FILTER(INPUT_TrimLines!$F$6:$F$305, INPUT_TrimLines!$A$6:$A$305=$B$3)),0)</f>
        <v/>
      </c>
    </row>
    <row r="29">
      <c r="A29" t="inlineStr">
        <is>
          <t>Walls Supplies $</t>
        </is>
      </c>
      <c r="B29">
        <f>B26*XLOOKUP("SuppliesWallsPerSqft",Constants!$A:$A,Constants!$B:$B,0)+IFERROR(XLOOKUP($B$3,INPUT_JobSettings!$A:$A,INPUT_JobSettings!$R:$R,0),0)</f>
        <v/>
      </c>
    </row>
    <row r="30">
      <c r="A30" t="inlineStr">
        <is>
          <t>Ceilings Supplies $</t>
        </is>
      </c>
      <c r="B30">
        <f>B27*XLOOKUP("SuppliesCeilingsPerSqft",Constants!$A:$A,Constants!$B:$B,0)+IFERROR(XLOOKUP($B$3,INPUT_JobSettings!$A:$A,INPUT_JobSettings!$S:$S,0),0)</f>
        <v/>
      </c>
    </row>
    <row r="31">
      <c r="A31" t="inlineStr">
        <is>
          <t>Trim Supplies $</t>
        </is>
      </c>
      <c r="B31">
        <f>B28*XLOOKUP("SuppliesTrimPerLF",Constants!$A:$A,Constants!$B:$B,0)+IFERROR(XLOOKUP($B$3,INPUT_JobSettings!$A:$A,INPUT_JobSettings!$T:$T,0),0)</f>
        <v/>
      </c>
    </row>
    <row r="32">
      <c r="A32" t="inlineStr">
        <is>
          <t>Walls Total $ (allocated)</t>
        </is>
      </c>
      <c r="B32">
        <f>IF(B25=0,0,(B22/B25)*$B$18)+$B$10+B29</f>
        <v/>
      </c>
    </row>
    <row r="33">
      <c r="A33" s="4" t="inlineStr">
        <is>
          <t>Ceilings Total $ (allocated)</t>
        </is>
      </c>
      <c r="B33">
        <f>IF(B25=0,0,(B23/B25)*$B$18)+$B$12+B30</f>
        <v/>
      </c>
    </row>
    <row r="34">
      <c r="A34" t="inlineStr">
        <is>
          <t>Trim Total $ (allocated)</t>
        </is>
      </c>
      <c r="B34">
        <f>IF(B25=0,0,(B24/B25)*$B$18)+$B$14+B31</f>
        <v/>
      </c>
    </row>
    <row r="35">
      <c r="A35" t="inlineStr">
        <is>
          <t>Check Sum (should = MAIN TOTAL)</t>
        </is>
      </c>
      <c r="B35">
        <f>SUM(B32:B34)</f>
        <v/>
      </c>
    </row>
    <row r="36">
      <c r="A36" t="inlineStr">
        <is>
          <t>PREJOB (not rounded)</t>
        </is>
      </c>
    </row>
    <row r="37">
      <c r="A37" t="inlineStr">
        <is>
          <t>PreJob Total $</t>
        </is>
      </c>
      <c r="B37">
        <f>IFERROR(SUM(FILTER(INPUT_PreJobTrips!$H$4:$H$203, INPUT_PreJobTrips!$A$4:$A$203=$B$3, INPUT_PreJobTrips!$J$4:$J$203&lt;&gt;"N")),0)</f>
        <v/>
      </c>
    </row>
    <row r="38">
      <c r="A38" t="inlineStr">
        <is>
          <t>FINAL TOTAL $</t>
        </is>
      </c>
      <c r="B38">
        <f>B19+B37</f>
        <v/>
      </c>
    </row>
    <row r="39">
      <c r="B39" s="1" t="n"/>
    </row>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OUTPUT_APP (read-only for app: stable outputs + schema)</t>
        </is>
      </c>
    </row>
    <row r="3">
      <c r="A3" t="inlineStr">
        <is>
          <t>SchemaVersion</t>
        </is>
      </c>
      <c r="B3">
        <f>XLOOKUP("SchemaVersion",Constants!$A:$A,Constants!$B:$B,"")</f>
        <v/>
      </c>
    </row>
    <row r="4">
      <c r="A4" t="inlineStr">
        <is>
          <t>JobID</t>
        </is>
      </c>
      <c r="B4">
        <f>'Job Control'!$B$3</f>
        <v/>
      </c>
    </row>
    <row r="6">
      <c r="A6" t="inlineStr">
        <is>
          <t>FinalTotal</t>
        </is>
      </c>
      <c r="B6">
        <f>Summary!$B$38</f>
        <v/>
      </c>
    </row>
    <row r="7">
      <c r="A7" t="inlineStr">
        <is>
          <t>MainTotal</t>
        </is>
      </c>
      <c r="B7">
        <f>Summary!$B$19</f>
        <v/>
      </c>
    </row>
    <row r="8">
      <c r="A8" t="inlineStr">
        <is>
          <t>PreJobTotal</t>
        </is>
      </c>
      <c r="B8">
        <f>Summary!$B$37</f>
        <v/>
      </c>
    </row>
    <row r="9">
      <c r="A9" t="inlineStr">
        <is>
          <t>WallsTotal</t>
        </is>
      </c>
      <c r="B9">
        <f>Summary!$B$32</f>
        <v/>
      </c>
    </row>
    <row r="10">
      <c r="A10" t="inlineStr">
        <is>
          <t>CeilingsTotal</t>
        </is>
      </c>
      <c r="B10">
        <f>Summary!$B$33</f>
        <v/>
      </c>
    </row>
    <row r="11">
      <c r="A11" t="inlineStr">
        <is>
          <t>TrimTotal</t>
        </is>
      </c>
      <c r="B11">
        <f>Summary!$B$34</f>
        <v/>
      </c>
    </row>
    <row r="12">
      <c r="A12" t="inlineStr">
        <is>
          <t>RollerCoversTotal</t>
        </is>
      </c>
      <c r="B12">
        <f>Summary!$B$20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24" customWidth="1" min="1" max="1"/>
    <col width="90" customWidth="1" min="2" max="2"/>
    <col width="16" customWidth="1" min="4" max="4"/>
    <col width="28" customWidth="1" min="5" max="5"/>
  </cols>
  <sheetData>
    <row r="1">
      <c r="A1" s="1" t="inlineStr">
        <is>
          <t>ESTIMATE BUILDER (Client Output)</t>
        </is>
      </c>
    </row>
    <row r="3">
      <c r="A3" s="9" t="inlineStr">
        <is>
          <t>JobID</t>
        </is>
      </c>
      <c r="B3" s="8">
        <f>'Job Control'!$B$3</f>
        <v/>
      </c>
    </row>
    <row r="5">
      <c r="A5" s="5" t="inlineStr">
        <is>
          <t>Room</t>
        </is>
      </c>
      <c r="B5" s="5" t="inlineStr">
        <is>
          <t>Description</t>
        </is>
      </c>
      <c r="D5" s="5" t="inlineStr">
        <is>
          <t>Paints (job-level)</t>
        </is>
      </c>
    </row>
    <row r="6">
      <c r="A6" s="6">
        <f>IFERROR(INDEX(FILTER(INPUT_Rooms!$C$4:$C$83, INPUT_Rooms!$A$4:$A$83=$B$3), 1), "")</f>
        <v/>
      </c>
      <c r="B6" s="6">
        <f>IF(A6="","",TEXTJOIN(" ",TRUE,IF(INDEX(FILTER(INPUT_Rooms!$K$4:$K$83, INPUT_Rooms!$A$4:$A$83=$B$3),1)="Y","Prep and paint "&amp;INDEX(FILTER(INPUT_Rooms!$M$4:$M$83, INPUT_Rooms!$A$4:$A$83=$B$3),1)&amp;" coat(s) on "&amp;A6&amp;" walls.", ""),IF(INDEX(FILTER(INPUT_Rooms!$O$4:$O$83, INPUT_Rooms!$A$4:$A$83=$B$3),1)="Y","Prep and paint "&amp;INDEX(FILTER(INPUT_Rooms!$Q$4:$Q$83, INPUT_Rooms!$A$4:$A$83=$B$3),1)&amp;" coat(s) on "&amp;A6&amp;" ceilings.", ""),IF(INDEX(FILTER(INPUT_Rooms!$T$4:$T$83, INPUT_Rooms!$A$4:$A$83=$B$3),1)="Y","Prep and paint "&amp;INDEX(FILTER(INPUT_Rooms!$V$4:$V$83, INPUT_Rooms!$A$4:$A$83=$B$3),1)&amp;" coat(s) on "&amp;A6&amp;" trim ("&amp;TEXTJOIN(", ",TRUE,IF(INDEX(FILTER(INPUT_Rooms!$X$4:$X$83, INPUT_Rooms!$A$4:$A$83=$B$3),1)="Y","base",""),IF(INDEX(FILTER(INPUT_Rooms!$Y$4:$Y$83, INPUT_Rooms!$A$4:$A$83=$B$3),1)="Y","crown",""),IF(INDEX(FILTER(INPUT_Rooms!$Z$4:$Z$83, INPUT_Rooms!$A$4:$A$83=$B$3),1)="Y","window casing",""),IF(INDEX(FILTER(INPUT_Rooms!$AA$4:$AA$83, INPUT_Rooms!$A$4:$A$83=$B$3),1)="Y","door casing",""),IF(INDEX(FILTER(INPUT_Rooms!$AB$4:$AB$83, INPUT_Rooms!$A$4:$A$83=$B$3),1)="Y","doors",""))&amp;").", "")))</f>
        <v/>
      </c>
      <c r="D6" s="2" t="inlineStr">
        <is>
          <t>Walls:</t>
        </is>
      </c>
      <c r="E6" s="3">
        <f>XLOOKUP('Job Control'!$B$3, INPUT_JobSettings!$A:$A, INPUT_JobSettings!$K:$K, "")</f>
        <v/>
      </c>
    </row>
    <row r="7">
      <c r="A7" s="6">
        <f>IFERROR(INDEX(FILTER(INPUT_Rooms!$C$4:$C$83, INPUT_Rooms!$A$4:$A$83=$B$3), 2), "")</f>
        <v/>
      </c>
      <c r="B7" s="6">
        <f>IF(A7="","",TEXTJOIN(" ",TRUE,IF(INDEX(FILTER(INPUT_Rooms!$K$4:$K$83, INPUT_Rooms!$A$4:$A$83=$B$3),2)="Y","Prep and paint "&amp;INDEX(FILTER(INPUT_Rooms!$M$4:$M$83, INPUT_Rooms!$A$4:$A$83=$B$3),2)&amp;" coat(s) on "&amp;A7&amp;" walls.", ""),IF(INDEX(FILTER(INPUT_Rooms!$O$4:$O$83, INPUT_Rooms!$A$4:$A$83=$B$3),2)="Y","Prep and paint "&amp;INDEX(FILTER(INPUT_Rooms!$Q$4:$Q$83, INPUT_Rooms!$A$4:$A$83=$B$3),2)&amp;" coat(s) on "&amp;A7&amp;" ceilings.", ""),IF(INDEX(FILTER(INPUT_Rooms!$T$4:$T$83, INPUT_Rooms!$A$4:$A$83=$B$3),2)="Y","Prep and paint "&amp;INDEX(FILTER(INPUT_Rooms!$V$4:$V$83, INPUT_Rooms!$A$4:$A$83=$B$3),2)&amp;" coat(s) on "&amp;A7&amp;" trim ("&amp;TEXTJOIN(", ",TRUE,IF(INDEX(FILTER(INPUT_Rooms!$X$4:$X$83, INPUT_Rooms!$A$4:$A$83=$B$3),2)="Y","base",""),IF(INDEX(FILTER(INPUT_Rooms!$Y$4:$Y$83, INPUT_Rooms!$A$4:$A$83=$B$3),2)="Y","crown",""),IF(INDEX(FILTER(INPUT_Rooms!$Z$4:$Z$83, INPUT_Rooms!$A$4:$A$83=$B$3),2)="Y","window casing",""),IF(INDEX(FILTER(INPUT_Rooms!$AA$4:$AA$83, INPUT_Rooms!$A$4:$A$83=$B$3),2)="Y","door casing",""),IF(INDEX(FILTER(INPUT_Rooms!$AB$4:$AB$83, INPUT_Rooms!$A$4:$A$83=$B$3),2)="Y","doors",""))&amp;").", "")))</f>
        <v/>
      </c>
      <c r="D7" s="2" t="inlineStr">
        <is>
          <t>Ceilings:</t>
        </is>
      </c>
      <c r="E7" s="3">
        <f>XLOOKUP('Job Control'!$B$3, INPUT_JobSettings!$A:$A, INPUT_JobSettings!$L:$L, "")</f>
        <v/>
      </c>
    </row>
    <row r="8">
      <c r="A8" s="6">
        <f>IFERROR(INDEX(FILTER(INPUT_Rooms!$C$4:$C$83, INPUT_Rooms!$A$4:$A$83=$B$3), 3), "")</f>
        <v/>
      </c>
      <c r="B8" s="6">
        <f>IF(A8="","",TEXTJOIN(" ",TRUE,IF(INDEX(FILTER(INPUT_Rooms!$K$4:$K$83, INPUT_Rooms!$A$4:$A$83=$B$3),3)="Y","Prep and paint "&amp;INDEX(FILTER(INPUT_Rooms!$M$4:$M$83, INPUT_Rooms!$A$4:$A$83=$B$3),3)&amp;" coat(s) on "&amp;A8&amp;" walls.", ""),IF(INDEX(FILTER(INPUT_Rooms!$O$4:$O$83, INPUT_Rooms!$A$4:$A$83=$B$3),3)="Y","Prep and paint "&amp;INDEX(FILTER(INPUT_Rooms!$Q$4:$Q$83, INPUT_Rooms!$A$4:$A$83=$B$3),3)&amp;" coat(s) on "&amp;A8&amp;" ceilings.", ""),IF(INDEX(FILTER(INPUT_Rooms!$T$4:$T$83, INPUT_Rooms!$A$4:$A$83=$B$3),3)="Y","Prep and paint "&amp;INDEX(FILTER(INPUT_Rooms!$V$4:$V$83, INPUT_Rooms!$A$4:$A$83=$B$3),3)&amp;" coat(s) on "&amp;A8&amp;" trim ("&amp;TEXTJOIN(", ",TRUE,IF(INDEX(FILTER(INPUT_Rooms!$X$4:$X$83, INPUT_Rooms!$A$4:$A$83=$B$3),3)="Y","base",""),IF(INDEX(FILTER(INPUT_Rooms!$Y$4:$Y$83, INPUT_Rooms!$A$4:$A$83=$B$3),3)="Y","crown",""),IF(INDEX(FILTER(INPUT_Rooms!$Z$4:$Z$83, INPUT_Rooms!$A$4:$A$83=$B$3),3)="Y","window casing",""),IF(INDEX(FILTER(INPUT_Rooms!$AA$4:$AA$83, INPUT_Rooms!$A$4:$A$83=$B$3),3)="Y","door casing",""),IF(INDEX(FILTER(INPUT_Rooms!$AB$4:$AB$83, INPUT_Rooms!$A$4:$A$83=$B$3),3)="Y","doors",""))&amp;").", "")))</f>
        <v/>
      </c>
      <c r="D8" s="2" t="inlineStr">
        <is>
          <t>Trim:</t>
        </is>
      </c>
      <c r="E8" s="3">
        <f>XLOOKUP('Job Control'!$B$3, INPUT_JobSettings!$A:$A, INPUT_JobSettings!$M:$M, "")</f>
        <v/>
      </c>
    </row>
    <row r="9">
      <c r="A9" s="6">
        <f>IFERROR(INDEX(FILTER(INPUT_Rooms!$C$4:$C$83, INPUT_Rooms!$A$4:$A$83=$B$3), 4), "")</f>
        <v/>
      </c>
      <c r="B9" s="6">
        <f>IF(A9="","",TEXTJOIN(" ",TRUE,IF(INDEX(FILTER(INPUT_Rooms!$K$4:$K$83, INPUT_Rooms!$A$4:$A$83=$B$3),4)="Y","Prep and paint "&amp;INDEX(FILTER(INPUT_Rooms!$M$4:$M$83, INPUT_Rooms!$A$4:$A$83=$B$3),4)&amp;" coat(s) on "&amp;A9&amp;" walls.", ""),IF(INDEX(FILTER(INPUT_Rooms!$O$4:$O$83, INPUT_Rooms!$A$4:$A$83=$B$3),4)="Y","Prep and paint "&amp;INDEX(FILTER(INPUT_Rooms!$Q$4:$Q$83, INPUT_Rooms!$A$4:$A$83=$B$3),4)&amp;" coat(s) on "&amp;A9&amp;" ceilings.", ""),IF(INDEX(FILTER(INPUT_Rooms!$T$4:$T$83, INPUT_Rooms!$A$4:$A$83=$B$3),4)="Y","Prep and paint "&amp;INDEX(FILTER(INPUT_Rooms!$V$4:$V$83, INPUT_Rooms!$A$4:$A$83=$B$3),4)&amp;" coat(s) on "&amp;A9&amp;" trim ("&amp;TEXTJOIN(", ",TRUE,IF(INDEX(FILTER(INPUT_Rooms!$X$4:$X$83, INPUT_Rooms!$A$4:$A$83=$B$3),4)="Y","base",""),IF(INDEX(FILTER(INPUT_Rooms!$Y$4:$Y$83, INPUT_Rooms!$A$4:$A$83=$B$3),4)="Y","crown",""),IF(INDEX(FILTER(INPUT_Rooms!$Z$4:$Z$83, INPUT_Rooms!$A$4:$A$83=$B$3),4)="Y","window casing",""),IF(INDEX(FILTER(INPUT_Rooms!$AA$4:$AA$83, INPUT_Rooms!$A$4:$A$83=$B$3),4)="Y","door casing",""),IF(INDEX(FILTER(INPUT_Rooms!$AB$4:$AB$83, INPUT_Rooms!$A$4:$A$83=$B$3),4)="Y","doors",""))&amp;").", "")))</f>
        <v/>
      </c>
      <c r="D9" s="2" t="inlineStr">
        <is>
          <t>Primer:</t>
        </is>
      </c>
      <c r="E9" s="3">
        <f>XLOOKUP('Job Control'!$B$3, INPUT_JobSettings!$A:$A, INPUT_JobSettings!$N:$N, "")</f>
        <v/>
      </c>
    </row>
    <row r="10">
      <c r="A10" s="6">
        <f>IFERROR(INDEX(FILTER(INPUT_Rooms!$C$4:$C$83, INPUT_Rooms!$A$4:$A$83=$B$3), 5), "")</f>
        <v/>
      </c>
      <c r="B10" s="6">
        <f>IF(A10="","",TEXTJOIN(" ",TRUE,IF(INDEX(FILTER(INPUT_Rooms!$K$4:$K$83, INPUT_Rooms!$A$4:$A$83=$B$3),5)="Y","Prep and paint "&amp;INDEX(FILTER(INPUT_Rooms!$M$4:$M$83, INPUT_Rooms!$A$4:$A$83=$B$3),5)&amp;" coat(s) on "&amp;A10&amp;" walls.", ""),IF(INDEX(FILTER(INPUT_Rooms!$O$4:$O$83, INPUT_Rooms!$A$4:$A$83=$B$3),5)="Y","Prep and paint "&amp;INDEX(FILTER(INPUT_Rooms!$Q$4:$Q$83, INPUT_Rooms!$A$4:$A$83=$B$3),5)&amp;" coat(s) on "&amp;A10&amp;" ceilings.", ""),IF(INDEX(FILTER(INPUT_Rooms!$T$4:$T$83, INPUT_Rooms!$A$4:$A$83=$B$3),5)="Y","Prep and paint "&amp;INDEX(FILTER(INPUT_Rooms!$V$4:$V$83, INPUT_Rooms!$A$4:$A$83=$B$3),5)&amp;" coat(s) on "&amp;A10&amp;" trim ("&amp;TEXTJOIN(", ",TRUE,IF(INDEX(FILTER(INPUT_Rooms!$X$4:$X$83, INPUT_Rooms!$A$4:$A$83=$B$3),5)="Y","base",""),IF(INDEX(FILTER(INPUT_Rooms!$Y$4:$Y$83, INPUT_Rooms!$A$4:$A$83=$B$3),5)="Y","crown",""),IF(INDEX(FILTER(INPUT_Rooms!$Z$4:$Z$83, INPUT_Rooms!$A$4:$A$83=$B$3),5)="Y","window casing",""),IF(INDEX(FILTER(INPUT_Rooms!$AA$4:$AA$83, INPUT_Rooms!$A$4:$A$83=$B$3),5)="Y","door casing",""),IF(INDEX(FILTER(INPUT_Rooms!$AB$4:$AB$83, INPUT_Rooms!$A$4:$A$83=$B$3),5)="Y","doors",""))&amp;").", "")))</f>
        <v/>
      </c>
    </row>
    <row r="11">
      <c r="A11" s="6">
        <f>IFERROR(INDEX(FILTER(INPUT_Rooms!$C$4:$C$83, INPUT_Rooms!$A$4:$A$83=$B$3), 6), "")</f>
        <v/>
      </c>
      <c r="B11" s="6">
        <f>IF(A11="","",TEXTJOIN(" ",TRUE,IF(INDEX(FILTER(INPUT_Rooms!$K$4:$K$83, INPUT_Rooms!$A$4:$A$83=$B$3),6)="Y","Prep and paint "&amp;INDEX(FILTER(INPUT_Rooms!$M$4:$M$83, INPUT_Rooms!$A$4:$A$83=$B$3),6)&amp;" coat(s) on "&amp;A11&amp;" walls.", ""),IF(INDEX(FILTER(INPUT_Rooms!$O$4:$O$83, INPUT_Rooms!$A$4:$A$83=$B$3),6)="Y","Prep and paint "&amp;INDEX(FILTER(INPUT_Rooms!$Q$4:$Q$83, INPUT_Rooms!$A$4:$A$83=$B$3),6)&amp;" coat(s) on "&amp;A11&amp;" ceilings.", ""),IF(INDEX(FILTER(INPUT_Rooms!$T$4:$T$83, INPUT_Rooms!$A$4:$A$83=$B$3),6)="Y","Prep and paint "&amp;INDEX(FILTER(INPUT_Rooms!$V$4:$V$83, INPUT_Rooms!$A$4:$A$83=$B$3),6)&amp;" coat(s) on "&amp;A11&amp;" trim ("&amp;TEXTJOIN(", ",TRUE,IF(INDEX(FILTER(INPUT_Rooms!$X$4:$X$83, INPUT_Rooms!$A$4:$A$83=$B$3),6)="Y","base",""),IF(INDEX(FILTER(INPUT_Rooms!$Y$4:$Y$83, INPUT_Rooms!$A$4:$A$83=$B$3),6)="Y","crown",""),IF(INDEX(FILTER(INPUT_Rooms!$Z$4:$Z$83, INPUT_Rooms!$A$4:$A$83=$B$3),6)="Y","window casing",""),IF(INDEX(FILTER(INPUT_Rooms!$AA$4:$AA$83, INPUT_Rooms!$A$4:$A$83=$B$3),6)="Y","door casing",""),IF(INDEX(FILTER(INPUT_Rooms!$AB$4:$AB$83, INPUT_Rooms!$A$4:$A$83=$B$3),6)="Y","doors",""))&amp;").", "")))</f>
        <v/>
      </c>
    </row>
    <row r="12">
      <c r="A12" s="6">
        <f>IFERROR(INDEX(FILTER(INPUT_Rooms!$C$4:$C$83, INPUT_Rooms!$A$4:$A$83=$B$3), 7), "")</f>
        <v/>
      </c>
      <c r="B12" s="6">
        <f>IF(A12="","",TEXTJOIN(" ",TRUE,IF(INDEX(FILTER(INPUT_Rooms!$K$4:$K$83, INPUT_Rooms!$A$4:$A$83=$B$3),7)="Y","Prep and paint "&amp;INDEX(FILTER(INPUT_Rooms!$M$4:$M$83, INPUT_Rooms!$A$4:$A$83=$B$3),7)&amp;" coat(s) on "&amp;A12&amp;" walls.", ""),IF(INDEX(FILTER(INPUT_Rooms!$O$4:$O$83, INPUT_Rooms!$A$4:$A$83=$B$3),7)="Y","Prep and paint "&amp;INDEX(FILTER(INPUT_Rooms!$Q$4:$Q$83, INPUT_Rooms!$A$4:$A$83=$B$3),7)&amp;" coat(s) on "&amp;A12&amp;" ceilings.", ""),IF(INDEX(FILTER(INPUT_Rooms!$T$4:$T$83, INPUT_Rooms!$A$4:$A$83=$B$3),7)="Y","Prep and paint "&amp;INDEX(FILTER(INPUT_Rooms!$V$4:$V$83, INPUT_Rooms!$A$4:$A$83=$B$3),7)&amp;" coat(s) on "&amp;A12&amp;" trim ("&amp;TEXTJOIN(", ",TRUE,IF(INDEX(FILTER(INPUT_Rooms!$X$4:$X$83, INPUT_Rooms!$A$4:$A$83=$B$3),7)="Y","base",""),IF(INDEX(FILTER(INPUT_Rooms!$Y$4:$Y$83, INPUT_Rooms!$A$4:$A$83=$B$3),7)="Y","crown",""),IF(INDEX(FILTER(INPUT_Rooms!$Z$4:$Z$83, INPUT_Rooms!$A$4:$A$83=$B$3),7)="Y","window casing",""),IF(INDEX(FILTER(INPUT_Rooms!$AA$4:$AA$83, INPUT_Rooms!$A$4:$A$83=$B$3),7)="Y","door casing",""),IF(INDEX(FILTER(INPUT_Rooms!$AB$4:$AB$83, INPUT_Rooms!$A$4:$A$83=$B$3),7)="Y","doors",""))&amp;").", "")))</f>
        <v/>
      </c>
    </row>
    <row r="13">
      <c r="A13" s="6">
        <f>IFERROR(INDEX(FILTER(INPUT_Rooms!$C$4:$C$83, INPUT_Rooms!$A$4:$A$83=$B$3), 8), "")</f>
        <v/>
      </c>
      <c r="B13" s="6">
        <f>IF(A13="","",TEXTJOIN(" ",TRUE,IF(INDEX(FILTER(INPUT_Rooms!$K$4:$K$83, INPUT_Rooms!$A$4:$A$83=$B$3),8)="Y","Prep and paint "&amp;INDEX(FILTER(INPUT_Rooms!$M$4:$M$83, INPUT_Rooms!$A$4:$A$83=$B$3),8)&amp;" coat(s) on "&amp;A13&amp;" walls.", ""),IF(INDEX(FILTER(INPUT_Rooms!$O$4:$O$83, INPUT_Rooms!$A$4:$A$83=$B$3),8)="Y","Prep and paint "&amp;INDEX(FILTER(INPUT_Rooms!$Q$4:$Q$83, INPUT_Rooms!$A$4:$A$83=$B$3),8)&amp;" coat(s) on "&amp;A13&amp;" ceilings.", ""),IF(INDEX(FILTER(INPUT_Rooms!$T$4:$T$83, INPUT_Rooms!$A$4:$A$83=$B$3),8)="Y","Prep and paint "&amp;INDEX(FILTER(INPUT_Rooms!$V$4:$V$83, INPUT_Rooms!$A$4:$A$83=$B$3),8)&amp;" coat(s) on "&amp;A13&amp;" trim ("&amp;TEXTJOIN(", ",TRUE,IF(INDEX(FILTER(INPUT_Rooms!$X$4:$X$83, INPUT_Rooms!$A$4:$A$83=$B$3),8)="Y","base",""),IF(INDEX(FILTER(INPUT_Rooms!$Y$4:$Y$83, INPUT_Rooms!$A$4:$A$83=$B$3),8)="Y","crown",""),IF(INDEX(FILTER(INPUT_Rooms!$Z$4:$Z$83, INPUT_Rooms!$A$4:$A$83=$B$3),8)="Y","window casing",""),IF(INDEX(FILTER(INPUT_Rooms!$AA$4:$AA$83, INPUT_Rooms!$A$4:$A$83=$B$3),8)="Y","door casing",""),IF(INDEX(FILTER(INPUT_Rooms!$AB$4:$AB$83, INPUT_Rooms!$A$4:$A$83=$B$3),8)="Y","doors",""))&amp;").", "")))</f>
        <v/>
      </c>
    </row>
    <row r="14">
      <c r="A14" s="6">
        <f>IFERROR(INDEX(FILTER(INPUT_Rooms!$C$4:$C$83, INPUT_Rooms!$A$4:$A$83=$B$3), 9), "")</f>
        <v/>
      </c>
      <c r="B14" s="6">
        <f>IF(A14="","",TEXTJOIN(" ",TRUE,IF(INDEX(FILTER(INPUT_Rooms!$K$4:$K$83, INPUT_Rooms!$A$4:$A$83=$B$3),9)="Y","Prep and paint "&amp;INDEX(FILTER(INPUT_Rooms!$M$4:$M$83, INPUT_Rooms!$A$4:$A$83=$B$3),9)&amp;" coat(s) on "&amp;A14&amp;" walls.", ""),IF(INDEX(FILTER(INPUT_Rooms!$O$4:$O$83, INPUT_Rooms!$A$4:$A$83=$B$3),9)="Y","Prep and paint "&amp;INDEX(FILTER(INPUT_Rooms!$Q$4:$Q$83, INPUT_Rooms!$A$4:$A$83=$B$3),9)&amp;" coat(s) on "&amp;A14&amp;" ceilings.", ""),IF(INDEX(FILTER(INPUT_Rooms!$T$4:$T$83, INPUT_Rooms!$A$4:$A$83=$B$3),9)="Y","Prep and paint "&amp;INDEX(FILTER(INPUT_Rooms!$V$4:$V$83, INPUT_Rooms!$A$4:$A$83=$B$3),9)&amp;" coat(s) on "&amp;A14&amp;" trim ("&amp;TEXTJOIN(", ",TRUE,IF(INDEX(FILTER(INPUT_Rooms!$X$4:$X$83, INPUT_Rooms!$A$4:$A$83=$B$3),9)="Y","base",""),IF(INDEX(FILTER(INPUT_Rooms!$Y$4:$Y$83, INPUT_Rooms!$A$4:$A$83=$B$3),9)="Y","crown",""),IF(INDEX(FILTER(INPUT_Rooms!$Z$4:$Z$83, INPUT_Rooms!$A$4:$A$83=$B$3),9)="Y","window casing",""),IF(INDEX(FILTER(INPUT_Rooms!$AA$4:$AA$83, INPUT_Rooms!$A$4:$A$83=$B$3),9)="Y","door casing",""),IF(INDEX(FILTER(INPUT_Rooms!$AB$4:$AB$83, INPUT_Rooms!$A$4:$A$83=$B$3),9)="Y","doors",""))&amp;").", "")))</f>
        <v/>
      </c>
    </row>
    <row r="15">
      <c r="A15" s="6">
        <f>IFERROR(INDEX(FILTER(INPUT_Rooms!$C$4:$C$83, INPUT_Rooms!$A$4:$A$83=$B$3), 10), "")</f>
        <v/>
      </c>
      <c r="B15" s="6">
        <f>IF(A15="","",TEXTJOIN(" ",TRUE,IF(INDEX(FILTER(INPUT_Rooms!$K$4:$K$83, INPUT_Rooms!$A$4:$A$83=$B$3),10)="Y","Prep and paint "&amp;INDEX(FILTER(INPUT_Rooms!$M$4:$M$83, INPUT_Rooms!$A$4:$A$83=$B$3),10)&amp;" coat(s) on "&amp;A15&amp;" walls.", ""),IF(INDEX(FILTER(INPUT_Rooms!$O$4:$O$83, INPUT_Rooms!$A$4:$A$83=$B$3),10)="Y","Prep and paint "&amp;INDEX(FILTER(INPUT_Rooms!$Q$4:$Q$83, INPUT_Rooms!$A$4:$A$83=$B$3),10)&amp;" coat(s) on "&amp;A15&amp;" ceilings.", ""),IF(INDEX(FILTER(INPUT_Rooms!$T$4:$T$83, INPUT_Rooms!$A$4:$A$83=$B$3),10)="Y","Prep and paint "&amp;INDEX(FILTER(INPUT_Rooms!$V$4:$V$83, INPUT_Rooms!$A$4:$A$83=$B$3),10)&amp;" coat(s) on "&amp;A15&amp;" trim ("&amp;TEXTJOIN(", ",TRUE,IF(INDEX(FILTER(INPUT_Rooms!$X$4:$X$83, INPUT_Rooms!$A$4:$A$83=$B$3),10)="Y","base",""),IF(INDEX(FILTER(INPUT_Rooms!$Y$4:$Y$83, INPUT_Rooms!$A$4:$A$83=$B$3),10)="Y","crown",""),IF(INDEX(FILTER(INPUT_Rooms!$Z$4:$Z$83, INPUT_Rooms!$A$4:$A$83=$B$3),10)="Y","window casing",""),IF(INDEX(FILTER(INPUT_Rooms!$AA$4:$AA$83, INPUT_Rooms!$A$4:$A$83=$B$3),10)="Y","door casing",""),IF(INDEX(FILTER(INPUT_Rooms!$AB$4:$AB$83, INPUT_Rooms!$A$4:$A$83=$B$3),10)="Y","doors",""))&amp;").", "")))</f>
        <v/>
      </c>
    </row>
    <row r="16">
      <c r="A16" s="6">
        <f>IFERROR(INDEX(FILTER(INPUT_Rooms!$C$4:$C$83, INPUT_Rooms!$A$4:$A$83=$B$3), 11), "")</f>
        <v/>
      </c>
      <c r="B16" s="6">
        <f>IF(A16="","",TEXTJOIN(" ",TRUE,IF(INDEX(FILTER(INPUT_Rooms!$K$4:$K$83, INPUT_Rooms!$A$4:$A$83=$B$3),11)="Y","Prep and paint "&amp;INDEX(FILTER(INPUT_Rooms!$M$4:$M$83, INPUT_Rooms!$A$4:$A$83=$B$3),11)&amp;" coat(s) on "&amp;A16&amp;" walls.", ""),IF(INDEX(FILTER(INPUT_Rooms!$O$4:$O$83, INPUT_Rooms!$A$4:$A$83=$B$3),11)="Y","Prep and paint "&amp;INDEX(FILTER(INPUT_Rooms!$Q$4:$Q$83, INPUT_Rooms!$A$4:$A$83=$B$3),11)&amp;" coat(s) on "&amp;A16&amp;" ceilings.", ""),IF(INDEX(FILTER(INPUT_Rooms!$T$4:$T$83, INPUT_Rooms!$A$4:$A$83=$B$3),11)="Y","Prep and paint "&amp;INDEX(FILTER(INPUT_Rooms!$V$4:$V$83, INPUT_Rooms!$A$4:$A$83=$B$3),11)&amp;" coat(s) on "&amp;A16&amp;" trim ("&amp;TEXTJOIN(", ",TRUE,IF(INDEX(FILTER(INPUT_Rooms!$X$4:$X$83, INPUT_Rooms!$A$4:$A$83=$B$3),11)="Y","base",""),IF(INDEX(FILTER(INPUT_Rooms!$Y$4:$Y$83, INPUT_Rooms!$A$4:$A$83=$B$3),11)="Y","crown",""),IF(INDEX(FILTER(INPUT_Rooms!$Z$4:$Z$83, INPUT_Rooms!$A$4:$A$83=$B$3),11)="Y","window casing",""),IF(INDEX(FILTER(INPUT_Rooms!$AA$4:$AA$83, INPUT_Rooms!$A$4:$A$83=$B$3),11)="Y","door casing",""),IF(INDEX(FILTER(INPUT_Rooms!$AB$4:$AB$83, INPUT_Rooms!$A$4:$A$83=$B$3),11)="Y","doors",""))&amp;").", "")))</f>
        <v/>
      </c>
    </row>
    <row r="17">
      <c r="A17" s="6">
        <f>IFERROR(INDEX(FILTER(INPUT_Rooms!$C$4:$C$83, INPUT_Rooms!$A$4:$A$83=$B$3), 12), "")</f>
        <v/>
      </c>
      <c r="B17" s="6">
        <f>IF(A17="","",TEXTJOIN(" ",TRUE,IF(INDEX(FILTER(INPUT_Rooms!$K$4:$K$83, INPUT_Rooms!$A$4:$A$83=$B$3),12)="Y","Prep and paint "&amp;INDEX(FILTER(INPUT_Rooms!$M$4:$M$83, INPUT_Rooms!$A$4:$A$83=$B$3),12)&amp;" coat(s) on "&amp;A17&amp;" walls.", ""),IF(INDEX(FILTER(INPUT_Rooms!$O$4:$O$83, INPUT_Rooms!$A$4:$A$83=$B$3),12)="Y","Prep and paint "&amp;INDEX(FILTER(INPUT_Rooms!$Q$4:$Q$83, INPUT_Rooms!$A$4:$A$83=$B$3),12)&amp;" coat(s) on "&amp;A17&amp;" ceilings.", ""),IF(INDEX(FILTER(INPUT_Rooms!$T$4:$T$83, INPUT_Rooms!$A$4:$A$83=$B$3),12)="Y","Prep and paint "&amp;INDEX(FILTER(INPUT_Rooms!$V$4:$V$83, INPUT_Rooms!$A$4:$A$83=$B$3),12)&amp;" coat(s) on "&amp;A17&amp;" trim ("&amp;TEXTJOIN(", ",TRUE,IF(INDEX(FILTER(INPUT_Rooms!$X$4:$X$83, INPUT_Rooms!$A$4:$A$83=$B$3),12)="Y","base",""),IF(INDEX(FILTER(INPUT_Rooms!$Y$4:$Y$83, INPUT_Rooms!$A$4:$A$83=$B$3),12)="Y","crown",""),IF(INDEX(FILTER(INPUT_Rooms!$Z$4:$Z$83, INPUT_Rooms!$A$4:$A$83=$B$3),12)="Y","window casing",""),IF(INDEX(FILTER(INPUT_Rooms!$AA$4:$AA$83, INPUT_Rooms!$A$4:$A$83=$B$3),12)="Y","door casing",""),IF(INDEX(FILTER(INPUT_Rooms!$AB$4:$AB$83, INPUT_Rooms!$A$4:$A$83=$B$3),12)="Y","doors",""))&amp;").", "")))</f>
        <v/>
      </c>
    </row>
    <row r="18">
      <c r="A18" s="6">
        <f>IFERROR(INDEX(FILTER(INPUT_Rooms!$C$4:$C$83, INPUT_Rooms!$A$4:$A$83=$B$3), 13), "")</f>
        <v/>
      </c>
      <c r="B18" s="6">
        <f>IF(A18="","",TEXTJOIN(" ",TRUE,IF(INDEX(FILTER(INPUT_Rooms!$K$4:$K$83, INPUT_Rooms!$A$4:$A$83=$B$3),13)="Y","Prep and paint "&amp;INDEX(FILTER(INPUT_Rooms!$M$4:$M$83, INPUT_Rooms!$A$4:$A$83=$B$3),13)&amp;" coat(s) on "&amp;A18&amp;" walls.", ""),IF(INDEX(FILTER(INPUT_Rooms!$O$4:$O$83, INPUT_Rooms!$A$4:$A$83=$B$3),13)="Y","Prep and paint "&amp;INDEX(FILTER(INPUT_Rooms!$Q$4:$Q$83, INPUT_Rooms!$A$4:$A$83=$B$3),13)&amp;" coat(s) on "&amp;A18&amp;" ceilings.", ""),IF(INDEX(FILTER(INPUT_Rooms!$T$4:$T$83, INPUT_Rooms!$A$4:$A$83=$B$3),13)="Y","Prep and paint "&amp;INDEX(FILTER(INPUT_Rooms!$V$4:$V$83, INPUT_Rooms!$A$4:$A$83=$B$3),13)&amp;" coat(s) on "&amp;A18&amp;" trim ("&amp;TEXTJOIN(", ",TRUE,IF(INDEX(FILTER(INPUT_Rooms!$X$4:$X$83, INPUT_Rooms!$A$4:$A$83=$B$3),13)="Y","base",""),IF(INDEX(FILTER(INPUT_Rooms!$Y$4:$Y$83, INPUT_Rooms!$A$4:$A$83=$B$3),13)="Y","crown",""),IF(INDEX(FILTER(INPUT_Rooms!$Z$4:$Z$83, INPUT_Rooms!$A$4:$A$83=$B$3),13)="Y","window casing",""),IF(INDEX(FILTER(INPUT_Rooms!$AA$4:$AA$83, INPUT_Rooms!$A$4:$A$83=$B$3),13)="Y","door casing",""),IF(INDEX(FILTER(INPUT_Rooms!$AB$4:$AB$83, INPUT_Rooms!$A$4:$A$83=$B$3),13)="Y","doors",""))&amp;").", "")))</f>
        <v/>
      </c>
    </row>
    <row r="19">
      <c r="A19" s="6">
        <f>IFERROR(INDEX(FILTER(INPUT_Rooms!$C$4:$C$83, INPUT_Rooms!$A$4:$A$83=$B$3), 14), "")</f>
        <v/>
      </c>
      <c r="B19" s="6">
        <f>IF(A19="","",TEXTJOIN(" ",TRUE,IF(INDEX(FILTER(INPUT_Rooms!$K$4:$K$83, INPUT_Rooms!$A$4:$A$83=$B$3),14)="Y","Prep and paint "&amp;INDEX(FILTER(INPUT_Rooms!$M$4:$M$83, INPUT_Rooms!$A$4:$A$83=$B$3),14)&amp;" coat(s) on "&amp;A19&amp;" walls.", ""),IF(INDEX(FILTER(INPUT_Rooms!$O$4:$O$83, INPUT_Rooms!$A$4:$A$83=$B$3),14)="Y","Prep and paint "&amp;INDEX(FILTER(INPUT_Rooms!$Q$4:$Q$83, INPUT_Rooms!$A$4:$A$83=$B$3),14)&amp;" coat(s) on "&amp;A19&amp;" ceilings.", ""),IF(INDEX(FILTER(INPUT_Rooms!$T$4:$T$83, INPUT_Rooms!$A$4:$A$83=$B$3),14)="Y","Prep and paint "&amp;INDEX(FILTER(INPUT_Rooms!$V$4:$V$83, INPUT_Rooms!$A$4:$A$83=$B$3),14)&amp;" coat(s) on "&amp;A19&amp;" trim ("&amp;TEXTJOIN(", ",TRUE,IF(INDEX(FILTER(INPUT_Rooms!$X$4:$X$83, INPUT_Rooms!$A$4:$A$83=$B$3),14)="Y","base",""),IF(INDEX(FILTER(INPUT_Rooms!$Y$4:$Y$83, INPUT_Rooms!$A$4:$A$83=$B$3),14)="Y","crown",""),IF(INDEX(FILTER(INPUT_Rooms!$Z$4:$Z$83, INPUT_Rooms!$A$4:$A$83=$B$3),14)="Y","window casing",""),IF(INDEX(FILTER(INPUT_Rooms!$AA$4:$AA$83, INPUT_Rooms!$A$4:$A$83=$B$3),14)="Y","door casing",""),IF(INDEX(FILTER(INPUT_Rooms!$AB$4:$AB$83, INPUT_Rooms!$A$4:$A$83=$B$3),14)="Y","doors",""))&amp;").", "")))</f>
        <v/>
      </c>
    </row>
    <row r="20">
      <c r="A20" s="6">
        <f>IFERROR(INDEX(FILTER(INPUT_Rooms!$C$4:$C$83, INPUT_Rooms!$A$4:$A$83=$B$3), 15), "")</f>
        <v/>
      </c>
      <c r="B20" s="6">
        <f>IF(A20="","",TEXTJOIN(" ",TRUE,IF(INDEX(FILTER(INPUT_Rooms!$K$4:$K$83, INPUT_Rooms!$A$4:$A$83=$B$3),15)="Y","Prep and paint "&amp;INDEX(FILTER(INPUT_Rooms!$M$4:$M$83, INPUT_Rooms!$A$4:$A$83=$B$3),15)&amp;" coat(s) on "&amp;A20&amp;" walls.", ""),IF(INDEX(FILTER(INPUT_Rooms!$O$4:$O$83, INPUT_Rooms!$A$4:$A$83=$B$3),15)="Y","Prep and paint "&amp;INDEX(FILTER(INPUT_Rooms!$Q$4:$Q$83, INPUT_Rooms!$A$4:$A$83=$B$3),15)&amp;" coat(s) on "&amp;A20&amp;" ceilings.", ""),IF(INDEX(FILTER(INPUT_Rooms!$T$4:$T$83, INPUT_Rooms!$A$4:$A$83=$B$3),15)="Y","Prep and paint "&amp;INDEX(FILTER(INPUT_Rooms!$V$4:$V$83, INPUT_Rooms!$A$4:$A$83=$B$3),15)&amp;" coat(s) on "&amp;A20&amp;" trim ("&amp;TEXTJOIN(", ",TRUE,IF(INDEX(FILTER(INPUT_Rooms!$X$4:$X$83, INPUT_Rooms!$A$4:$A$83=$B$3),15)="Y","base",""),IF(INDEX(FILTER(INPUT_Rooms!$Y$4:$Y$83, INPUT_Rooms!$A$4:$A$83=$B$3),15)="Y","crown",""),IF(INDEX(FILTER(INPUT_Rooms!$Z$4:$Z$83, INPUT_Rooms!$A$4:$A$83=$B$3),15)="Y","window casing",""),IF(INDEX(FILTER(INPUT_Rooms!$AA$4:$AA$83, INPUT_Rooms!$A$4:$A$83=$B$3),15)="Y","door casing",""),IF(INDEX(FILTER(INPUT_Rooms!$AB$4:$AB$83, INPUT_Rooms!$A$4:$A$83=$B$3),15)="Y","doors",""))&amp;").", "")))</f>
        <v/>
      </c>
    </row>
    <row r="21">
      <c r="A21" s="6">
        <f>IFERROR(INDEX(FILTER(INPUT_Rooms!$C$4:$C$83, INPUT_Rooms!$A$4:$A$83=$B$3), 16), "")</f>
        <v/>
      </c>
      <c r="B21" s="6">
        <f>IF(A21="","",TEXTJOIN(" ",TRUE,IF(INDEX(FILTER(INPUT_Rooms!$K$4:$K$83, INPUT_Rooms!$A$4:$A$83=$B$3),16)="Y","Prep and paint "&amp;INDEX(FILTER(INPUT_Rooms!$M$4:$M$83, INPUT_Rooms!$A$4:$A$83=$B$3),16)&amp;" coat(s) on "&amp;A21&amp;" walls.", ""),IF(INDEX(FILTER(INPUT_Rooms!$O$4:$O$83, INPUT_Rooms!$A$4:$A$83=$B$3),16)="Y","Prep and paint "&amp;INDEX(FILTER(INPUT_Rooms!$Q$4:$Q$83, INPUT_Rooms!$A$4:$A$83=$B$3),16)&amp;" coat(s) on "&amp;A21&amp;" ceilings.", ""),IF(INDEX(FILTER(INPUT_Rooms!$T$4:$T$83, INPUT_Rooms!$A$4:$A$83=$B$3),16)="Y","Prep and paint "&amp;INDEX(FILTER(INPUT_Rooms!$V$4:$V$83, INPUT_Rooms!$A$4:$A$83=$B$3),16)&amp;" coat(s) on "&amp;A21&amp;" trim ("&amp;TEXTJOIN(", ",TRUE,IF(INDEX(FILTER(INPUT_Rooms!$X$4:$X$83, INPUT_Rooms!$A$4:$A$83=$B$3),16)="Y","base",""),IF(INDEX(FILTER(INPUT_Rooms!$Y$4:$Y$83, INPUT_Rooms!$A$4:$A$83=$B$3),16)="Y","crown",""),IF(INDEX(FILTER(INPUT_Rooms!$Z$4:$Z$83, INPUT_Rooms!$A$4:$A$83=$B$3),16)="Y","window casing",""),IF(INDEX(FILTER(INPUT_Rooms!$AA$4:$AA$83, INPUT_Rooms!$A$4:$A$83=$B$3),16)="Y","door casing",""),IF(INDEX(FILTER(INPUT_Rooms!$AB$4:$AB$83, INPUT_Rooms!$A$4:$A$83=$B$3),16)="Y","doors",""))&amp;").", "")))</f>
        <v/>
      </c>
    </row>
    <row r="22">
      <c r="A22" s="6">
        <f>IFERROR(INDEX(FILTER(INPUT_Rooms!$C$4:$C$83, INPUT_Rooms!$A$4:$A$83=$B$3), 17), "")</f>
        <v/>
      </c>
      <c r="B22" s="6">
        <f>IF(A22="","",TEXTJOIN(" ",TRUE,IF(INDEX(FILTER(INPUT_Rooms!$K$4:$K$83, INPUT_Rooms!$A$4:$A$83=$B$3),17)="Y","Prep and paint "&amp;INDEX(FILTER(INPUT_Rooms!$M$4:$M$83, INPUT_Rooms!$A$4:$A$83=$B$3),17)&amp;" coat(s) on "&amp;A22&amp;" walls.", ""),IF(INDEX(FILTER(INPUT_Rooms!$O$4:$O$83, INPUT_Rooms!$A$4:$A$83=$B$3),17)="Y","Prep and paint "&amp;INDEX(FILTER(INPUT_Rooms!$Q$4:$Q$83, INPUT_Rooms!$A$4:$A$83=$B$3),17)&amp;" coat(s) on "&amp;A22&amp;" ceilings.", ""),IF(INDEX(FILTER(INPUT_Rooms!$T$4:$T$83, INPUT_Rooms!$A$4:$A$83=$B$3),17)="Y","Prep and paint "&amp;INDEX(FILTER(INPUT_Rooms!$V$4:$V$83, INPUT_Rooms!$A$4:$A$83=$B$3),17)&amp;" coat(s) on "&amp;A22&amp;" trim ("&amp;TEXTJOIN(", ",TRUE,IF(INDEX(FILTER(INPUT_Rooms!$X$4:$X$83, INPUT_Rooms!$A$4:$A$83=$B$3),17)="Y","base",""),IF(INDEX(FILTER(INPUT_Rooms!$Y$4:$Y$83, INPUT_Rooms!$A$4:$A$83=$B$3),17)="Y","crown",""),IF(INDEX(FILTER(INPUT_Rooms!$Z$4:$Z$83, INPUT_Rooms!$A$4:$A$83=$B$3),17)="Y","window casing",""),IF(INDEX(FILTER(INPUT_Rooms!$AA$4:$AA$83, INPUT_Rooms!$A$4:$A$83=$B$3),17)="Y","door casing",""),IF(INDEX(FILTER(INPUT_Rooms!$AB$4:$AB$83, INPUT_Rooms!$A$4:$A$83=$B$3),17)="Y","doors",""))&amp;").", "")))</f>
        <v/>
      </c>
    </row>
    <row r="23">
      <c r="A23" s="6">
        <f>IFERROR(INDEX(FILTER(INPUT_Rooms!$C$4:$C$83, INPUT_Rooms!$A$4:$A$83=$B$3), 18), "")</f>
        <v/>
      </c>
      <c r="B23" s="6">
        <f>IF(A23="","",TEXTJOIN(" ",TRUE,IF(INDEX(FILTER(INPUT_Rooms!$K$4:$K$83, INPUT_Rooms!$A$4:$A$83=$B$3),18)="Y","Prep and paint "&amp;INDEX(FILTER(INPUT_Rooms!$M$4:$M$83, INPUT_Rooms!$A$4:$A$83=$B$3),18)&amp;" coat(s) on "&amp;A23&amp;" walls.", ""),IF(INDEX(FILTER(INPUT_Rooms!$O$4:$O$83, INPUT_Rooms!$A$4:$A$83=$B$3),18)="Y","Prep and paint "&amp;INDEX(FILTER(INPUT_Rooms!$Q$4:$Q$83, INPUT_Rooms!$A$4:$A$83=$B$3),18)&amp;" coat(s) on "&amp;A23&amp;" ceilings.", ""),IF(INDEX(FILTER(INPUT_Rooms!$T$4:$T$83, INPUT_Rooms!$A$4:$A$83=$B$3),18)="Y","Prep and paint "&amp;INDEX(FILTER(INPUT_Rooms!$V$4:$V$83, INPUT_Rooms!$A$4:$A$83=$B$3),18)&amp;" coat(s) on "&amp;A23&amp;" trim ("&amp;TEXTJOIN(", ",TRUE,IF(INDEX(FILTER(INPUT_Rooms!$X$4:$X$83, INPUT_Rooms!$A$4:$A$83=$B$3),18)="Y","base",""),IF(INDEX(FILTER(INPUT_Rooms!$Y$4:$Y$83, INPUT_Rooms!$A$4:$A$83=$B$3),18)="Y","crown",""),IF(INDEX(FILTER(INPUT_Rooms!$Z$4:$Z$83, INPUT_Rooms!$A$4:$A$83=$B$3),18)="Y","window casing",""),IF(INDEX(FILTER(INPUT_Rooms!$AA$4:$AA$83, INPUT_Rooms!$A$4:$A$83=$B$3),18)="Y","door casing",""),IF(INDEX(FILTER(INPUT_Rooms!$AB$4:$AB$83, INPUT_Rooms!$A$4:$A$83=$B$3),18)="Y","doors",""))&amp;").", "")))</f>
        <v/>
      </c>
    </row>
    <row r="24">
      <c r="A24" s="6">
        <f>IFERROR(INDEX(FILTER(INPUT_Rooms!$C$4:$C$83, INPUT_Rooms!$A$4:$A$83=$B$3), 19), "")</f>
        <v/>
      </c>
      <c r="B24" s="6">
        <f>IF(A24="","",TEXTJOIN(" ",TRUE,IF(INDEX(FILTER(INPUT_Rooms!$K$4:$K$83, INPUT_Rooms!$A$4:$A$83=$B$3),19)="Y","Prep and paint "&amp;INDEX(FILTER(INPUT_Rooms!$M$4:$M$83, INPUT_Rooms!$A$4:$A$83=$B$3),19)&amp;" coat(s) on "&amp;A24&amp;" walls.", ""),IF(INDEX(FILTER(INPUT_Rooms!$O$4:$O$83, INPUT_Rooms!$A$4:$A$83=$B$3),19)="Y","Prep and paint "&amp;INDEX(FILTER(INPUT_Rooms!$Q$4:$Q$83, INPUT_Rooms!$A$4:$A$83=$B$3),19)&amp;" coat(s) on "&amp;A24&amp;" ceilings.", ""),IF(INDEX(FILTER(INPUT_Rooms!$T$4:$T$83, INPUT_Rooms!$A$4:$A$83=$B$3),19)="Y","Prep and paint "&amp;INDEX(FILTER(INPUT_Rooms!$V$4:$V$83, INPUT_Rooms!$A$4:$A$83=$B$3),19)&amp;" coat(s) on "&amp;A24&amp;" trim ("&amp;TEXTJOIN(", ",TRUE,IF(INDEX(FILTER(INPUT_Rooms!$X$4:$X$83, INPUT_Rooms!$A$4:$A$83=$B$3),19)="Y","base",""),IF(INDEX(FILTER(INPUT_Rooms!$Y$4:$Y$83, INPUT_Rooms!$A$4:$A$83=$B$3),19)="Y","crown",""),IF(INDEX(FILTER(INPUT_Rooms!$Z$4:$Z$83, INPUT_Rooms!$A$4:$A$83=$B$3),19)="Y","window casing",""),IF(INDEX(FILTER(INPUT_Rooms!$AA$4:$AA$83, INPUT_Rooms!$A$4:$A$83=$B$3),19)="Y","door casing",""),IF(INDEX(FILTER(INPUT_Rooms!$AB$4:$AB$83, INPUT_Rooms!$A$4:$A$83=$B$3),19)="Y","doors",""))&amp;").", "")))</f>
        <v/>
      </c>
    </row>
    <row r="25">
      <c r="A25" s="6">
        <f>IFERROR(INDEX(FILTER(INPUT_Rooms!$C$4:$C$83, INPUT_Rooms!$A$4:$A$83=$B$3), 20), "")</f>
        <v/>
      </c>
      <c r="B25" s="6">
        <f>IF(A25="","",TEXTJOIN(" ",TRUE,IF(INDEX(FILTER(INPUT_Rooms!$K$4:$K$83, INPUT_Rooms!$A$4:$A$83=$B$3),20)="Y","Prep and paint "&amp;INDEX(FILTER(INPUT_Rooms!$M$4:$M$83, INPUT_Rooms!$A$4:$A$83=$B$3),20)&amp;" coat(s) on "&amp;A25&amp;" walls.", ""),IF(INDEX(FILTER(INPUT_Rooms!$O$4:$O$83, INPUT_Rooms!$A$4:$A$83=$B$3),20)="Y","Prep and paint "&amp;INDEX(FILTER(INPUT_Rooms!$Q$4:$Q$83, INPUT_Rooms!$A$4:$A$83=$B$3),20)&amp;" coat(s) on "&amp;A25&amp;" ceilings.", ""),IF(INDEX(FILTER(INPUT_Rooms!$T$4:$T$83, INPUT_Rooms!$A$4:$A$83=$B$3),20)="Y","Prep and paint "&amp;INDEX(FILTER(INPUT_Rooms!$V$4:$V$83, INPUT_Rooms!$A$4:$A$83=$B$3),20)&amp;" coat(s) on "&amp;A25&amp;" trim ("&amp;TEXTJOIN(", ",TRUE,IF(INDEX(FILTER(INPUT_Rooms!$X$4:$X$83, INPUT_Rooms!$A$4:$A$83=$B$3),20)="Y","base",""),IF(INDEX(FILTER(INPUT_Rooms!$Y$4:$Y$83, INPUT_Rooms!$A$4:$A$83=$B$3),20)="Y","crown",""),IF(INDEX(FILTER(INPUT_Rooms!$Z$4:$Z$83, INPUT_Rooms!$A$4:$A$83=$B$3),20)="Y","window casing",""),IF(INDEX(FILTER(INPUT_Rooms!$AA$4:$AA$83, INPUT_Rooms!$A$4:$A$83=$B$3),20)="Y","door casing",""),IF(INDEX(FILTER(INPUT_Rooms!$AB$4:$AB$83, INPUT_Rooms!$A$4:$A$83=$B$3),20)="Y","doors",""))&amp;").", "")))</f>
        <v/>
      </c>
    </row>
    <row r="26">
      <c r="A26" s="6">
        <f>IFERROR(INDEX(FILTER(INPUT_Rooms!$C$4:$C$83, INPUT_Rooms!$A$4:$A$83=$B$3), 21), "")</f>
        <v/>
      </c>
      <c r="B26" s="6">
        <f>IF(A26="","",TEXTJOIN(" ",TRUE,IF(INDEX(FILTER(INPUT_Rooms!$K$4:$K$83, INPUT_Rooms!$A$4:$A$83=$B$3),21)="Y","Prep and paint "&amp;INDEX(FILTER(INPUT_Rooms!$M$4:$M$83, INPUT_Rooms!$A$4:$A$83=$B$3),21)&amp;" coat(s) on "&amp;A26&amp;" walls.", ""),IF(INDEX(FILTER(INPUT_Rooms!$O$4:$O$83, INPUT_Rooms!$A$4:$A$83=$B$3),21)="Y","Prep and paint "&amp;INDEX(FILTER(INPUT_Rooms!$Q$4:$Q$83, INPUT_Rooms!$A$4:$A$83=$B$3),21)&amp;" coat(s) on "&amp;A26&amp;" ceilings.", ""),IF(INDEX(FILTER(INPUT_Rooms!$T$4:$T$83, INPUT_Rooms!$A$4:$A$83=$B$3),21)="Y","Prep and paint "&amp;INDEX(FILTER(INPUT_Rooms!$V$4:$V$83, INPUT_Rooms!$A$4:$A$83=$B$3),21)&amp;" coat(s) on "&amp;A26&amp;" trim ("&amp;TEXTJOIN(", ",TRUE,IF(INDEX(FILTER(INPUT_Rooms!$X$4:$X$83, INPUT_Rooms!$A$4:$A$83=$B$3),21)="Y","base",""),IF(INDEX(FILTER(INPUT_Rooms!$Y$4:$Y$83, INPUT_Rooms!$A$4:$A$83=$B$3),21)="Y","crown",""),IF(INDEX(FILTER(INPUT_Rooms!$Z$4:$Z$83, INPUT_Rooms!$A$4:$A$83=$B$3),21)="Y","window casing",""),IF(INDEX(FILTER(INPUT_Rooms!$AA$4:$AA$83, INPUT_Rooms!$A$4:$A$83=$B$3),21)="Y","door casing",""),IF(INDEX(FILTER(INPUT_Rooms!$AB$4:$AB$83, INPUT_Rooms!$A$4:$A$83=$B$3),21)="Y","doors",""))&amp;").", "")))</f>
        <v/>
      </c>
    </row>
    <row r="27">
      <c r="A27" s="6">
        <f>IFERROR(INDEX(FILTER(INPUT_Rooms!$C$4:$C$83, INPUT_Rooms!$A$4:$A$83=$B$3), 22), "")</f>
        <v/>
      </c>
      <c r="B27" s="6">
        <f>IF(A27="","",TEXTJOIN(" ",TRUE,IF(INDEX(FILTER(INPUT_Rooms!$K$4:$K$83, INPUT_Rooms!$A$4:$A$83=$B$3),22)="Y","Prep and paint "&amp;INDEX(FILTER(INPUT_Rooms!$M$4:$M$83, INPUT_Rooms!$A$4:$A$83=$B$3),22)&amp;" coat(s) on "&amp;A27&amp;" walls.", ""),IF(INDEX(FILTER(INPUT_Rooms!$O$4:$O$83, INPUT_Rooms!$A$4:$A$83=$B$3),22)="Y","Prep and paint "&amp;INDEX(FILTER(INPUT_Rooms!$Q$4:$Q$83, INPUT_Rooms!$A$4:$A$83=$B$3),22)&amp;" coat(s) on "&amp;A27&amp;" ceilings.", ""),IF(INDEX(FILTER(INPUT_Rooms!$T$4:$T$83, INPUT_Rooms!$A$4:$A$83=$B$3),22)="Y","Prep and paint "&amp;INDEX(FILTER(INPUT_Rooms!$V$4:$V$83, INPUT_Rooms!$A$4:$A$83=$B$3),22)&amp;" coat(s) on "&amp;A27&amp;" trim ("&amp;TEXTJOIN(", ",TRUE,IF(INDEX(FILTER(INPUT_Rooms!$X$4:$X$83, INPUT_Rooms!$A$4:$A$83=$B$3),22)="Y","base",""),IF(INDEX(FILTER(INPUT_Rooms!$Y$4:$Y$83, INPUT_Rooms!$A$4:$A$83=$B$3),22)="Y","crown",""),IF(INDEX(FILTER(INPUT_Rooms!$Z$4:$Z$83, INPUT_Rooms!$A$4:$A$83=$B$3),22)="Y","window casing",""),IF(INDEX(FILTER(INPUT_Rooms!$AA$4:$AA$83, INPUT_Rooms!$A$4:$A$83=$B$3),22)="Y","door casing",""),IF(INDEX(FILTER(INPUT_Rooms!$AB$4:$AB$83, INPUT_Rooms!$A$4:$A$83=$B$3),22)="Y","doors",""))&amp;").", "")))</f>
        <v/>
      </c>
    </row>
    <row r="28">
      <c r="A28" s="6">
        <f>IFERROR(INDEX(FILTER(INPUT_Rooms!$C$4:$C$83, INPUT_Rooms!$A$4:$A$83=$B$3), 23), "")</f>
        <v/>
      </c>
      <c r="B28" s="6">
        <f>IF(A28="","",TEXTJOIN(" ",TRUE,IF(INDEX(FILTER(INPUT_Rooms!$K$4:$K$83, INPUT_Rooms!$A$4:$A$83=$B$3),23)="Y","Prep and paint "&amp;INDEX(FILTER(INPUT_Rooms!$M$4:$M$83, INPUT_Rooms!$A$4:$A$83=$B$3),23)&amp;" coat(s) on "&amp;A28&amp;" walls.", ""),IF(INDEX(FILTER(INPUT_Rooms!$O$4:$O$83, INPUT_Rooms!$A$4:$A$83=$B$3),23)="Y","Prep and paint "&amp;INDEX(FILTER(INPUT_Rooms!$Q$4:$Q$83, INPUT_Rooms!$A$4:$A$83=$B$3),23)&amp;" coat(s) on "&amp;A28&amp;" ceilings.", ""),IF(INDEX(FILTER(INPUT_Rooms!$T$4:$T$83, INPUT_Rooms!$A$4:$A$83=$B$3),23)="Y","Prep and paint "&amp;INDEX(FILTER(INPUT_Rooms!$V$4:$V$83, INPUT_Rooms!$A$4:$A$83=$B$3),23)&amp;" coat(s) on "&amp;A28&amp;" trim ("&amp;TEXTJOIN(", ",TRUE,IF(INDEX(FILTER(INPUT_Rooms!$X$4:$X$83, INPUT_Rooms!$A$4:$A$83=$B$3),23)="Y","base",""),IF(INDEX(FILTER(INPUT_Rooms!$Y$4:$Y$83, INPUT_Rooms!$A$4:$A$83=$B$3),23)="Y","crown",""),IF(INDEX(FILTER(INPUT_Rooms!$Z$4:$Z$83, INPUT_Rooms!$A$4:$A$83=$B$3),23)="Y","window casing",""),IF(INDEX(FILTER(INPUT_Rooms!$AA$4:$AA$83, INPUT_Rooms!$A$4:$A$83=$B$3),23)="Y","door casing",""),IF(INDEX(FILTER(INPUT_Rooms!$AB$4:$AB$83, INPUT_Rooms!$A$4:$A$83=$B$3),23)="Y","doors",""))&amp;").", "")))</f>
        <v/>
      </c>
    </row>
    <row r="29">
      <c r="A29" s="6">
        <f>IFERROR(INDEX(FILTER(INPUT_Rooms!$C$4:$C$83, INPUT_Rooms!$A$4:$A$83=$B$3), 24), "")</f>
        <v/>
      </c>
      <c r="B29" s="6">
        <f>IF(A29="","",TEXTJOIN(" ",TRUE,IF(INDEX(FILTER(INPUT_Rooms!$K$4:$K$83, INPUT_Rooms!$A$4:$A$83=$B$3),24)="Y","Prep and paint "&amp;INDEX(FILTER(INPUT_Rooms!$M$4:$M$83, INPUT_Rooms!$A$4:$A$83=$B$3),24)&amp;" coat(s) on "&amp;A29&amp;" walls.", ""),IF(INDEX(FILTER(INPUT_Rooms!$O$4:$O$83, INPUT_Rooms!$A$4:$A$83=$B$3),24)="Y","Prep and paint "&amp;INDEX(FILTER(INPUT_Rooms!$Q$4:$Q$83, INPUT_Rooms!$A$4:$A$83=$B$3),24)&amp;" coat(s) on "&amp;A29&amp;" ceilings.", ""),IF(INDEX(FILTER(INPUT_Rooms!$T$4:$T$83, INPUT_Rooms!$A$4:$A$83=$B$3),24)="Y","Prep and paint "&amp;INDEX(FILTER(INPUT_Rooms!$V$4:$V$83, INPUT_Rooms!$A$4:$A$83=$B$3),24)&amp;" coat(s) on "&amp;A29&amp;" trim ("&amp;TEXTJOIN(", ",TRUE,IF(INDEX(FILTER(INPUT_Rooms!$X$4:$X$83, INPUT_Rooms!$A$4:$A$83=$B$3),24)="Y","base",""),IF(INDEX(FILTER(INPUT_Rooms!$Y$4:$Y$83, INPUT_Rooms!$A$4:$A$83=$B$3),24)="Y","crown",""),IF(INDEX(FILTER(INPUT_Rooms!$Z$4:$Z$83, INPUT_Rooms!$A$4:$A$83=$B$3),24)="Y","window casing",""),IF(INDEX(FILTER(INPUT_Rooms!$AA$4:$AA$83, INPUT_Rooms!$A$4:$A$83=$B$3),24)="Y","door casing",""),IF(INDEX(FILTER(INPUT_Rooms!$AB$4:$AB$83, INPUT_Rooms!$A$4:$A$83=$B$3),24)="Y","doors",""))&amp;").", "")))</f>
        <v/>
      </c>
    </row>
    <row r="30">
      <c r="A30" s="6">
        <f>IFERROR(INDEX(FILTER(INPUT_Rooms!$C$4:$C$83, INPUT_Rooms!$A$4:$A$83=$B$3), 25), "")</f>
        <v/>
      </c>
      <c r="B30" s="6">
        <f>IF(A30="","",TEXTJOIN(" ",TRUE,IF(INDEX(FILTER(INPUT_Rooms!$K$4:$K$83, INPUT_Rooms!$A$4:$A$83=$B$3),25)="Y","Prep and paint "&amp;INDEX(FILTER(INPUT_Rooms!$M$4:$M$83, INPUT_Rooms!$A$4:$A$83=$B$3),25)&amp;" coat(s) on "&amp;A30&amp;" walls.", ""),IF(INDEX(FILTER(INPUT_Rooms!$O$4:$O$83, INPUT_Rooms!$A$4:$A$83=$B$3),25)="Y","Prep and paint "&amp;INDEX(FILTER(INPUT_Rooms!$Q$4:$Q$83, INPUT_Rooms!$A$4:$A$83=$B$3),25)&amp;" coat(s) on "&amp;A30&amp;" ceilings.", ""),IF(INDEX(FILTER(INPUT_Rooms!$T$4:$T$83, INPUT_Rooms!$A$4:$A$83=$B$3),25)="Y","Prep and paint "&amp;INDEX(FILTER(INPUT_Rooms!$V$4:$V$83, INPUT_Rooms!$A$4:$A$83=$B$3),25)&amp;" coat(s) on "&amp;A30&amp;" trim ("&amp;TEXTJOIN(", ",TRUE,IF(INDEX(FILTER(INPUT_Rooms!$X$4:$X$83, INPUT_Rooms!$A$4:$A$83=$B$3),25)="Y","base",""),IF(INDEX(FILTER(INPUT_Rooms!$Y$4:$Y$83, INPUT_Rooms!$A$4:$A$83=$B$3),25)="Y","crown",""),IF(INDEX(FILTER(INPUT_Rooms!$Z$4:$Z$83, INPUT_Rooms!$A$4:$A$83=$B$3),25)="Y","window casing",""),IF(INDEX(FILTER(INPUT_Rooms!$AA$4:$AA$83, INPUT_Rooms!$A$4:$A$83=$B$3),25)="Y","door casing",""),IF(INDEX(FILTER(INPUT_Rooms!$AB$4:$AB$83, INPUT_Rooms!$A$4:$A$83=$B$3),25)="Y","doors",""))&amp;").", "")))</f>
        <v/>
      </c>
    </row>
    <row r="31">
      <c r="A31" s="6">
        <f>IFERROR(INDEX(FILTER(INPUT_Rooms!$C$4:$C$83, INPUT_Rooms!$A$4:$A$83=$B$3), 26), "")</f>
        <v/>
      </c>
      <c r="B31" s="6">
        <f>IF(A31="","",TEXTJOIN(" ",TRUE,IF(INDEX(FILTER(INPUT_Rooms!$K$4:$K$83, INPUT_Rooms!$A$4:$A$83=$B$3),26)="Y","Prep and paint "&amp;INDEX(FILTER(INPUT_Rooms!$M$4:$M$83, INPUT_Rooms!$A$4:$A$83=$B$3),26)&amp;" coat(s) on "&amp;A31&amp;" walls.", ""),IF(INDEX(FILTER(INPUT_Rooms!$O$4:$O$83, INPUT_Rooms!$A$4:$A$83=$B$3),26)="Y","Prep and paint "&amp;INDEX(FILTER(INPUT_Rooms!$Q$4:$Q$83, INPUT_Rooms!$A$4:$A$83=$B$3),26)&amp;" coat(s) on "&amp;A31&amp;" ceilings.", ""),IF(INDEX(FILTER(INPUT_Rooms!$T$4:$T$83, INPUT_Rooms!$A$4:$A$83=$B$3),26)="Y","Prep and paint "&amp;INDEX(FILTER(INPUT_Rooms!$V$4:$V$83, INPUT_Rooms!$A$4:$A$83=$B$3),26)&amp;" coat(s) on "&amp;A31&amp;" trim ("&amp;TEXTJOIN(", ",TRUE,IF(INDEX(FILTER(INPUT_Rooms!$X$4:$X$83, INPUT_Rooms!$A$4:$A$83=$B$3),26)="Y","base",""),IF(INDEX(FILTER(INPUT_Rooms!$Y$4:$Y$83, INPUT_Rooms!$A$4:$A$83=$B$3),26)="Y","crown",""),IF(INDEX(FILTER(INPUT_Rooms!$Z$4:$Z$83, INPUT_Rooms!$A$4:$A$83=$B$3),26)="Y","window casing",""),IF(INDEX(FILTER(INPUT_Rooms!$AA$4:$AA$83, INPUT_Rooms!$A$4:$A$83=$B$3),26)="Y","door casing",""),IF(INDEX(FILTER(INPUT_Rooms!$AB$4:$AB$83, INPUT_Rooms!$A$4:$A$83=$B$3),26)="Y","doors",""))&amp;").", "")))</f>
        <v/>
      </c>
    </row>
    <row r="32">
      <c r="A32" s="6">
        <f>IFERROR(INDEX(FILTER(INPUT_Rooms!$C$4:$C$83, INPUT_Rooms!$A$4:$A$83=$B$3), 27), "")</f>
        <v/>
      </c>
      <c r="B32" s="6">
        <f>IF(A32="","",TEXTJOIN(" ",TRUE,IF(INDEX(FILTER(INPUT_Rooms!$K$4:$K$83, INPUT_Rooms!$A$4:$A$83=$B$3),27)="Y","Prep and paint "&amp;INDEX(FILTER(INPUT_Rooms!$M$4:$M$83, INPUT_Rooms!$A$4:$A$83=$B$3),27)&amp;" coat(s) on "&amp;A32&amp;" walls.", ""),IF(INDEX(FILTER(INPUT_Rooms!$O$4:$O$83, INPUT_Rooms!$A$4:$A$83=$B$3),27)="Y","Prep and paint "&amp;INDEX(FILTER(INPUT_Rooms!$Q$4:$Q$83, INPUT_Rooms!$A$4:$A$83=$B$3),27)&amp;" coat(s) on "&amp;A32&amp;" ceilings.", ""),IF(INDEX(FILTER(INPUT_Rooms!$T$4:$T$83, INPUT_Rooms!$A$4:$A$83=$B$3),27)="Y","Prep and paint "&amp;INDEX(FILTER(INPUT_Rooms!$V$4:$V$83, INPUT_Rooms!$A$4:$A$83=$B$3),27)&amp;" coat(s) on "&amp;A32&amp;" trim ("&amp;TEXTJOIN(", ",TRUE,IF(INDEX(FILTER(INPUT_Rooms!$X$4:$X$83, INPUT_Rooms!$A$4:$A$83=$B$3),27)="Y","base",""),IF(INDEX(FILTER(INPUT_Rooms!$Y$4:$Y$83, INPUT_Rooms!$A$4:$A$83=$B$3),27)="Y","crown",""),IF(INDEX(FILTER(INPUT_Rooms!$Z$4:$Z$83, INPUT_Rooms!$A$4:$A$83=$B$3),27)="Y","window casing",""),IF(INDEX(FILTER(INPUT_Rooms!$AA$4:$AA$83, INPUT_Rooms!$A$4:$A$83=$B$3),27)="Y","door casing",""),IF(INDEX(FILTER(INPUT_Rooms!$AB$4:$AB$83, INPUT_Rooms!$A$4:$A$83=$B$3),27)="Y","doors",""))&amp;").", "")))</f>
        <v/>
      </c>
    </row>
    <row r="33">
      <c r="A33" s="6">
        <f>IFERROR(INDEX(FILTER(INPUT_Rooms!$C$4:$C$83, INPUT_Rooms!$A$4:$A$83=$B$3), 28), "")</f>
        <v/>
      </c>
      <c r="B33" s="6">
        <f>IF(A33="","",TEXTJOIN(" ",TRUE,IF(INDEX(FILTER(INPUT_Rooms!$K$4:$K$83, INPUT_Rooms!$A$4:$A$83=$B$3),28)="Y","Prep and paint "&amp;INDEX(FILTER(INPUT_Rooms!$M$4:$M$83, INPUT_Rooms!$A$4:$A$83=$B$3),28)&amp;" coat(s) on "&amp;A33&amp;" walls.", ""),IF(INDEX(FILTER(INPUT_Rooms!$O$4:$O$83, INPUT_Rooms!$A$4:$A$83=$B$3),28)="Y","Prep and paint "&amp;INDEX(FILTER(INPUT_Rooms!$Q$4:$Q$83, INPUT_Rooms!$A$4:$A$83=$B$3),28)&amp;" coat(s) on "&amp;A33&amp;" ceilings.", ""),IF(INDEX(FILTER(INPUT_Rooms!$T$4:$T$83, INPUT_Rooms!$A$4:$A$83=$B$3),28)="Y","Prep and paint "&amp;INDEX(FILTER(INPUT_Rooms!$V$4:$V$83, INPUT_Rooms!$A$4:$A$83=$B$3),28)&amp;" coat(s) on "&amp;A33&amp;" trim ("&amp;TEXTJOIN(", ",TRUE,IF(INDEX(FILTER(INPUT_Rooms!$X$4:$X$83, INPUT_Rooms!$A$4:$A$83=$B$3),28)="Y","base",""),IF(INDEX(FILTER(INPUT_Rooms!$Y$4:$Y$83, INPUT_Rooms!$A$4:$A$83=$B$3),28)="Y","crown",""),IF(INDEX(FILTER(INPUT_Rooms!$Z$4:$Z$83, INPUT_Rooms!$A$4:$A$83=$B$3),28)="Y","window casing",""),IF(INDEX(FILTER(INPUT_Rooms!$AA$4:$AA$83, INPUT_Rooms!$A$4:$A$83=$B$3),28)="Y","door casing",""),IF(INDEX(FILTER(INPUT_Rooms!$AB$4:$AB$83, INPUT_Rooms!$A$4:$A$83=$B$3),28)="Y","doors",""))&amp;").", "")))</f>
        <v/>
      </c>
    </row>
    <row r="34">
      <c r="A34" s="6">
        <f>IFERROR(INDEX(FILTER(INPUT_Rooms!$C$4:$C$83, INPUT_Rooms!$A$4:$A$83=$B$3), 29), "")</f>
        <v/>
      </c>
      <c r="B34" s="6">
        <f>IF(A34="","",TEXTJOIN(" ",TRUE,IF(INDEX(FILTER(INPUT_Rooms!$K$4:$K$83, INPUT_Rooms!$A$4:$A$83=$B$3),29)="Y","Prep and paint "&amp;INDEX(FILTER(INPUT_Rooms!$M$4:$M$83, INPUT_Rooms!$A$4:$A$83=$B$3),29)&amp;" coat(s) on "&amp;A34&amp;" walls.", ""),IF(INDEX(FILTER(INPUT_Rooms!$O$4:$O$83, INPUT_Rooms!$A$4:$A$83=$B$3),29)="Y","Prep and paint "&amp;INDEX(FILTER(INPUT_Rooms!$Q$4:$Q$83, INPUT_Rooms!$A$4:$A$83=$B$3),29)&amp;" coat(s) on "&amp;A34&amp;" ceilings.", ""),IF(INDEX(FILTER(INPUT_Rooms!$T$4:$T$83, INPUT_Rooms!$A$4:$A$83=$B$3),29)="Y","Prep and paint "&amp;INDEX(FILTER(INPUT_Rooms!$V$4:$V$83, INPUT_Rooms!$A$4:$A$83=$B$3),29)&amp;" coat(s) on "&amp;A34&amp;" trim ("&amp;TEXTJOIN(", ",TRUE,IF(INDEX(FILTER(INPUT_Rooms!$X$4:$X$83, INPUT_Rooms!$A$4:$A$83=$B$3),29)="Y","base",""),IF(INDEX(FILTER(INPUT_Rooms!$Y$4:$Y$83, INPUT_Rooms!$A$4:$A$83=$B$3),29)="Y","crown",""),IF(INDEX(FILTER(INPUT_Rooms!$Z$4:$Z$83, INPUT_Rooms!$A$4:$A$83=$B$3),29)="Y","window casing",""),IF(INDEX(FILTER(INPUT_Rooms!$AA$4:$AA$83, INPUT_Rooms!$A$4:$A$83=$B$3),29)="Y","door casing",""),IF(INDEX(FILTER(INPUT_Rooms!$AB$4:$AB$83, INPUT_Rooms!$A$4:$A$83=$B$3),29)="Y","doors",""))&amp;").", "")))</f>
        <v/>
      </c>
    </row>
    <row r="35">
      <c r="A35" s="6">
        <f>IFERROR(INDEX(FILTER(INPUT_Rooms!$C$4:$C$83, INPUT_Rooms!$A$4:$A$83=$B$3), 30), "")</f>
        <v/>
      </c>
      <c r="B35" s="6">
        <f>IF(A35="","",TEXTJOIN(" ",TRUE,IF(INDEX(FILTER(INPUT_Rooms!$K$4:$K$83, INPUT_Rooms!$A$4:$A$83=$B$3),30)="Y","Prep and paint "&amp;INDEX(FILTER(INPUT_Rooms!$M$4:$M$83, INPUT_Rooms!$A$4:$A$83=$B$3),30)&amp;" coat(s) on "&amp;A35&amp;" walls.", ""),IF(INDEX(FILTER(INPUT_Rooms!$O$4:$O$83, INPUT_Rooms!$A$4:$A$83=$B$3),30)="Y","Prep and paint "&amp;INDEX(FILTER(INPUT_Rooms!$Q$4:$Q$83, INPUT_Rooms!$A$4:$A$83=$B$3),30)&amp;" coat(s) on "&amp;A35&amp;" ceilings.", ""),IF(INDEX(FILTER(INPUT_Rooms!$T$4:$T$83, INPUT_Rooms!$A$4:$A$83=$B$3),30)="Y","Prep and paint "&amp;INDEX(FILTER(INPUT_Rooms!$V$4:$V$83, INPUT_Rooms!$A$4:$A$83=$B$3),30)&amp;" coat(s) on "&amp;A35&amp;" trim ("&amp;TEXTJOIN(", ",TRUE,IF(INDEX(FILTER(INPUT_Rooms!$X$4:$X$83, INPUT_Rooms!$A$4:$A$83=$B$3),30)="Y","base",""),IF(INDEX(FILTER(INPUT_Rooms!$Y$4:$Y$83, INPUT_Rooms!$A$4:$A$83=$B$3),30)="Y","crown",""),IF(INDEX(FILTER(INPUT_Rooms!$Z$4:$Z$83, INPUT_Rooms!$A$4:$A$83=$B$3),30)="Y","window casing",""),IF(INDEX(FILTER(INPUT_Rooms!$AA$4:$AA$83, INPUT_Rooms!$A$4:$A$83=$B$3),30)="Y","door casing",""),IF(INDEX(FILTER(INPUT_Rooms!$AB$4:$AB$83, INPUT_Rooms!$A$4:$A$83=$B$3),30)="Y","doors",""))&amp;").", "")))</f>
        <v/>
      </c>
    </row>
    <row r="36">
      <c r="A36" s="6">
        <f>IFERROR(INDEX(FILTER(INPUT_Rooms!$C$4:$C$83, INPUT_Rooms!$A$4:$A$83=$B$3), 31), "")</f>
        <v/>
      </c>
      <c r="B36" s="6">
        <f>IF(A36="","",TEXTJOIN(" ",TRUE,IF(INDEX(FILTER(INPUT_Rooms!$K$4:$K$83, INPUT_Rooms!$A$4:$A$83=$B$3),31)="Y","Prep and paint "&amp;INDEX(FILTER(INPUT_Rooms!$M$4:$M$83, INPUT_Rooms!$A$4:$A$83=$B$3),31)&amp;" coat(s) on "&amp;A36&amp;" walls.", ""),IF(INDEX(FILTER(INPUT_Rooms!$O$4:$O$83, INPUT_Rooms!$A$4:$A$83=$B$3),31)="Y","Prep and paint "&amp;INDEX(FILTER(INPUT_Rooms!$Q$4:$Q$83, INPUT_Rooms!$A$4:$A$83=$B$3),31)&amp;" coat(s) on "&amp;A36&amp;" ceilings.", ""),IF(INDEX(FILTER(INPUT_Rooms!$T$4:$T$83, INPUT_Rooms!$A$4:$A$83=$B$3),31)="Y","Prep and paint "&amp;INDEX(FILTER(INPUT_Rooms!$V$4:$V$83, INPUT_Rooms!$A$4:$A$83=$B$3),31)&amp;" coat(s) on "&amp;A36&amp;" trim ("&amp;TEXTJOIN(", ",TRUE,IF(INDEX(FILTER(INPUT_Rooms!$X$4:$X$83, INPUT_Rooms!$A$4:$A$83=$B$3),31)="Y","base",""),IF(INDEX(FILTER(INPUT_Rooms!$Y$4:$Y$83, INPUT_Rooms!$A$4:$A$83=$B$3),31)="Y","crown",""),IF(INDEX(FILTER(INPUT_Rooms!$Z$4:$Z$83, INPUT_Rooms!$A$4:$A$83=$B$3),31)="Y","window casing",""),IF(INDEX(FILTER(INPUT_Rooms!$AA$4:$AA$83, INPUT_Rooms!$A$4:$A$83=$B$3),31)="Y","door casing",""),IF(INDEX(FILTER(INPUT_Rooms!$AB$4:$AB$83, INPUT_Rooms!$A$4:$A$83=$B$3),31)="Y","doors",""))&amp;").", "")))</f>
        <v/>
      </c>
    </row>
    <row r="37">
      <c r="A37" s="6">
        <f>IFERROR(INDEX(FILTER(INPUT_Rooms!$C$4:$C$83, INPUT_Rooms!$A$4:$A$83=$B$3), 32), "")</f>
        <v/>
      </c>
      <c r="B37" s="6">
        <f>IF(A37="","",TEXTJOIN(" ",TRUE,IF(INDEX(FILTER(INPUT_Rooms!$K$4:$K$83, INPUT_Rooms!$A$4:$A$83=$B$3),32)="Y","Prep and paint "&amp;INDEX(FILTER(INPUT_Rooms!$M$4:$M$83, INPUT_Rooms!$A$4:$A$83=$B$3),32)&amp;" coat(s) on "&amp;A37&amp;" walls.", ""),IF(INDEX(FILTER(INPUT_Rooms!$O$4:$O$83, INPUT_Rooms!$A$4:$A$83=$B$3),32)="Y","Prep and paint "&amp;INDEX(FILTER(INPUT_Rooms!$Q$4:$Q$83, INPUT_Rooms!$A$4:$A$83=$B$3),32)&amp;" coat(s) on "&amp;A37&amp;" ceilings.", ""),IF(INDEX(FILTER(INPUT_Rooms!$T$4:$T$83, INPUT_Rooms!$A$4:$A$83=$B$3),32)="Y","Prep and paint "&amp;INDEX(FILTER(INPUT_Rooms!$V$4:$V$83, INPUT_Rooms!$A$4:$A$83=$B$3),32)&amp;" coat(s) on "&amp;A37&amp;" trim ("&amp;TEXTJOIN(", ",TRUE,IF(INDEX(FILTER(INPUT_Rooms!$X$4:$X$83, INPUT_Rooms!$A$4:$A$83=$B$3),32)="Y","base",""),IF(INDEX(FILTER(INPUT_Rooms!$Y$4:$Y$83, INPUT_Rooms!$A$4:$A$83=$B$3),32)="Y","crown",""),IF(INDEX(FILTER(INPUT_Rooms!$Z$4:$Z$83, INPUT_Rooms!$A$4:$A$83=$B$3),32)="Y","window casing",""),IF(INDEX(FILTER(INPUT_Rooms!$AA$4:$AA$83, INPUT_Rooms!$A$4:$A$83=$B$3),32)="Y","door casing",""),IF(INDEX(FILTER(INPUT_Rooms!$AB$4:$AB$83, INPUT_Rooms!$A$4:$A$83=$B$3),32)="Y","doors",""))&amp;").", "")))</f>
        <v/>
      </c>
    </row>
    <row r="38">
      <c r="A38" s="6">
        <f>IFERROR(INDEX(FILTER(INPUT_Rooms!$C$4:$C$83, INPUT_Rooms!$A$4:$A$83=$B$3), 33), "")</f>
        <v/>
      </c>
      <c r="B38" s="6">
        <f>IF(A38="","",TEXTJOIN(" ",TRUE,IF(INDEX(FILTER(INPUT_Rooms!$K$4:$K$83, INPUT_Rooms!$A$4:$A$83=$B$3),33)="Y","Prep and paint "&amp;INDEX(FILTER(INPUT_Rooms!$M$4:$M$83, INPUT_Rooms!$A$4:$A$83=$B$3),33)&amp;" coat(s) on "&amp;A38&amp;" walls.", ""),IF(INDEX(FILTER(INPUT_Rooms!$O$4:$O$83, INPUT_Rooms!$A$4:$A$83=$B$3),33)="Y","Prep and paint "&amp;INDEX(FILTER(INPUT_Rooms!$Q$4:$Q$83, INPUT_Rooms!$A$4:$A$83=$B$3),33)&amp;" coat(s) on "&amp;A38&amp;" ceilings.", ""),IF(INDEX(FILTER(INPUT_Rooms!$T$4:$T$83, INPUT_Rooms!$A$4:$A$83=$B$3),33)="Y","Prep and paint "&amp;INDEX(FILTER(INPUT_Rooms!$V$4:$V$83, INPUT_Rooms!$A$4:$A$83=$B$3),33)&amp;" coat(s) on "&amp;A38&amp;" trim ("&amp;TEXTJOIN(", ",TRUE,IF(INDEX(FILTER(INPUT_Rooms!$X$4:$X$83, INPUT_Rooms!$A$4:$A$83=$B$3),33)="Y","base",""),IF(INDEX(FILTER(INPUT_Rooms!$Y$4:$Y$83, INPUT_Rooms!$A$4:$A$83=$B$3),33)="Y","crown",""),IF(INDEX(FILTER(INPUT_Rooms!$Z$4:$Z$83, INPUT_Rooms!$A$4:$A$83=$B$3),33)="Y","window casing",""),IF(INDEX(FILTER(INPUT_Rooms!$AA$4:$AA$83, INPUT_Rooms!$A$4:$A$83=$B$3),33)="Y","door casing",""),IF(INDEX(FILTER(INPUT_Rooms!$AB$4:$AB$83, INPUT_Rooms!$A$4:$A$83=$B$3),33)="Y","doors",""))&amp;").", "")))</f>
        <v/>
      </c>
    </row>
    <row r="39">
      <c r="A39" s="6">
        <f>IFERROR(INDEX(FILTER(INPUT_Rooms!$C$4:$C$83, INPUT_Rooms!$A$4:$A$83=$B$3), 34), "")</f>
        <v/>
      </c>
      <c r="B39" s="6">
        <f>IF(A39="","",TEXTJOIN(" ",TRUE,IF(INDEX(FILTER(INPUT_Rooms!$K$4:$K$83, INPUT_Rooms!$A$4:$A$83=$B$3),34)="Y","Prep and paint "&amp;INDEX(FILTER(INPUT_Rooms!$M$4:$M$83, INPUT_Rooms!$A$4:$A$83=$B$3),34)&amp;" coat(s) on "&amp;A39&amp;" walls.", ""),IF(INDEX(FILTER(INPUT_Rooms!$O$4:$O$83, INPUT_Rooms!$A$4:$A$83=$B$3),34)="Y","Prep and paint "&amp;INDEX(FILTER(INPUT_Rooms!$Q$4:$Q$83, INPUT_Rooms!$A$4:$A$83=$B$3),34)&amp;" coat(s) on "&amp;A39&amp;" ceilings.", ""),IF(INDEX(FILTER(INPUT_Rooms!$T$4:$T$83, INPUT_Rooms!$A$4:$A$83=$B$3),34)="Y","Prep and paint "&amp;INDEX(FILTER(INPUT_Rooms!$V$4:$V$83, INPUT_Rooms!$A$4:$A$83=$B$3),34)&amp;" coat(s) on "&amp;A39&amp;" trim ("&amp;TEXTJOIN(", ",TRUE,IF(INDEX(FILTER(INPUT_Rooms!$X$4:$X$83, INPUT_Rooms!$A$4:$A$83=$B$3),34)="Y","base",""),IF(INDEX(FILTER(INPUT_Rooms!$Y$4:$Y$83, INPUT_Rooms!$A$4:$A$83=$B$3),34)="Y","crown",""),IF(INDEX(FILTER(INPUT_Rooms!$Z$4:$Z$83, INPUT_Rooms!$A$4:$A$83=$B$3),34)="Y","window casing",""),IF(INDEX(FILTER(INPUT_Rooms!$AA$4:$AA$83, INPUT_Rooms!$A$4:$A$83=$B$3),34)="Y","door casing",""),IF(INDEX(FILTER(INPUT_Rooms!$AB$4:$AB$83, INPUT_Rooms!$A$4:$A$83=$B$3),34)="Y","doors",""))&amp;").", "")))</f>
        <v/>
      </c>
    </row>
    <row r="40">
      <c r="A40" s="6">
        <f>IFERROR(INDEX(FILTER(INPUT_Rooms!$C$4:$C$83, INPUT_Rooms!$A$4:$A$83=$B$3), 35), "")</f>
        <v/>
      </c>
      <c r="B40" s="6">
        <f>IF(A40="","",TEXTJOIN(" ",TRUE,IF(INDEX(FILTER(INPUT_Rooms!$K$4:$K$83, INPUT_Rooms!$A$4:$A$83=$B$3),35)="Y","Prep and paint "&amp;INDEX(FILTER(INPUT_Rooms!$M$4:$M$83, INPUT_Rooms!$A$4:$A$83=$B$3),35)&amp;" coat(s) on "&amp;A40&amp;" walls.", ""),IF(INDEX(FILTER(INPUT_Rooms!$O$4:$O$83, INPUT_Rooms!$A$4:$A$83=$B$3),35)="Y","Prep and paint "&amp;INDEX(FILTER(INPUT_Rooms!$Q$4:$Q$83, INPUT_Rooms!$A$4:$A$83=$B$3),35)&amp;" coat(s) on "&amp;A40&amp;" ceilings.", ""),IF(INDEX(FILTER(INPUT_Rooms!$T$4:$T$83, INPUT_Rooms!$A$4:$A$83=$B$3),35)="Y","Prep and paint "&amp;INDEX(FILTER(INPUT_Rooms!$V$4:$V$83, INPUT_Rooms!$A$4:$A$83=$B$3),35)&amp;" coat(s) on "&amp;A40&amp;" trim ("&amp;TEXTJOIN(", ",TRUE,IF(INDEX(FILTER(INPUT_Rooms!$X$4:$X$83, INPUT_Rooms!$A$4:$A$83=$B$3),35)="Y","base",""),IF(INDEX(FILTER(INPUT_Rooms!$Y$4:$Y$83, INPUT_Rooms!$A$4:$A$83=$B$3),35)="Y","crown",""),IF(INDEX(FILTER(INPUT_Rooms!$Z$4:$Z$83, INPUT_Rooms!$A$4:$A$83=$B$3),35)="Y","window casing",""),IF(INDEX(FILTER(INPUT_Rooms!$AA$4:$AA$83, INPUT_Rooms!$A$4:$A$83=$B$3),35)="Y","door casing",""),IF(INDEX(FILTER(INPUT_Rooms!$AB$4:$AB$83, INPUT_Rooms!$A$4:$A$83=$B$3),35)="Y","doors",""))&amp;").", "")))</f>
        <v/>
      </c>
    </row>
    <row r="41">
      <c r="A41" s="6">
        <f>IFERROR(INDEX(FILTER(INPUT_Rooms!$C$4:$C$83, INPUT_Rooms!$A$4:$A$83=$B$3), 36), "")</f>
        <v/>
      </c>
      <c r="B41" s="6">
        <f>IF(A41="","",TEXTJOIN(" ",TRUE,IF(INDEX(FILTER(INPUT_Rooms!$K$4:$K$83, INPUT_Rooms!$A$4:$A$83=$B$3),36)="Y","Prep and paint "&amp;INDEX(FILTER(INPUT_Rooms!$M$4:$M$83, INPUT_Rooms!$A$4:$A$83=$B$3),36)&amp;" coat(s) on "&amp;A41&amp;" walls.", ""),IF(INDEX(FILTER(INPUT_Rooms!$O$4:$O$83, INPUT_Rooms!$A$4:$A$83=$B$3),36)="Y","Prep and paint "&amp;INDEX(FILTER(INPUT_Rooms!$Q$4:$Q$83, INPUT_Rooms!$A$4:$A$83=$B$3),36)&amp;" coat(s) on "&amp;A41&amp;" ceilings.", ""),IF(INDEX(FILTER(INPUT_Rooms!$T$4:$T$83, INPUT_Rooms!$A$4:$A$83=$B$3),36)="Y","Prep and paint "&amp;INDEX(FILTER(INPUT_Rooms!$V$4:$V$83, INPUT_Rooms!$A$4:$A$83=$B$3),36)&amp;" coat(s) on "&amp;A41&amp;" trim ("&amp;TEXTJOIN(", ",TRUE,IF(INDEX(FILTER(INPUT_Rooms!$X$4:$X$83, INPUT_Rooms!$A$4:$A$83=$B$3),36)="Y","base",""),IF(INDEX(FILTER(INPUT_Rooms!$Y$4:$Y$83, INPUT_Rooms!$A$4:$A$83=$B$3),36)="Y","crown",""),IF(INDEX(FILTER(INPUT_Rooms!$Z$4:$Z$83, INPUT_Rooms!$A$4:$A$83=$B$3),36)="Y","window casing",""),IF(INDEX(FILTER(INPUT_Rooms!$AA$4:$AA$83, INPUT_Rooms!$A$4:$A$83=$B$3),36)="Y","door casing",""),IF(INDEX(FILTER(INPUT_Rooms!$AB$4:$AB$83, INPUT_Rooms!$A$4:$A$83=$B$3),36)="Y","doors",""))&amp;").", "")))</f>
        <v/>
      </c>
    </row>
    <row r="42">
      <c r="A42" s="6">
        <f>IFERROR(INDEX(FILTER(INPUT_Rooms!$C$4:$C$83, INPUT_Rooms!$A$4:$A$83=$B$3), 37), "")</f>
        <v/>
      </c>
      <c r="B42" s="6">
        <f>IF(A42="","",TEXTJOIN(" ",TRUE,IF(INDEX(FILTER(INPUT_Rooms!$K$4:$K$83, INPUT_Rooms!$A$4:$A$83=$B$3),37)="Y","Prep and paint "&amp;INDEX(FILTER(INPUT_Rooms!$M$4:$M$83, INPUT_Rooms!$A$4:$A$83=$B$3),37)&amp;" coat(s) on "&amp;A42&amp;" walls.", ""),IF(INDEX(FILTER(INPUT_Rooms!$O$4:$O$83, INPUT_Rooms!$A$4:$A$83=$B$3),37)="Y","Prep and paint "&amp;INDEX(FILTER(INPUT_Rooms!$Q$4:$Q$83, INPUT_Rooms!$A$4:$A$83=$B$3),37)&amp;" coat(s) on "&amp;A42&amp;" ceilings.", ""),IF(INDEX(FILTER(INPUT_Rooms!$T$4:$T$83, INPUT_Rooms!$A$4:$A$83=$B$3),37)="Y","Prep and paint "&amp;INDEX(FILTER(INPUT_Rooms!$V$4:$V$83, INPUT_Rooms!$A$4:$A$83=$B$3),37)&amp;" coat(s) on "&amp;A42&amp;" trim ("&amp;TEXTJOIN(", ",TRUE,IF(INDEX(FILTER(INPUT_Rooms!$X$4:$X$83, INPUT_Rooms!$A$4:$A$83=$B$3),37)="Y","base",""),IF(INDEX(FILTER(INPUT_Rooms!$Y$4:$Y$83, INPUT_Rooms!$A$4:$A$83=$B$3),37)="Y","crown",""),IF(INDEX(FILTER(INPUT_Rooms!$Z$4:$Z$83, INPUT_Rooms!$A$4:$A$83=$B$3),37)="Y","window casing",""),IF(INDEX(FILTER(INPUT_Rooms!$AA$4:$AA$83, INPUT_Rooms!$A$4:$A$83=$B$3),37)="Y","door casing",""),IF(INDEX(FILTER(INPUT_Rooms!$AB$4:$AB$83, INPUT_Rooms!$A$4:$A$83=$B$3),37)="Y","doors",""))&amp;").", "")))</f>
        <v/>
      </c>
    </row>
    <row r="43">
      <c r="A43" s="6">
        <f>IFERROR(INDEX(FILTER(INPUT_Rooms!$C$4:$C$83, INPUT_Rooms!$A$4:$A$83=$B$3), 38), "")</f>
        <v/>
      </c>
      <c r="B43" s="6">
        <f>IF(A43="","",TEXTJOIN(" ",TRUE,IF(INDEX(FILTER(INPUT_Rooms!$K$4:$K$83, INPUT_Rooms!$A$4:$A$83=$B$3),38)="Y","Prep and paint "&amp;INDEX(FILTER(INPUT_Rooms!$M$4:$M$83, INPUT_Rooms!$A$4:$A$83=$B$3),38)&amp;" coat(s) on "&amp;A43&amp;" walls.", ""),IF(INDEX(FILTER(INPUT_Rooms!$O$4:$O$83, INPUT_Rooms!$A$4:$A$83=$B$3),38)="Y","Prep and paint "&amp;INDEX(FILTER(INPUT_Rooms!$Q$4:$Q$83, INPUT_Rooms!$A$4:$A$83=$B$3),38)&amp;" coat(s) on "&amp;A43&amp;" ceilings.", ""),IF(INDEX(FILTER(INPUT_Rooms!$T$4:$T$83, INPUT_Rooms!$A$4:$A$83=$B$3),38)="Y","Prep and paint "&amp;INDEX(FILTER(INPUT_Rooms!$V$4:$V$83, INPUT_Rooms!$A$4:$A$83=$B$3),38)&amp;" coat(s) on "&amp;A43&amp;" trim ("&amp;TEXTJOIN(", ",TRUE,IF(INDEX(FILTER(INPUT_Rooms!$X$4:$X$83, INPUT_Rooms!$A$4:$A$83=$B$3),38)="Y","base",""),IF(INDEX(FILTER(INPUT_Rooms!$Y$4:$Y$83, INPUT_Rooms!$A$4:$A$83=$B$3),38)="Y","crown",""),IF(INDEX(FILTER(INPUT_Rooms!$Z$4:$Z$83, INPUT_Rooms!$A$4:$A$83=$B$3),38)="Y","window casing",""),IF(INDEX(FILTER(INPUT_Rooms!$AA$4:$AA$83, INPUT_Rooms!$A$4:$A$83=$B$3),38)="Y","door casing",""),IF(INDEX(FILTER(INPUT_Rooms!$AB$4:$AB$83, INPUT_Rooms!$A$4:$A$83=$B$3),38)="Y","doors",""))&amp;").", "")))</f>
        <v/>
      </c>
    </row>
    <row r="44">
      <c r="A44" s="6">
        <f>IFERROR(INDEX(FILTER(INPUT_Rooms!$C$4:$C$83, INPUT_Rooms!$A$4:$A$83=$B$3), 39), "")</f>
        <v/>
      </c>
      <c r="B44" s="6">
        <f>IF(A44="","",TEXTJOIN(" ",TRUE,IF(INDEX(FILTER(INPUT_Rooms!$K$4:$K$83, INPUT_Rooms!$A$4:$A$83=$B$3),39)="Y","Prep and paint "&amp;INDEX(FILTER(INPUT_Rooms!$M$4:$M$83, INPUT_Rooms!$A$4:$A$83=$B$3),39)&amp;" coat(s) on "&amp;A44&amp;" walls.", ""),IF(INDEX(FILTER(INPUT_Rooms!$O$4:$O$83, INPUT_Rooms!$A$4:$A$83=$B$3),39)="Y","Prep and paint "&amp;INDEX(FILTER(INPUT_Rooms!$Q$4:$Q$83, INPUT_Rooms!$A$4:$A$83=$B$3),39)&amp;" coat(s) on "&amp;A44&amp;" ceilings.", ""),IF(INDEX(FILTER(INPUT_Rooms!$T$4:$T$83, INPUT_Rooms!$A$4:$A$83=$B$3),39)="Y","Prep and paint "&amp;INDEX(FILTER(INPUT_Rooms!$V$4:$V$83, INPUT_Rooms!$A$4:$A$83=$B$3),39)&amp;" coat(s) on "&amp;A44&amp;" trim ("&amp;TEXTJOIN(", ",TRUE,IF(INDEX(FILTER(INPUT_Rooms!$X$4:$X$83, INPUT_Rooms!$A$4:$A$83=$B$3),39)="Y","base",""),IF(INDEX(FILTER(INPUT_Rooms!$Y$4:$Y$83, INPUT_Rooms!$A$4:$A$83=$B$3),39)="Y","crown",""),IF(INDEX(FILTER(INPUT_Rooms!$Z$4:$Z$83, INPUT_Rooms!$A$4:$A$83=$B$3),39)="Y","window casing",""),IF(INDEX(FILTER(INPUT_Rooms!$AA$4:$AA$83, INPUT_Rooms!$A$4:$A$83=$B$3),39)="Y","door casing",""),IF(INDEX(FILTER(INPUT_Rooms!$AB$4:$AB$83, INPUT_Rooms!$A$4:$A$83=$B$3),39)="Y","doors",""))&amp;").", "")))</f>
        <v/>
      </c>
    </row>
    <row r="45">
      <c r="A45" s="6">
        <f>IFERROR(INDEX(FILTER(INPUT_Rooms!$C$4:$C$83, INPUT_Rooms!$A$4:$A$83=$B$3), 40), "")</f>
        <v/>
      </c>
      <c r="B45" s="6">
        <f>IF(A45="","",TEXTJOIN(" ",TRUE,IF(INDEX(FILTER(INPUT_Rooms!$K$4:$K$83, INPUT_Rooms!$A$4:$A$83=$B$3),40)="Y","Prep and paint "&amp;INDEX(FILTER(INPUT_Rooms!$M$4:$M$83, INPUT_Rooms!$A$4:$A$83=$B$3),40)&amp;" coat(s) on "&amp;A45&amp;" walls.", ""),IF(INDEX(FILTER(INPUT_Rooms!$O$4:$O$83, INPUT_Rooms!$A$4:$A$83=$B$3),40)="Y","Prep and paint "&amp;INDEX(FILTER(INPUT_Rooms!$Q$4:$Q$83, INPUT_Rooms!$A$4:$A$83=$B$3),40)&amp;" coat(s) on "&amp;A45&amp;" ceilings.", ""),IF(INDEX(FILTER(INPUT_Rooms!$T$4:$T$83, INPUT_Rooms!$A$4:$A$83=$B$3),40)="Y","Prep and paint "&amp;INDEX(FILTER(INPUT_Rooms!$V$4:$V$83, INPUT_Rooms!$A$4:$A$83=$B$3),40)&amp;" coat(s) on "&amp;A45&amp;" trim ("&amp;TEXTJOIN(", ",TRUE,IF(INDEX(FILTER(INPUT_Rooms!$X$4:$X$83, INPUT_Rooms!$A$4:$A$83=$B$3),40)="Y","base",""),IF(INDEX(FILTER(INPUT_Rooms!$Y$4:$Y$83, INPUT_Rooms!$A$4:$A$83=$B$3),40)="Y","crown",""),IF(INDEX(FILTER(INPUT_Rooms!$Z$4:$Z$83, INPUT_Rooms!$A$4:$A$83=$B$3),40)="Y","window casing",""),IF(INDEX(FILTER(INPUT_Rooms!$AA$4:$AA$83, INPUT_Rooms!$A$4:$A$83=$B$3),40)="Y","door casing",""),IF(INDEX(FILTER(INPUT_Rooms!$AB$4:$AB$83, INPUT_Rooms!$A$4:$A$83=$B$3),40)="Y","doors",""))&amp;").", "")))</f>
        <v/>
      </c>
    </row>
    <row r="46">
      <c r="A46" s="6">
        <f>IFERROR(INDEX(FILTER(INPUT_Rooms!$C$4:$C$83, INPUT_Rooms!$A$4:$A$83=$B$3), 41), "")</f>
        <v/>
      </c>
      <c r="B46" s="6">
        <f>IF(A46="","",TEXTJOIN(" ",TRUE,IF(INDEX(FILTER(INPUT_Rooms!$K$4:$K$83, INPUT_Rooms!$A$4:$A$83=$B$3),41)="Y","Prep and paint "&amp;INDEX(FILTER(INPUT_Rooms!$M$4:$M$83, INPUT_Rooms!$A$4:$A$83=$B$3),41)&amp;" coat(s) on "&amp;A46&amp;" walls.", ""),IF(INDEX(FILTER(INPUT_Rooms!$O$4:$O$83, INPUT_Rooms!$A$4:$A$83=$B$3),41)="Y","Prep and paint "&amp;INDEX(FILTER(INPUT_Rooms!$Q$4:$Q$83, INPUT_Rooms!$A$4:$A$83=$B$3),41)&amp;" coat(s) on "&amp;A46&amp;" ceilings.", ""),IF(INDEX(FILTER(INPUT_Rooms!$T$4:$T$83, INPUT_Rooms!$A$4:$A$83=$B$3),41)="Y","Prep and paint "&amp;INDEX(FILTER(INPUT_Rooms!$V$4:$V$83, INPUT_Rooms!$A$4:$A$83=$B$3),41)&amp;" coat(s) on "&amp;A46&amp;" trim ("&amp;TEXTJOIN(", ",TRUE,IF(INDEX(FILTER(INPUT_Rooms!$X$4:$X$83, INPUT_Rooms!$A$4:$A$83=$B$3),41)="Y","base",""),IF(INDEX(FILTER(INPUT_Rooms!$Y$4:$Y$83, INPUT_Rooms!$A$4:$A$83=$B$3),41)="Y","crown",""),IF(INDEX(FILTER(INPUT_Rooms!$Z$4:$Z$83, INPUT_Rooms!$A$4:$A$83=$B$3),41)="Y","window casing",""),IF(INDEX(FILTER(INPUT_Rooms!$AA$4:$AA$83, INPUT_Rooms!$A$4:$A$83=$B$3),41)="Y","door casing",""),IF(INDEX(FILTER(INPUT_Rooms!$AB$4:$AB$83, INPUT_Rooms!$A$4:$A$83=$B$3),41)="Y","doors",""))&amp;").", "")))</f>
        <v/>
      </c>
    </row>
    <row r="47">
      <c r="A47" s="6">
        <f>IFERROR(INDEX(FILTER(INPUT_Rooms!$C$4:$C$83, INPUT_Rooms!$A$4:$A$83=$B$3), 42), "")</f>
        <v/>
      </c>
      <c r="B47" s="6">
        <f>IF(A47="","",TEXTJOIN(" ",TRUE,IF(INDEX(FILTER(INPUT_Rooms!$K$4:$K$83, INPUT_Rooms!$A$4:$A$83=$B$3),42)="Y","Prep and paint "&amp;INDEX(FILTER(INPUT_Rooms!$M$4:$M$83, INPUT_Rooms!$A$4:$A$83=$B$3),42)&amp;" coat(s) on "&amp;A47&amp;" walls.", ""),IF(INDEX(FILTER(INPUT_Rooms!$O$4:$O$83, INPUT_Rooms!$A$4:$A$83=$B$3),42)="Y","Prep and paint "&amp;INDEX(FILTER(INPUT_Rooms!$Q$4:$Q$83, INPUT_Rooms!$A$4:$A$83=$B$3),42)&amp;" coat(s) on "&amp;A47&amp;" ceilings.", ""),IF(INDEX(FILTER(INPUT_Rooms!$T$4:$T$83, INPUT_Rooms!$A$4:$A$83=$B$3),42)="Y","Prep and paint "&amp;INDEX(FILTER(INPUT_Rooms!$V$4:$V$83, INPUT_Rooms!$A$4:$A$83=$B$3),42)&amp;" coat(s) on "&amp;A47&amp;" trim ("&amp;TEXTJOIN(", ",TRUE,IF(INDEX(FILTER(INPUT_Rooms!$X$4:$X$83, INPUT_Rooms!$A$4:$A$83=$B$3),42)="Y","base",""),IF(INDEX(FILTER(INPUT_Rooms!$Y$4:$Y$83, INPUT_Rooms!$A$4:$A$83=$B$3),42)="Y","crown",""),IF(INDEX(FILTER(INPUT_Rooms!$Z$4:$Z$83, INPUT_Rooms!$A$4:$A$83=$B$3),42)="Y","window casing",""),IF(INDEX(FILTER(INPUT_Rooms!$AA$4:$AA$83, INPUT_Rooms!$A$4:$A$83=$B$3),42)="Y","door casing",""),IF(INDEX(FILTER(INPUT_Rooms!$AB$4:$AB$83, INPUT_Rooms!$A$4:$A$83=$B$3),42)="Y","doors",""))&amp;").", "")))</f>
        <v/>
      </c>
    </row>
    <row r="48">
      <c r="A48" s="6">
        <f>IFERROR(INDEX(FILTER(INPUT_Rooms!$C$4:$C$83, INPUT_Rooms!$A$4:$A$83=$B$3), 43), "")</f>
        <v/>
      </c>
      <c r="B48" s="6">
        <f>IF(A48="","",TEXTJOIN(" ",TRUE,IF(INDEX(FILTER(INPUT_Rooms!$K$4:$K$83, INPUT_Rooms!$A$4:$A$83=$B$3),43)="Y","Prep and paint "&amp;INDEX(FILTER(INPUT_Rooms!$M$4:$M$83, INPUT_Rooms!$A$4:$A$83=$B$3),43)&amp;" coat(s) on "&amp;A48&amp;" walls.", ""),IF(INDEX(FILTER(INPUT_Rooms!$O$4:$O$83, INPUT_Rooms!$A$4:$A$83=$B$3),43)="Y","Prep and paint "&amp;INDEX(FILTER(INPUT_Rooms!$Q$4:$Q$83, INPUT_Rooms!$A$4:$A$83=$B$3),43)&amp;" coat(s) on "&amp;A48&amp;" ceilings.", ""),IF(INDEX(FILTER(INPUT_Rooms!$T$4:$T$83, INPUT_Rooms!$A$4:$A$83=$B$3),43)="Y","Prep and paint "&amp;INDEX(FILTER(INPUT_Rooms!$V$4:$V$83, INPUT_Rooms!$A$4:$A$83=$B$3),43)&amp;" coat(s) on "&amp;A48&amp;" trim ("&amp;TEXTJOIN(", ",TRUE,IF(INDEX(FILTER(INPUT_Rooms!$X$4:$X$83, INPUT_Rooms!$A$4:$A$83=$B$3),43)="Y","base",""),IF(INDEX(FILTER(INPUT_Rooms!$Y$4:$Y$83, INPUT_Rooms!$A$4:$A$83=$B$3),43)="Y","crown",""),IF(INDEX(FILTER(INPUT_Rooms!$Z$4:$Z$83, INPUT_Rooms!$A$4:$A$83=$B$3),43)="Y","window casing",""),IF(INDEX(FILTER(INPUT_Rooms!$AA$4:$AA$83, INPUT_Rooms!$A$4:$A$83=$B$3),43)="Y","door casing",""),IF(INDEX(FILTER(INPUT_Rooms!$AB$4:$AB$83, INPUT_Rooms!$A$4:$A$83=$B$3),43)="Y","doors",""))&amp;").", "")))</f>
        <v/>
      </c>
    </row>
    <row r="49">
      <c r="A49" s="6">
        <f>IFERROR(INDEX(FILTER(INPUT_Rooms!$C$4:$C$83, INPUT_Rooms!$A$4:$A$83=$B$3), 44), "")</f>
        <v/>
      </c>
      <c r="B49" s="6">
        <f>IF(A49="","",TEXTJOIN(" ",TRUE,IF(INDEX(FILTER(INPUT_Rooms!$K$4:$K$83, INPUT_Rooms!$A$4:$A$83=$B$3),44)="Y","Prep and paint "&amp;INDEX(FILTER(INPUT_Rooms!$M$4:$M$83, INPUT_Rooms!$A$4:$A$83=$B$3),44)&amp;" coat(s) on "&amp;A49&amp;" walls.", ""),IF(INDEX(FILTER(INPUT_Rooms!$O$4:$O$83, INPUT_Rooms!$A$4:$A$83=$B$3),44)="Y","Prep and paint "&amp;INDEX(FILTER(INPUT_Rooms!$Q$4:$Q$83, INPUT_Rooms!$A$4:$A$83=$B$3),44)&amp;" coat(s) on "&amp;A49&amp;" ceilings.", ""),IF(INDEX(FILTER(INPUT_Rooms!$T$4:$T$83, INPUT_Rooms!$A$4:$A$83=$B$3),44)="Y","Prep and paint "&amp;INDEX(FILTER(INPUT_Rooms!$V$4:$V$83, INPUT_Rooms!$A$4:$A$83=$B$3),44)&amp;" coat(s) on "&amp;A49&amp;" trim ("&amp;TEXTJOIN(", ",TRUE,IF(INDEX(FILTER(INPUT_Rooms!$X$4:$X$83, INPUT_Rooms!$A$4:$A$83=$B$3),44)="Y","base",""),IF(INDEX(FILTER(INPUT_Rooms!$Y$4:$Y$83, INPUT_Rooms!$A$4:$A$83=$B$3),44)="Y","crown",""),IF(INDEX(FILTER(INPUT_Rooms!$Z$4:$Z$83, INPUT_Rooms!$A$4:$A$83=$B$3),44)="Y","window casing",""),IF(INDEX(FILTER(INPUT_Rooms!$AA$4:$AA$83, INPUT_Rooms!$A$4:$A$83=$B$3),44)="Y","door casing",""),IF(INDEX(FILTER(INPUT_Rooms!$AB$4:$AB$83, INPUT_Rooms!$A$4:$A$83=$B$3),44)="Y","doors",""))&amp;").", "")))</f>
        <v/>
      </c>
    </row>
    <row r="50">
      <c r="A50" s="6">
        <f>IFERROR(INDEX(FILTER(INPUT_Rooms!$C$4:$C$83, INPUT_Rooms!$A$4:$A$83=$B$3), 45), "")</f>
        <v/>
      </c>
      <c r="B50" s="6">
        <f>IF(A50="","",TEXTJOIN(" ",TRUE,IF(INDEX(FILTER(INPUT_Rooms!$K$4:$K$83, INPUT_Rooms!$A$4:$A$83=$B$3),45)="Y","Prep and paint "&amp;INDEX(FILTER(INPUT_Rooms!$M$4:$M$83, INPUT_Rooms!$A$4:$A$83=$B$3),45)&amp;" coat(s) on "&amp;A50&amp;" walls.", ""),IF(INDEX(FILTER(INPUT_Rooms!$O$4:$O$83, INPUT_Rooms!$A$4:$A$83=$B$3),45)="Y","Prep and paint "&amp;INDEX(FILTER(INPUT_Rooms!$Q$4:$Q$83, INPUT_Rooms!$A$4:$A$83=$B$3),45)&amp;" coat(s) on "&amp;A50&amp;" ceilings.", ""),IF(INDEX(FILTER(INPUT_Rooms!$T$4:$T$83, INPUT_Rooms!$A$4:$A$83=$B$3),45)="Y","Prep and paint "&amp;INDEX(FILTER(INPUT_Rooms!$V$4:$V$83, INPUT_Rooms!$A$4:$A$83=$B$3),45)&amp;" coat(s) on "&amp;A50&amp;" trim ("&amp;TEXTJOIN(", ",TRUE,IF(INDEX(FILTER(INPUT_Rooms!$X$4:$X$83, INPUT_Rooms!$A$4:$A$83=$B$3),45)="Y","base",""),IF(INDEX(FILTER(INPUT_Rooms!$Y$4:$Y$83, INPUT_Rooms!$A$4:$A$83=$B$3),45)="Y","crown",""),IF(INDEX(FILTER(INPUT_Rooms!$Z$4:$Z$83, INPUT_Rooms!$A$4:$A$83=$B$3),45)="Y","window casing",""),IF(INDEX(FILTER(INPUT_Rooms!$AA$4:$AA$83, INPUT_Rooms!$A$4:$A$83=$B$3),45)="Y","door casing",""),IF(INDEX(FILTER(INPUT_Rooms!$AB$4:$AB$83, INPUT_Rooms!$A$4:$A$83=$B$3),45)="Y","doors",""))&amp;").", "")))</f>
        <v/>
      </c>
    </row>
    <row r="51">
      <c r="A51" s="6">
        <f>IFERROR(INDEX(FILTER(INPUT_Rooms!$C$4:$C$83, INPUT_Rooms!$A$4:$A$83=$B$3), 46), "")</f>
        <v/>
      </c>
      <c r="B51" s="6">
        <f>IF(A51="","",TEXTJOIN(" ",TRUE,IF(INDEX(FILTER(INPUT_Rooms!$K$4:$K$83, INPUT_Rooms!$A$4:$A$83=$B$3),46)="Y","Prep and paint "&amp;INDEX(FILTER(INPUT_Rooms!$M$4:$M$83, INPUT_Rooms!$A$4:$A$83=$B$3),46)&amp;" coat(s) on "&amp;A51&amp;" walls.", ""),IF(INDEX(FILTER(INPUT_Rooms!$O$4:$O$83, INPUT_Rooms!$A$4:$A$83=$B$3),46)="Y","Prep and paint "&amp;INDEX(FILTER(INPUT_Rooms!$Q$4:$Q$83, INPUT_Rooms!$A$4:$A$83=$B$3),46)&amp;" coat(s) on "&amp;A51&amp;" ceilings.", ""),IF(INDEX(FILTER(INPUT_Rooms!$T$4:$T$83, INPUT_Rooms!$A$4:$A$83=$B$3),46)="Y","Prep and paint "&amp;INDEX(FILTER(INPUT_Rooms!$V$4:$V$83, INPUT_Rooms!$A$4:$A$83=$B$3),46)&amp;" coat(s) on "&amp;A51&amp;" trim ("&amp;TEXTJOIN(", ",TRUE,IF(INDEX(FILTER(INPUT_Rooms!$X$4:$X$83, INPUT_Rooms!$A$4:$A$83=$B$3),46)="Y","base",""),IF(INDEX(FILTER(INPUT_Rooms!$Y$4:$Y$83, INPUT_Rooms!$A$4:$A$83=$B$3),46)="Y","crown",""),IF(INDEX(FILTER(INPUT_Rooms!$Z$4:$Z$83, INPUT_Rooms!$A$4:$A$83=$B$3),46)="Y","window casing",""),IF(INDEX(FILTER(INPUT_Rooms!$AA$4:$AA$83, INPUT_Rooms!$A$4:$A$83=$B$3),46)="Y","door casing",""),IF(INDEX(FILTER(INPUT_Rooms!$AB$4:$AB$83, INPUT_Rooms!$A$4:$A$83=$B$3),46)="Y","doors",""))&amp;").", "")))</f>
        <v/>
      </c>
    </row>
    <row r="52">
      <c r="A52" s="6">
        <f>IFERROR(INDEX(FILTER(INPUT_Rooms!$C$4:$C$83, INPUT_Rooms!$A$4:$A$83=$B$3), 47), "")</f>
        <v/>
      </c>
      <c r="B52" s="6">
        <f>IF(A52="","",TEXTJOIN(" ",TRUE,IF(INDEX(FILTER(INPUT_Rooms!$K$4:$K$83, INPUT_Rooms!$A$4:$A$83=$B$3),47)="Y","Prep and paint "&amp;INDEX(FILTER(INPUT_Rooms!$M$4:$M$83, INPUT_Rooms!$A$4:$A$83=$B$3),47)&amp;" coat(s) on "&amp;A52&amp;" walls.", ""),IF(INDEX(FILTER(INPUT_Rooms!$O$4:$O$83, INPUT_Rooms!$A$4:$A$83=$B$3),47)="Y","Prep and paint "&amp;INDEX(FILTER(INPUT_Rooms!$Q$4:$Q$83, INPUT_Rooms!$A$4:$A$83=$B$3),47)&amp;" coat(s) on "&amp;A52&amp;" ceilings.", ""),IF(INDEX(FILTER(INPUT_Rooms!$T$4:$T$83, INPUT_Rooms!$A$4:$A$83=$B$3),47)="Y","Prep and paint "&amp;INDEX(FILTER(INPUT_Rooms!$V$4:$V$83, INPUT_Rooms!$A$4:$A$83=$B$3),47)&amp;" coat(s) on "&amp;A52&amp;" trim ("&amp;TEXTJOIN(", ",TRUE,IF(INDEX(FILTER(INPUT_Rooms!$X$4:$X$83, INPUT_Rooms!$A$4:$A$83=$B$3),47)="Y","base",""),IF(INDEX(FILTER(INPUT_Rooms!$Y$4:$Y$83, INPUT_Rooms!$A$4:$A$83=$B$3),47)="Y","crown",""),IF(INDEX(FILTER(INPUT_Rooms!$Z$4:$Z$83, INPUT_Rooms!$A$4:$A$83=$B$3),47)="Y","window casing",""),IF(INDEX(FILTER(INPUT_Rooms!$AA$4:$AA$83, INPUT_Rooms!$A$4:$A$83=$B$3),47)="Y","door casing",""),IF(INDEX(FILTER(INPUT_Rooms!$AB$4:$AB$83, INPUT_Rooms!$A$4:$A$83=$B$3),47)="Y","doors",""))&amp;").", "")))</f>
        <v/>
      </c>
    </row>
    <row r="53">
      <c r="A53" s="6">
        <f>IFERROR(INDEX(FILTER(INPUT_Rooms!$C$4:$C$83, INPUT_Rooms!$A$4:$A$83=$B$3), 48), "")</f>
        <v/>
      </c>
      <c r="B53" s="6">
        <f>IF(A53="","",TEXTJOIN(" ",TRUE,IF(INDEX(FILTER(INPUT_Rooms!$K$4:$K$83, INPUT_Rooms!$A$4:$A$83=$B$3),48)="Y","Prep and paint "&amp;INDEX(FILTER(INPUT_Rooms!$M$4:$M$83, INPUT_Rooms!$A$4:$A$83=$B$3),48)&amp;" coat(s) on "&amp;A53&amp;" walls.", ""),IF(INDEX(FILTER(INPUT_Rooms!$O$4:$O$83, INPUT_Rooms!$A$4:$A$83=$B$3),48)="Y","Prep and paint "&amp;INDEX(FILTER(INPUT_Rooms!$Q$4:$Q$83, INPUT_Rooms!$A$4:$A$83=$B$3),48)&amp;" coat(s) on "&amp;A53&amp;" ceilings.", ""),IF(INDEX(FILTER(INPUT_Rooms!$T$4:$T$83, INPUT_Rooms!$A$4:$A$83=$B$3),48)="Y","Prep and paint "&amp;INDEX(FILTER(INPUT_Rooms!$V$4:$V$83, INPUT_Rooms!$A$4:$A$83=$B$3),48)&amp;" coat(s) on "&amp;A53&amp;" trim ("&amp;TEXTJOIN(", ",TRUE,IF(INDEX(FILTER(INPUT_Rooms!$X$4:$X$83, INPUT_Rooms!$A$4:$A$83=$B$3),48)="Y","base",""),IF(INDEX(FILTER(INPUT_Rooms!$Y$4:$Y$83, INPUT_Rooms!$A$4:$A$83=$B$3),48)="Y","crown",""),IF(INDEX(FILTER(INPUT_Rooms!$Z$4:$Z$83, INPUT_Rooms!$A$4:$A$83=$B$3),48)="Y","window casing",""),IF(INDEX(FILTER(INPUT_Rooms!$AA$4:$AA$83, INPUT_Rooms!$A$4:$A$83=$B$3),48)="Y","door casing",""),IF(INDEX(FILTER(INPUT_Rooms!$AB$4:$AB$83, INPUT_Rooms!$A$4:$A$83=$B$3),48)="Y","doors",""))&amp;").", "")))</f>
        <v/>
      </c>
    </row>
    <row r="54">
      <c r="A54" s="6">
        <f>IFERROR(INDEX(FILTER(INPUT_Rooms!$C$4:$C$83, INPUT_Rooms!$A$4:$A$83=$B$3), 49), "")</f>
        <v/>
      </c>
      <c r="B54" s="6">
        <f>IF(A54="","",TEXTJOIN(" ",TRUE,IF(INDEX(FILTER(INPUT_Rooms!$K$4:$K$83, INPUT_Rooms!$A$4:$A$83=$B$3),49)="Y","Prep and paint "&amp;INDEX(FILTER(INPUT_Rooms!$M$4:$M$83, INPUT_Rooms!$A$4:$A$83=$B$3),49)&amp;" coat(s) on "&amp;A54&amp;" walls.", ""),IF(INDEX(FILTER(INPUT_Rooms!$O$4:$O$83, INPUT_Rooms!$A$4:$A$83=$B$3),49)="Y","Prep and paint "&amp;INDEX(FILTER(INPUT_Rooms!$Q$4:$Q$83, INPUT_Rooms!$A$4:$A$83=$B$3),49)&amp;" coat(s) on "&amp;A54&amp;" ceilings.", ""),IF(INDEX(FILTER(INPUT_Rooms!$T$4:$T$83, INPUT_Rooms!$A$4:$A$83=$B$3),49)="Y","Prep and paint "&amp;INDEX(FILTER(INPUT_Rooms!$V$4:$V$83, INPUT_Rooms!$A$4:$A$83=$B$3),49)&amp;" coat(s) on "&amp;A54&amp;" trim ("&amp;TEXTJOIN(", ",TRUE,IF(INDEX(FILTER(INPUT_Rooms!$X$4:$X$83, INPUT_Rooms!$A$4:$A$83=$B$3),49)="Y","base",""),IF(INDEX(FILTER(INPUT_Rooms!$Y$4:$Y$83, INPUT_Rooms!$A$4:$A$83=$B$3),49)="Y","crown",""),IF(INDEX(FILTER(INPUT_Rooms!$Z$4:$Z$83, INPUT_Rooms!$A$4:$A$83=$B$3),49)="Y","window casing",""),IF(INDEX(FILTER(INPUT_Rooms!$AA$4:$AA$83, INPUT_Rooms!$A$4:$A$83=$B$3),49)="Y","door casing",""),IF(INDEX(FILTER(INPUT_Rooms!$AB$4:$AB$83, INPUT_Rooms!$A$4:$A$83=$B$3),49)="Y","doors",""))&amp;").", "")))</f>
        <v/>
      </c>
    </row>
    <row r="55">
      <c r="A55" s="6">
        <f>IFERROR(INDEX(FILTER(INPUT_Rooms!$C$4:$C$83, INPUT_Rooms!$A$4:$A$83=$B$3), 50), "")</f>
        <v/>
      </c>
      <c r="B55" s="6">
        <f>IF(A55="","",TEXTJOIN(" ",TRUE,IF(INDEX(FILTER(INPUT_Rooms!$K$4:$K$83, INPUT_Rooms!$A$4:$A$83=$B$3),50)="Y","Prep and paint "&amp;INDEX(FILTER(INPUT_Rooms!$M$4:$M$83, INPUT_Rooms!$A$4:$A$83=$B$3),50)&amp;" coat(s) on "&amp;A55&amp;" walls.", ""),IF(INDEX(FILTER(INPUT_Rooms!$O$4:$O$83, INPUT_Rooms!$A$4:$A$83=$B$3),50)="Y","Prep and paint "&amp;INDEX(FILTER(INPUT_Rooms!$Q$4:$Q$83, INPUT_Rooms!$A$4:$A$83=$B$3),50)&amp;" coat(s) on "&amp;A55&amp;" ceilings.", ""),IF(INDEX(FILTER(INPUT_Rooms!$T$4:$T$83, INPUT_Rooms!$A$4:$A$83=$B$3),50)="Y","Prep and paint "&amp;INDEX(FILTER(INPUT_Rooms!$V$4:$V$83, INPUT_Rooms!$A$4:$A$83=$B$3),50)&amp;" coat(s) on "&amp;A55&amp;" trim ("&amp;TEXTJOIN(", ",TRUE,IF(INDEX(FILTER(INPUT_Rooms!$X$4:$X$83, INPUT_Rooms!$A$4:$A$83=$B$3),50)="Y","base",""),IF(INDEX(FILTER(INPUT_Rooms!$Y$4:$Y$83, INPUT_Rooms!$A$4:$A$83=$B$3),50)="Y","crown",""),IF(INDEX(FILTER(INPUT_Rooms!$Z$4:$Z$83, INPUT_Rooms!$A$4:$A$83=$B$3),50)="Y","window casing",""),IF(INDEX(FILTER(INPUT_Rooms!$AA$4:$AA$83, INPUT_Rooms!$A$4:$A$83=$B$3),50)="Y","door casing",""),IF(INDEX(FILTER(INPUT_Rooms!$AB$4:$AB$83, INPUT_Rooms!$A$4:$A$83=$B$3),50)="Y","doors",""))&amp;").", "")))</f>
        <v/>
      </c>
    </row>
    <row r="56">
      <c r="A56" s="6">
        <f>IFERROR(INDEX(FILTER(INPUT_Rooms!$C$4:$C$83, INPUT_Rooms!$A$4:$A$83=$B$3), 51), "")</f>
        <v/>
      </c>
      <c r="B56" s="6">
        <f>IF(A56="","",TEXTJOIN(" ",TRUE,IF(INDEX(FILTER(INPUT_Rooms!$K$4:$K$83, INPUT_Rooms!$A$4:$A$83=$B$3),51)="Y","Prep and paint "&amp;INDEX(FILTER(INPUT_Rooms!$M$4:$M$83, INPUT_Rooms!$A$4:$A$83=$B$3),51)&amp;" coat(s) on "&amp;A56&amp;" walls.", ""),IF(INDEX(FILTER(INPUT_Rooms!$O$4:$O$83, INPUT_Rooms!$A$4:$A$83=$B$3),51)="Y","Prep and paint "&amp;INDEX(FILTER(INPUT_Rooms!$Q$4:$Q$83, INPUT_Rooms!$A$4:$A$83=$B$3),51)&amp;" coat(s) on "&amp;A56&amp;" ceilings.", ""),IF(INDEX(FILTER(INPUT_Rooms!$T$4:$T$83, INPUT_Rooms!$A$4:$A$83=$B$3),51)="Y","Prep and paint "&amp;INDEX(FILTER(INPUT_Rooms!$V$4:$V$83, INPUT_Rooms!$A$4:$A$83=$B$3),51)&amp;" coat(s) on "&amp;A56&amp;" trim ("&amp;TEXTJOIN(", ",TRUE,IF(INDEX(FILTER(INPUT_Rooms!$X$4:$X$83, INPUT_Rooms!$A$4:$A$83=$B$3),51)="Y","base",""),IF(INDEX(FILTER(INPUT_Rooms!$Y$4:$Y$83, INPUT_Rooms!$A$4:$A$83=$B$3),51)="Y","crown",""),IF(INDEX(FILTER(INPUT_Rooms!$Z$4:$Z$83, INPUT_Rooms!$A$4:$A$83=$B$3),51)="Y","window casing",""),IF(INDEX(FILTER(INPUT_Rooms!$AA$4:$AA$83, INPUT_Rooms!$A$4:$A$83=$B$3),51)="Y","door casing",""),IF(INDEX(FILTER(INPUT_Rooms!$AB$4:$AB$83, INPUT_Rooms!$A$4:$A$83=$B$3),51)="Y","doors",""))&amp;").", "")))</f>
        <v/>
      </c>
    </row>
    <row r="57">
      <c r="A57" s="6">
        <f>IFERROR(INDEX(FILTER(INPUT_Rooms!$C$4:$C$83, INPUT_Rooms!$A$4:$A$83=$B$3), 52), "")</f>
        <v/>
      </c>
      <c r="B57" s="6">
        <f>IF(A57="","",TEXTJOIN(" ",TRUE,IF(INDEX(FILTER(INPUT_Rooms!$K$4:$K$83, INPUT_Rooms!$A$4:$A$83=$B$3),52)="Y","Prep and paint "&amp;INDEX(FILTER(INPUT_Rooms!$M$4:$M$83, INPUT_Rooms!$A$4:$A$83=$B$3),52)&amp;" coat(s) on "&amp;A57&amp;" walls.", ""),IF(INDEX(FILTER(INPUT_Rooms!$O$4:$O$83, INPUT_Rooms!$A$4:$A$83=$B$3),52)="Y","Prep and paint "&amp;INDEX(FILTER(INPUT_Rooms!$Q$4:$Q$83, INPUT_Rooms!$A$4:$A$83=$B$3),52)&amp;" coat(s) on "&amp;A57&amp;" ceilings.", ""),IF(INDEX(FILTER(INPUT_Rooms!$T$4:$T$83, INPUT_Rooms!$A$4:$A$83=$B$3),52)="Y","Prep and paint "&amp;INDEX(FILTER(INPUT_Rooms!$V$4:$V$83, INPUT_Rooms!$A$4:$A$83=$B$3),52)&amp;" coat(s) on "&amp;A57&amp;" trim ("&amp;TEXTJOIN(", ",TRUE,IF(INDEX(FILTER(INPUT_Rooms!$X$4:$X$83, INPUT_Rooms!$A$4:$A$83=$B$3),52)="Y","base",""),IF(INDEX(FILTER(INPUT_Rooms!$Y$4:$Y$83, INPUT_Rooms!$A$4:$A$83=$B$3),52)="Y","crown",""),IF(INDEX(FILTER(INPUT_Rooms!$Z$4:$Z$83, INPUT_Rooms!$A$4:$A$83=$B$3),52)="Y","window casing",""),IF(INDEX(FILTER(INPUT_Rooms!$AA$4:$AA$83, INPUT_Rooms!$A$4:$A$83=$B$3),52)="Y","door casing",""),IF(INDEX(FILTER(INPUT_Rooms!$AB$4:$AB$83, INPUT_Rooms!$A$4:$A$83=$B$3),52)="Y","doors",""))&amp;").", "")))</f>
        <v/>
      </c>
    </row>
    <row r="58">
      <c r="A58" s="6">
        <f>IFERROR(INDEX(FILTER(INPUT_Rooms!$C$4:$C$83, INPUT_Rooms!$A$4:$A$83=$B$3), 53), "")</f>
        <v/>
      </c>
      <c r="B58" s="6">
        <f>IF(A58="","",TEXTJOIN(" ",TRUE,IF(INDEX(FILTER(INPUT_Rooms!$K$4:$K$83, INPUT_Rooms!$A$4:$A$83=$B$3),53)="Y","Prep and paint "&amp;INDEX(FILTER(INPUT_Rooms!$M$4:$M$83, INPUT_Rooms!$A$4:$A$83=$B$3),53)&amp;" coat(s) on "&amp;A58&amp;" walls.", ""),IF(INDEX(FILTER(INPUT_Rooms!$O$4:$O$83, INPUT_Rooms!$A$4:$A$83=$B$3),53)="Y","Prep and paint "&amp;INDEX(FILTER(INPUT_Rooms!$Q$4:$Q$83, INPUT_Rooms!$A$4:$A$83=$B$3),53)&amp;" coat(s) on "&amp;A58&amp;" ceilings.", ""),IF(INDEX(FILTER(INPUT_Rooms!$T$4:$T$83, INPUT_Rooms!$A$4:$A$83=$B$3),53)="Y","Prep and paint "&amp;INDEX(FILTER(INPUT_Rooms!$V$4:$V$83, INPUT_Rooms!$A$4:$A$83=$B$3),53)&amp;" coat(s) on "&amp;A58&amp;" trim ("&amp;TEXTJOIN(", ",TRUE,IF(INDEX(FILTER(INPUT_Rooms!$X$4:$X$83, INPUT_Rooms!$A$4:$A$83=$B$3),53)="Y","base",""),IF(INDEX(FILTER(INPUT_Rooms!$Y$4:$Y$83, INPUT_Rooms!$A$4:$A$83=$B$3),53)="Y","crown",""),IF(INDEX(FILTER(INPUT_Rooms!$Z$4:$Z$83, INPUT_Rooms!$A$4:$A$83=$B$3),53)="Y","window casing",""),IF(INDEX(FILTER(INPUT_Rooms!$AA$4:$AA$83, INPUT_Rooms!$A$4:$A$83=$B$3),53)="Y","door casing",""),IF(INDEX(FILTER(INPUT_Rooms!$AB$4:$AB$83, INPUT_Rooms!$A$4:$A$83=$B$3),53)="Y","doors",""))&amp;").", "")))</f>
        <v/>
      </c>
    </row>
    <row r="59">
      <c r="A59" s="6">
        <f>IFERROR(INDEX(FILTER(INPUT_Rooms!$C$4:$C$83, INPUT_Rooms!$A$4:$A$83=$B$3), 54), "")</f>
        <v/>
      </c>
      <c r="B59" s="6">
        <f>IF(A59="","",TEXTJOIN(" ",TRUE,IF(INDEX(FILTER(INPUT_Rooms!$K$4:$K$83, INPUT_Rooms!$A$4:$A$83=$B$3),54)="Y","Prep and paint "&amp;INDEX(FILTER(INPUT_Rooms!$M$4:$M$83, INPUT_Rooms!$A$4:$A$83=$B$3),54)&amp;" coat(s) on "&amp;A59&amp;" walls.", ""),IF(INDEX(FILTER(INPUT_Rooms!$O$4:$O$83, INPUT_Rooms!$A$4:$A$83=$B$3),54)="Y","Prep and paint "&amp;INDEX(FILTER(INPUT_Rooms!$Q$4:$Q$83, INPUT_Rooms!$A$4:$A$83=$B$3),54)&amp;" coat(s) on "&amp;A59&amp;" ceilings.", ""),IF(INDEX(FILTER(INPUT_Rooms!$T$4:$T$83, INPUT_Rooms!$A$4:$A$83=$B$3),54)="Y","Prep and paint "&amp;INDEX(FILTER(INPUT_Rooms!$V$4:$V$83, INPUT_Rooms!$A$4:$A$83=$B$3),54)&amp;" coat(s) on "&amp;A59&amp;" trim ("&amp;TEXTJOIN(", ",TRUE,IF(INDEX(FILTER(INPUT_Rooms!$X$4:$X$83, INPUT_Rooms!$A$4:$A$83=$B$3),54)="Y","base",""),IF(INDEX(FILTER(INPUT_Rooms!$Y$4:$Y$83, INPUT_Rooms!$A$4:$A$83=$B$3),54)="Y","crown",""),IF(INDEX(FILTER(INPUT_Rooms!$Z$4:$Z$83, INPUT_Rooms!$A$4:$A$83=$B$3),54)="Y","window casing",""),IF(INDEX(FILTER(INPUT_Rooms!$AA$4:$AA$83, INPUT_Rooms!$A$4:$A$83=$B$3),54)="Y","door casing",""),IF(INDEX(FILTER(INPUT_Rooms!$AB$4:$AB$83, INPUT_Rooms!$A$4:$A$83=$B$3),54)="Y","doors",""))&amp;").", "")))</f>
        <v/>
      </c>
    </row>
    <row r="60">
      <c r="A60" s="6">
        <f>IFERROR(INDEX(FILTER(INPUT_Rooms!$C$4:$C$83, INPUT_Rooms!$A$4:$A$83=$B$3), 55), "")</f>
        <v/>
      </c>
      <c r="B60" s="6">
        <f>IF(A60="","",TEXTJOIN(" ",TRUE,IF(INDEX(FILTER(INPUT_Rooms!$K$4:$K$83, INPUT_Rooms!$A$4:$A$83=$B$3),55)="Y","Prep and paint "&amp;INDEX(FILTER(INPUT_Rooms!$M$4:$M$83, INPUT_Rooms!$A$4:$A$83=$B$3),55)&amp;" coat(s) on "&amp;A60&amp;" walls.", ""),IF(INDEX(FILTER(INPUT_Rooms!$O$4:$O$83, INPUT_Rooms!$A$4:$A$83=$B$3),55)="Y","Prep and paint "&amp;INDEX(FILTER(INPUT_Rooms!$Q$4:$Q$83, INPUT_Rooms!$A$4:$A$83=$B$3),55)&amp;" coat(s) on "&amp;A60&amp;" ceilings.", ""),IF(INDEX(FILTER(INPUT_Rooms!$T$4:$T$83, INPUT_Rooms!$A$4:$A$83=$B$3),55)="Y","Prep and paint "&amp;INDEX(FILTER(INPUT_Rooms!$V$4:$V$83, INPUT_Rooms!$A$4:$A$83=$B$3),55)&amp;" coat(s) on "&amp;A60&amp;" trim ("&amp;TEXTJOIN(", ",TRUE,IF(INDEX(FILTER(INPUT_Rooms!$X$4:$X$83, INPUT_Rooms!$A$4:$A$83=$B$3),55)="Y","base",""),IF(INDEX(FILTER(INPUT_Rooms!$Y$4:$Y$83, INPUT_Rooms!$A$4:$A$83=$B$3),55)="Y","crown",""),IF(INDEX(FILTER(INPUT_Rooms!$Z$4:$Z$83, INPUT_Rooms!$A$4:$A$83=$B$3),55)="Y","window casing",""),IF(INDEX(FILTER(INPUT_Rooms!$AA$4:$AA$83, INPUT_Rooms!$A$4:$A$83=$B$3),55)="Y","door casing",""),IF(INDEX(FILTER(INPUT_Rooms!$AB$4:$AB$83, INPUT_Rooms!$A$4:$A$83=$B$3),55)="Y","doors",""))&amp;").", "")))</f>
        <v/>
      </c>
    </row>
    <row r="61">
      <c r="A61" s="6">
        <f>IFERROR(INDEX(FILTER(INPUT_Rooms!$C$4:$C$83, INPUT_Rooms!$A$4:$A$83=$B$3), 56), "")</f>
        <v/>
      </c>
      <c r="B61" s="6">
        <f>IF(A61="","",TEXTJOIN(" ",TRUE,IF(INDEX(FILTER(INPUT_Rooms!$K$4:$K$83, INPUT_Rooms!$A$4:$A$83=$B$3),56)="Y","Prep and paint "&amp;INDEX(FILTER(INPUT_Rooms!$M$4:$M$83, INPUT_Rooms!$A$4:$A$83=$B$3),56)&amp;" coat(s) on "&amp;A61&amp;" walls.", ""),IF(INDEX(FILTER(INPUT_Rooms!$O$4:$O$83, INPUT_Rooms!$A$4:$A$83=$B$3),56)="Y","Prep and paint "&amp;INDEX(FILTER(INPUT_Rooms!$Q$4:$Q$83, INPUT_Rooms!$A$4:$A$83=$B$3),56)&amp;" coat(s) on "&amp;A61&amp;" ceilings.", ""),IF(INDEX(FILTER(INPUT_Rooms!$T$4:$T$83, INPUT_Rooms!$A$4:$A$83=$B$3),56)="Y","Prep and paint "&amp;INDEX(FILTER(INPUT_Rooms!$V$4:$V$83, INPUT_Rooms!$A$4:$A$83=$B$3),56)&amp;" coat(s) on "&amp;A61&amp;" trim ("&amp;TEXTJOIN(", ",TRUE,IF(INDEX(FILTER(INPUT_Rooms!$X$4:$X$83, INPUT_Rooms!$A$4:$A$83=$B$3),56)="Y","base",""),IF(INDEX(FILTER(INPUT_Rooms!$Y$4:$Y$83, INPUT_Rooms!$A$4:$A$83=$B$3),56)="Y","crown",""),IF(INDEX(FILTER(INPUT_Rooms!$Z$4:$Z$83, INPUT_Rooms!$A$4:$A$83=$B$3),56)="Y","window casing",""),IF(INDEX(FILTER(INPUT_Rooms!$AA$4:$AA$83, INPUT_Rooms!$A$4:$A$83=$B$3),56)="Y","door casing",""),IF(INDEX(FILTER(INPUT_Rooms!$AB$4:$AB$83, INPUT_Rooms!$A$4:$A$83=$B$3),56)="Y","doors",""))&amp;").", "")))</f>
        <v/>
      </c>
    </row>
    <row r="62">
      <c r="A62" s="6">
        <f>IFERROR(INDEX(FILTER(INPUT_Rooms!$C$4:$C$83, INPUT_Rooms!$A$4:$A$83=$B$3), 57), "")</f>
        <v/>
      </c>
      <c r="B62" s="6">
        <f>IF(A62="","",TEXTJOIN(" ",TRUE,IF(INDEX(FILTER(INPUT_Rooms!$K$4:$K$83, INPUT_Rooms!$A$4:$A$83=$B$3),57)="Y","Prep and paint "&amp;INDEX(FILTER(INPUT_Rooms!$M$4:$M$83, INPUT_Rooms!$A$4:$A$83=$B$3),57)&amp;" coat(s) on "&amp;A62&amp;" walls.", ""),IF(INDEX(FILTER(INPUT_Rooms!$O$4:$O$83, INPUT_Rooms!$A$4:$A$83=$B$3),57)="Y","Prep and paint "&amp;INDEX(FILTER(INPUT_Rooms!$Q$4:$Q$83, INPUT_Rooms!$A$4:$A$83=$B$3),57)&amp;" coat(s) on "&amp;A62&amp;" ceilings.", ""),IF(INDEX(FILTER(INPUT_Rooms!$T$4:$T$83, INPUT_Rooms!$A$4:$A$83=$B$3),57)="Y","Prep and paint "&amp;INDEX(FILTER(INPUT_Rooms!$V$4:$V$83, INPUT_Rooms!$A$4:$A$83=$B$3),57)&amp;" coat(s) on "&amp;A62&amp;" trim ("&amp;TEXTJOIN(", ",TRUE,IF(INDEX(FILTER(INPUT_Rooms!$X$4:$X$83, INPUT_Rooms!$A$4:$A$83=$B$3),57)="Y","base",""),IF(INDEX(FILTER(INPUT_Rooms!$Y$4:$Y$83, INPUT_Rooms!$A$4:$A$83=$B$3),57)="Y","crown",""),IF(INDEX(FILTER(INPUT_Rooms!$Z$4:$Z$83, INPUT_Rooms!$A$4:$A$83=$B$3),57)="Y","window casing",""),IF(INDEX(FILTER(INPUT_Rooms!$AA$4:$AA$83, INPUT_Rooms!$A$4:$A$83=$B$3),57)="Y","door casing",""),IF(INDEX(FILTER(INPUT_Rooms!$AB$4:$AB$83, INPUT_Rooms!$A$4:$A$83=$B$3),57)="Y","doors",""))&amp;").", "")))</f>
        <v/>
      </c>
    </row>
    <row r="63">
      <c r="A63" s="6">
        <f>IFERROR(INDEX(FILTER(INPUT_Rooms!$C$4:$C$83, INPUT_Rooms!$A$4:$A$83=$B$3), 58), "")</f>
        <v/>
      </c>
      <c r="B63" s="6">
        <f>IF(A63="","",TEXTJOIN(" ",TRUE,IF(INDEX(FILTER(INPUT_Rooms!$K$4:$K$83, INPUT_Rooms!$A$4:$A$83=$B$3),58)="Y","Prep and paint "&amp;INDEX(FILTER(INPUT_Rooms!$M$4:$M$83, INPUT_Rooms!$A$4:$A$83=$B$3),58)&amp;" coat(s) on "&amp;A63&amp;" walls.", ""),IF(INDEX(FILTER(INPUT_Rooms!$O$4:$O$83, INPUT_Rooms!$A$4:$A$83=$B$3),58)="Y","Prep and paint "&amp;INDEX(FILTER(INPUT_Rooms!$Q$4:$Q$83, INPUT_Rooms!$A$4:$A$83=$B$3),58)&amp;" coat(s) on "&amp;A63&amp;" ceilings.", ""),IF(INDEX(FILTER(INPUT_Rooms!$T$4:$T$83, INPUT_Rooms!$A$4:$A$83=$B$3),58)="Y","Prep and paint "&amp;INDEX(FILTER(INPUT_Rooms!$V$4:$V$83, INPUT_Rooms!$A$4:$A$83=$B$3),58)&amp;" coat(s) on "&amp;A63&amp;" trim ("&amp;TEXTJOIN(", ",TRUE,IF(INDEX(FILTER(INPUT_Rooms!$X$4:$X$83, INPUT_Rooms!$A$4:$A$83=$B$3),58)="Y","base",""),IF(INDEX(FILTER(INPUT_Rooms!$Y$4:$Y$83, INPUT_Rooms!$A$4:$A$83=$B$3),58)="Y","crown",""),IF(INDEX(FILTER(INPUT_Rooms!$Z$4:$Z$83, INPUT_Rooms!$A$4:$A$83=$B$3),58)="Y","window casing",""),IF(INDEX(FILTER(INPUT_Rooms!$AA$4:$AA$83, INPUT_Rooms!$A$4:$A$83=$B$3),58)="Y","door casing",""),IF(INDEX(FILTER(INPUT_Rooms!$AB$4:$AB$83, INPUT_Rooms!$A$4:$A$83=$B$3),58)="Y","doors",""))&amp;").", "")))</f>
        <v/>
      </c>
    </row>
    <row r="64">
      <c r="A64" s="6">
        <f>IFERROR(INDEX(FILTER(INPUT_Rooms!$C$4:$C$83, INPUT_Rooms!$A$4:$A$83=$B$3), 59), "")</f>
        <v/>
      </c>
      <c r="B64" s="6">
        <f>IF(A64="","",TEXTJOIN(" ",TRUE,IF(INDEX(FILTER(INPUT_Rooms!$K$4:$K$83, INPUT_Rooms!$A$4:$A$83=$B$3),59)="Y","Prep and paint "&amp;INDEX(FILTER(INPUT_Rooms!$M$4:$M$83, INPUT_Rooms!$A$4:$A$83=$B$3),59)&amp;" coat(s) on "&amp;A64&amp;" walls.", ""),IF(INDEX(FILTER(INPUT_Rooms!$O$4:$O$83, INPUT_Rooms!$A$4:$A$83=$B$3),59)="Y","Prep and paint "&amp;INDEX(FILTER(INPUT_Rooms!$Q$4:$Q$83, INPUT_Rooms!$A$4:$A$83=$B$3),59)&amp;" coat(s) on "&amp;A64&amp;" ceilings.", ""),IF(INDEX(FILTER(INPUT_Rooms!$T$4:$T$83, INPUT_Rooms!$A$4:$A$83=$B$3),59)="Y","Prep and paint "&amp;INDEX(FILTER(INPUT_Rooms!$V$4:$V$83, INPUT_Rooms!$A$4:$A$83=$B$3),59)&amp;" coat(s) on "&amp;A64&amp;" trim ("&amp;TEXTJOIN(", ",TRUE,IF(INDEX(FILTER(INPUT_Rooms!$X$4:$X$83, INPUT_Rooms!$A$4:$A$83=$B$3),59)="Y","base",""),IF(INDEX(FILTER(INPUT_Rooms!$Y$4:$Y$83, INPUT_Rooms!$A$4:$A$83=$B$3),59)="Y","crown",""),IF(INDEX(FILTER(INPUT_Rooms!$Z$4:$Z$83, INPUT_Rooms!$A$4:$A$83=$B$3),59)="Y","window casing",""),IF(INDEX(FILTER(INPUT_Rooms!$AA$4:$AA$83, INPUT_Rooms!$A$4:$A$83=$B$3),59)="Y","door casing",""),IF(INDEX(FILTER(INPUT_Rooms!$AB$4:$AB$83, INPUT_Rooms!$A$4:$A$83=$B$3),59)="Y","doors",""))&amp;").", "")))</f>
        <v/>
      </c>
    </row>
    <row r="65">
      <c r="A65" s="6">
        <f>IFERROR(INDEX(FILTER(INPUT_Rooms!$C$4:$C$83, INPUT_Rooms!$A$4:$A$83=$B$3), 60), "")</f>
        <v/>
      </c>
      <c r="B65" s="6">
        <f>IF(A65="","",TEXTJOIN(" ",TRUE,IF(INDEX(FILTER(INPUT_Rooms!$K$4:$K$83, INPUT_Rooms!$A$4:$A$83=$B$3),60)="Y","Prep and paint "&amp;INDEX(FILTER(INPUT_Rooms!$M$4:$M$83, INPUT_Rooms!$A$4:$A$83=$B$3),60)&amp;" coat(s) on "&amp;A65&amp;" walls.", ""),IF(INDEX(FILTER(INPUT_Rooms!$O$4:$O$83, INPUT_Rooms!$A$4:$A$83=$B$3),60)="Y","Prep and paint "&amp;INDEX(FILTER(INPUT_Rooms!$Q$4:$Q$83, INPUT_Rooms!$A$4:$A$83=$B$3),60)&amp;" coat(s) on "&amp;A65&amp;" ceilings.", ""),IF(INDEX(FILTER(INPUT_Rooms!$T$4:$T$83, INPUT_Rooms!$A$4:$A$83=$B$3),60)="Y","Prep and paint "&amp;INDEX(FILTER(INPUT_Rooms!$V$4:$V$83, INPUT_Rooms!$A$4:$A$83=$B$3),60)&amp;" coat(s) on "&amp;A65&amp;" trim ("&amp;TEXTJOIN(", ",TRUE,IF(INDEX(FILTER(INPUT_Rooms!$X$4:$X$83, INPUT_Rooms!$A$4:$A$83=$B$3),60)="Y","base",""),IF(INDEX(FILTER(INPUT_Rooms!$Y$4:$Y$83, INPUT_Rooms!$A$4:$A$83=$B$3),60)="Y","crown",""),IF(INDEX(FILTER(INPUT_Rooms!$Z$4:$Z$83, INPUT_Rooms!$A$4:$A$83=$B$3),60)="Y","window casing",""),IF(INDEX(FILTER(INPUT_Rooms!$AA$4:$AA$83, INPUT_Rooms!$A$4:$A$83=$B$3),60)="Y","door casing",""),IF(INDEX(FILTER(INPUT_Rooms!$AB$4:$AB$83, INPUT_Rooms!$A$4:$A$83=$B$3),60)="Y","doors",""))&amp;").", "")))</f>
        <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2026-02-20T15:37:16Z</dcterms:created>
  <dcterms:modified xmlns:dcterms="http://purl.org/dc/terms/" xmlns:xsi="http://www.w3.org/2001/XMLSchema-instance" xsi:type="dcterms:W3CDTF">2026-02-20T18:43:52Z</dcterms:modified>
</cp:coreProperties>
</file>